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IAL REQUEST" sheetId="1" r:id="rId5"/>
    <sheet state="visible" name="Accouting Dept" sheetId="2" r:id="rId6"/>
    <sheet state="visible" name="To Buy" sheetId="3" r:id="rId7"/>
    <sheet state="visible" name="BRANCH LIST" sheetId="4" r:id="rId8"/>
    <sheet state="hidden" name="SUMMARY" sheetId="5" r:id="rId9"/>
    <sheet state="hidden" name="ALL BRANCH APPROVED" sheetId="6" r:id="rId10"/>
    <sheet state="hidden" name="RUNNING STOCKS" sheetId="7" r:id="rId11"/>
    <sheet state="hidden" name="ADD STOCKS" sheetId="8" r:id="rId12"/>
    <sheet state="visible" name="REAL-TIME STOCKS" sheetId="9" r:id="rId13"/>
    <sheet state="hidden" name="JAN.2026 OFFICE SUPPLIES REQ." sheetId="10" r:id="rId14"/>
    <sheet state="visible" name="PRINT STOCKS" sheetId="11" r:id="rId15"/>
    <sheet state="visible" name="ADMIN" sheetId="12" r:id="rId16"/>
    <sheet state="visible" name="WAREHOUSE" sheetId="13" r:id="rId17"/>
    <sheet state="visible" name="LAGTANG" sheetId="14" r:id="rId18"/>
    <sheet state="visible" name="BULACAO" sheetId="15" r:id="rId19"/>
    <sheet state="visible" name="V-RAMA" sheetId="16" r:id="rId20"/>
    <sheet state="visible" name="Y3S TALISAY" sheetId="17" r:id="rId21"/>
    <sheet state="visible" name="MINGLANILLA" sheetId="18" r:id="rId22"/>
    <sheet state="visible" name="Y3S PARDO" sheetId="19" r:id="rId23"/>
    <sheet state="visible" name="LAPU-LAPU" sheetId="20" r:id="rId24"/>
    <sheet state="visible" name="BACAYAN" sheetId="21" r:id="rId25"/>
    <sheet state="visible" name="SAN FERNANDO MB" sheetId="22" r:id="rId26"/>
    <sheet state="visible" name="Y3S SAN FERNANDO" sheetId="23" r:id="rId27"/>
    <sheet state="visible" name="LILOAN" sheetId="24" r:id="rId28"/>
    <sheet state="visible" name="CORDOVA MB" sheetId="25" r:id="rId29"/>
    <sheet state="visible" name="Y3S CORDOVA" sheetId="26" r:id="rId30"/>
    <sheet state="visible" name="CLARIN" sheetId="27" r:id="rId31"/>
    <sheet state="visible" name="TOLEDO" sheetId="28" r:id="rId32"/>
    <sheet state="visible" name="UBAY" sheetId="29" r:id="rId33"/>
    <sheet state="visible" name="CARMEN" sheetId="30" r:id="rId34"/>
    <sheet state="visible" name="TUBIGON" sheetId="31" r:id="rId35"/>
    <sheet state="visible" name="TALIBON" sheetId="32" r:id="rId36"/>
    <sheet state="visible" name="BOGO" sheetId="33" r:id="rId37"/>
    <sheet state="visible" name="BALAMBAN" sheetId="34" r:id="rId38"/>
    <sheet state="visible" name="Y3S BARILI" sheetId="35" r:id="rId39"/>
    <sheet state="visible" name="BARILI MB" sheetId="36" r:id="rId40"/>
    <sheet state="visible" name="SIERRA BULLONES" sheetId="37" r:id="rId41"/>
    <sheet state="visible" name="PITOGO" sheetId="38" r:id="rId42"/>
    <sheet state="visible" name="TAYUD CONSOLACION" sheetId="39" r:id="rId43"/>
    <sheet state="visible" name="PINAMUNGAJAN" sheetId="40" r:id="rId44"/>
    <sheet state="visible" name="CANDIJAY" sheetId="41" r:id="rId45"/>
    <sheet state="visible" name="YATI LILOAN" sheetId="42" r:id="rId46"/>
    <sheet state="visible" name="CAMOTES" sheetId="43" r:id="rId47"/>
  </sheets>
  <definedNames>
    <definedName hidden="1" localSheetId="4" name="Z_8117776B_4791_43D2_B8EE_445D11093BA4_.wvu.FilterData">SUMMARY!$A$1:$E$99</definedName>
  </definedNames>
  <calcPr/>
  <customWorkbookViews>
    <customWorkbookView activeSheetId="0" maximized="1" windowHeight="0" windowWidth="0" guid="{8117776B-4791-43D2-B8EE-445D11093BA4}" name="Filter 1"/>
  </customWorkbookViews>
  <pivotCaches>
    <pivotCache cacheId="0" r:id="rId48"/>
    <pivotCache cacheId="1" r:id="rId4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tc={0d5f2163-07c3-49dd-baa6-ad2f1fbf49c8}</author>
    <author>tc={1a68d766-3cee-4d9d-9194-178ee28eb536}</author>
    <author>tc={25937875-5286-4f45-8647-1eaff666ec97}</author>
    <author>tc={2e5f73bd-12ae-48a0-9e10-752c2f311b97}</author>
    <author>tc={7972df05-4e22-47d7-9b90-e4530ff21f86}</author>
    <author>tc={7ccda8e3-e9e9-472d-8df5-2b3600b5fb9f}</author>
    <author>tc={8d1be093-bb20-46a0-a0be-4b977060223a}</author>
    <author>tc={e56978f5-9930-4cda-8849-c5d074dd89c1}</author>
  </authors>
  <commentList>
    <comment authorId="0" xr:uid="{0d5f2163-07c3-49dd-baa6-ad2f1fbf49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pcs ang stocks
</t>
      </text>
    </comment>
    <comment authorId="1" xr:uid="{1a68d766-3cee-4d9d-9194-178ee28eb53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Subra 125 pcs
</t>
      </text>
    </comment>
    <comment authorId="2" xr:uid="{25937875-5286-4f45-8647-1eaff666ec97}" ref="L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 received  from LOU
</t>
      </text>
    </comment>
    <comment authorId="3" xr:uid="{2e5f73bd-12ae-48a0-9e10-752c2f311b9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naa pay 19 pcs
</t>
      </text>
    </comment>
    <comment authorId="4" xr:uid="{7972df05-4e22-47d7-9b90-e4530ff21f8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naa pay 15 ka packs
</t>
      </text>
    </comment>
    <comment authorId="5" xr:uid="{7ccda8e3-e9e9-472d-8df5-2b3600b5fb9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12/26/25
subra sa Party
</t>
      </text>
    </comment>
    <comment authorId="6" xr:uid="{8d1be093-bb20-46a0-a0be-4b977060223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kulang ug 6 pcs
</t>
      </text>
    </comment>
    <comment authorId="7" xr:uid="{e56978f5-9930-4cda-8849-c5d074dd89c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Erase this
</t>
      </text>
    </comment>
  </commentList>
</comments>
</file>

<file path=xl/sharedStrings.xml><?xml version="1.0" encoding="utf-8"?>
<sst xmlns="http://schemas.openxmlformats.org/spreadsheetml/2006/main" count="9218" uniqueCount="922">
  <si>
    <t>Timestamp</t>
  </si>
  <si>
    <t>Branch</t>
  </si>
  <si>
    <t>Date</t>
  </si>
  <si>
    <t>To</t>
  </si>
  <si>
    <t>Purpose</t>
  </si>
  <si>
    <t>ITEM_ID</t>
  </si>
  <si>
    <t>Qty</t>
  </si>
  <si>
    <t>Unit</t>
  </si>
  <si>
    <t>Description</t>
  </si>
  <si>
    <t>UPrice</t>
  </si>
  <si>
    <t>Amount</t>
  </si>
  <si>
    <t>Total</t>
  </si>
  <si>
    <t>Requested By</t>
  </si>
  <si>
    <t>Status</t>
  </si>
  <si>
    <t>Release Date</t>
  </si>
  <si>
    <t>Received By</t>
  </si>
  <si>
    <t>PDF URL</t>
  </si>
  <si>
    <t xml:space="preserve"> </t>
  </si>
  <si>
    <t>WAREHOUSE</t>
  </si>
  <si>
    <t>PURCHASING OFFICE</t>
  </si>
  <si>
    <t>SPECIAL REQUEST</t>
  </si>
  <si>
    <t>PC</t>
  </si>
  <si>
    <t>White Board</t>
  </si>
  <si>
    <t>Warehouse</t>
  </si>
  <si>
    <t>Approved</t>
  </si>
  <si>
    <t>https://drive.google.com/file/d/1n1A1UTzNz-20b75jH0Y5AdjgSiagG7tA/view?usp=drivesdk</t>
  </si>
  <si>
    <t>TUBIGON</t>
  </si>
  <si>
    <t>Chair</t>
  </si>
  <si>
    <t>https://drive.google.com/file/d/1hVy_a7MG8tjKZxKT0hb4MrFaxe_EXCMS/view?usp=drivesdk</t>
  </si>
  <si>
    <t>CLARIN</t>
  </si>
  <si>
    <t>Brother Printer</t>
  </si>
  <si>
    <t>https://drive.google.com/file/d/1UNkQa3s5U0xyq5xQJ8yCGuy1kqd0pxh4/view?usp=drivesdk</t>
  </si>
  <si>
    <t>white board</t>
  </si>
  <si>
    <t>warehouse</t>
  </si>
  <si>
    <t>Glenn</t>
  </si>
  <si>
    <t>https://drive.google.com/file/d/1t6hSLMHJHJ3EI9D7qXWaq3WoO8QkeAFN/view?usp=drivesdk</t>
  </si>
  <si>
    <t>BULACAO</t>
  </si>
  <si>
    <t>Bar Chair</t>
  </si>
  <si>
    <t>Bulacao</t>
  </si>
  <si>
    <t>https://drive.google.com/file/d/1Zs7O_1RMhToXNZgm5Fkzv0sn2-ZMRiqe/view?usp=drivesdk</t>
  </si>
  <si>
    <t>Y3S TALISAY</t>
  </si>
  <si>
    <t>Ariel</t>
  </si>
  <si>
    <t>https://drive.google.com/file/d/1C6cKHFFpTBofptivHQJo2g_KGtCnLZpm/view?usp=drivesdk</t>
  </si>
  <si>
    <t>BOGO</t>
  </si>
  <si>
    <t>Money Detector</t>
  </si>
  <si>
    <t>Kim</t>
  </si>
  <si>
    <t>https://drive.google.com/file/d/1OC9cwNA3u5G8sDESN8z-KVBqWeZzLCeS/view?usp=drivesdk</t>
  </si>
  <si>
    <t>MINGLANILLA</t>
  </si>
  <si>
    <t>BTL</t>
  </si>
  <si>
    <t>MURIATIC ACID</t>
  </si>
  <si>
    <t>https://drive.google.com/file/d/1wZAH1FJD3vE4KRJMmSrNbjuWAYsm8BBn/view?usp=drivesdk</t>
  </si>
  <si>
    <t>BARILI MB</t>
  </si>
  <si>
    <t xml:space="preserve">MOP </t>
  </si>
  <si>
    <t>DARYL CLYDE DENILA</t>
  </si>
  <si>
    <t>https://drive.google.com/file/d/1nbSNHmGkihPWapA0MUiuJpX3KiA-4YCy/view?usp=drivesdk</t>
  </si>
  <si>
    <t>YATI LILOAN</t>
  </si>
  <si>
    <t>Plastic Expandable Envelope w/ divider  long</t>
  </si>
  <si>
    <t>YATI LIOAN</t>
  </si>
  <si>
    <t>https://drive.google.com/file/d/1vhjqe399oMgU19G7wyqoqeRaxjM3Dk90/view?usp=drivesdk</t>
  </si>
  <si>
    <t>Money Bag (pencil pouch)</t>
  </si>
  <si>
    <t>https://drive.google.com/file/d/1hR2FUKT3dZGNRViReU7Y_vDjhyDQVh_u/view?usp=drivesdk</t>
  </si>
  <si>
    <t>FILE ORAGANIZER (FOR ACCOUNTANT) (Magazine Case) steel /book shelf</t>
  </si>
  <si>
    <t>SIERRA BULLONES</t>
  </si>
  <si>
    <t>TAPE DISPENSER</t>
  </si>
  <si>
    <t>https://drive.google.com/file/d/1NfsJh15vZlG7cXylBUF7_QQIkWC2VKVR/view?usp=drivesdk</t>
  </si>
  <si>
    <t>BACAYAN</t>
  </si>
  <si>
    <t>PCS</t>
  </si>
  <si>
    <t>PUDLOCK</t>
  </si>
  <si>
    <t>https://drive.google.com/file/d/1WR-TKZI0MRvQgcBp4u2UJVGfFTytW8A7/view?usp=drivesdk</t>
  </si>
  <si>
    <t>FEATHER DUSTER</t>
  </si>
  <si>
    <t>https://drive.google.com/file/d/1a0m0GQBXvzGjTO9cXZ54nspGK9BJeeHA/view?usp=drivesdk</t>
  </si>
  <si>
    <t>Y3S PARDO</t>
  </si>
  <si>
    <t xml:space="preserve">FILER (CASHIER) PAHIGDA (Magazine Case) Steel  </t>
  </si>
  <si>
    <t>https://drive.google.com/file/d/1ixSV3oaVwGkGFgjhyqR3EI9gwu3yGblo/view?usp=drivesdk</t>
  </si>
  <si>
    <t>FILER ( LOANS) PATINDOG (Magazine Case) Steel /book shelf</t>
  </si>
  <si>
    <t>CARMEN</t>
  </si>
  <si>
    <t>EXPANDED ENVELOPE</t>
  </si>
  <si>
    <t>https://drive.google.com/file/d/15zAF_9NPmyEz0XHjsK3m-9Hh1_8NMQwd/view?usp=drivesdk</t>
  </si>
  <si>
    <t>Tool Box</t>
  </si>
  <si>
    <t>https://drive.google.com/file/d/1xLAWybpV80_o0tMQWMA3dwa3b1YgAmgO/view?usp=drivesdk</t>
  </si>
  <si>
    <t>ScrewDriver</t>
  </si>
  <si>
    <t>BLT</t>
  </si>
  <si>
    <t>https://drive.google.com/file/d/1G80ZMCQF6ddiM6DjUhkwJOwCB0IqYwVe/view?usp=drivesdk</t>
  </si>
  <si>
    <t>CUTTER</t>
  </si>
  <si>
    <t>https://drive.google.com/file/d/1Dq22D_ecXUxnQi7dZZM2j57VfO7Xhh0b/view?usp=drivesdk</t>
  </si>
  <si>
    <t>STICK GLUE</t>
  </si>
  <si>
    <t>WHITEBOARD ERASER</t>
  </si>
  <si>
    <t>JENIFE OLIVA</t>
  </si>
  <si>
    <t>https://drive.google.com/file/d/1EOv7iZoRSC_RdGptl65i3v_NHv-1l7fZ/view?usp=drivesdk</t>
  </si>
  <si>
    <t>Y3S BARILI</t>
  </si>
  <si>
    <t>https://drive.google.com/file/d/16uNShiAtLgdAoZqCCg4PIOf31sCV3SMQ/view?usp=drivesdk</t>
  </si>
  <si>
    <t>ADMIN</t>
  </si>
  <si>
    <t>Plastic medium (Para sa Sudlan sa Uniform) white</t>
  </si>
  <si>
    <t>Ma'am Joy HR</t>
  </si>
  <si>
    <t>https://drive.google.com/file/d/1AU9A20MU8m_jfanAGO1iHt41W_Ij16OR/view?usp=drivesdk</t>
  </si>
  <si>
    <t>V-RAMA</t>
  </si>
  <si>
    <t>USB (Cashier, Accountant, Loans) 32G</t>
  </si>
  <si>
    <t>https://drive.google.com/file/d/1P773IJ2I_380ZtYCWyqQI7NCobLYatBl/view?usp=drivesdk</t>
  </si>
  <si>
    <t>USB 32G</t>
  </si>
  <si>
    <t>Accounting Dept.</t>
  </si>
  <si>
    <t>https://drive.google.com/file/d/15no4SHnYFGy2LYz6Pic5G_7QhFeLaiNI/view?usp=drivesdk</t>
  </si>
  <si>
    <t>LAGTANG</t>
  </si>
  <si>
    <t>YARN para sa yabe</t>
  </si>
  <si>
    <t>https://drive.google.com/file/d/1pp8v9AvTu6gueoFvoHWD7JMV6snoIUf2/view?usp=drivesdk</t>
  </si>
  <si>
    <t>Pen Holder w/ Divider ( Cashier)</t>
  </si>
  <si>
    <t>LILOAN</t>
  </si>
  <si>
    <t>File Rack/Vellum Organizer (Magazine Case) Steel / FILE CASE</t>
  </si>
  <si>
    <t>https://drive.google.com/file/d/1jQ6ugMZPD2NH47jGd-rn1YVNNAm-IMVl/view?usp=drivesdk</t>
  </si>
  <si>
    <t>TAYUD CONSOLACION</t>
  </si>
  <si>
    <t>Tayud Consolacion</t>
  </si>
  <si>
    <t>https://drive.google.com/file/d/1BNSnqcMFzBXSYQV_kzMp2EQces3ZrNFd/view?usp=drivesdk</t>
  </si>
  <si>
    <t>File Rack  (Magazine Case) color Red Plastic</t>
  </si>
  <si>
    <t>Ma'am Madi</t>
  </si>
  <si>
    <t>1/20/26</t>
  </si>
  <si>
    <t>https://drive.google.com/file/d/19wrXXlCRUWOU345j087vlu2tvyCQbSQh/view?usp=drivesdk</t>
  </si>
  <si>
    <t xml:space="preserve">ID MAKER </t>
  </si>
  <si>
    <t>IT DEPT</t>
  </si>
  <si>
    <t>https://drive.google.com/file/d/1MnFokygosY1ZTiVGl2k2GWNwT-Y52XY0/view?usp=drivesdk</t>
  </si>
  <si>
    <t>PLACTIC ENVELOPE (THICK) LONG BAGA GYUD</t>
  </si>
  <si>
    <t>12/30/25</t>
  </si>
  <si>
    <t>https://drive.google.com/file/d/1Ra0vvLkIPyiJHYnNqTKyaHHI6z5d2zfS/view?usp=drivesdk</t>
  </si>
  <si>
    <t>UV LIGHT BULB  MONEY DETECTOR (CASHIER)</t>
  </si>
  <si>
    <t>12/23/25</t>
  </si>
  <si>
    <t>https://drive.google.com/file/d/11ABwdJLv9fCMtGJ86xl75X8FblG3LE_B/view?usp=drivesdk</t>
  </si>
  <si>
    <t>CASH BOX (CASHIER)</t>
  </si>
  <si>
    <t>To Buy</t>
  </si>
  <si>
    <t>DOOR MAT</t>
  </si>
  <si>
    <t>MORNING EVOTIONAL FOR NEXT YEAR (BISAYA)</t>
  </si>
  <si>
    <t>Puched Card / DTR CARD</t>
  </si>
  <si>
    <t>https://drive.google.com/file/d/1LLYIWJU3zQAGSEHVu29spoWOOqnI9gFI/view?usp=drivesdk</t>
  </si>
  <si>
    <t>Toilet Brush</t>
  </si>
  <si>
    <t>Petty Cash By Branch</t>
  </si>
  <si>
    <t>PITOGO</t>
  </si>
  <si>
    <t>Book Shelves /File Rack</t>
  </si>
  <si>
    <t>https://drive.google.com/file/d/1gErGJFhTBLGKcQqGWVvcs7h_5ccXJIqi/view?usp=drivesdk</t>
  </si>
  <si>
    <t>Scissor</t>
  </si>
  <si>
    <t>Transparent Plastic cellophane / Zipper bag</t>
  </si>
  <si>
    <t>https://drive.google.com/file/d/1GBYpk7c5Xz3KjGNmiuS8N9iMKNkVkvC_/view?usp=drivesdk</t>
  </si>
  <si>
    <t>Tape Dispenser</t>
  </si>
  <si>
    <t>https://drive.google.com/file/d/1TFdyfaSO46J8L_tfe0vDVW7Ebd5FR9_F/view?usp=drivesdk</t>
  </si>
  <si>
    <t>Metal organizer for record book (loans)</t>
  </si>
  <si>
    <t>Plastic Envelope w/ String long (loans) For Paper's Pending &amp; Approved</t>
  </si>
  <si>
    <t>1/21/26</t>
  </si>
  <si>
    <t>https://drive.google.com/file/d/1T9q1d4yrYqkIkVgZLXe9MJCw_OEt9V_q/view?usp=drivesdk</t>
  </si>
  <si>
    <t>PINAMUNGAJAN</t>
  </si>
  <si>
    <t>BUDGET FOR RENEWAL OF BUSINESS PERMIT</t>
  </si>
  <si>
    <t>Renalyn Icalina</t>
  </si>
  <si>
    <t>Accouting Dept</t>
  </si>
  <si>
    <t>https://drive.google.com/file/d/1887rqH4UyW6D6zKZU724OtTbOTFa-EM8/view?usp=drivesdk</t>
  </si>
  <si>
    <t>TOLEDO</t>
  </si>
  <si>
    <t>FOR BUSINESS PERMIT RENEWAL</t>
  </si>
  <si>
    <t>PRECIOUS BACUS</t>
  </si>
  <si>
    <t>https://drive.google.com/file/d/1PxqmGTvPDjCBfAecPkdUDMC9qXTRBa_p/view?usp=drivesdk</t>
  </si>
  <si>
    <t>Referral fee</t>
  </si>
  <si>
    <t xml:space="preserve">Junalie Narvasa </t>
  </si>
  <si>
    <t>https://drive.google.com/file/d/1ZxVG3ZbhESqGXf6ZTWAAXpkR_bTlBPT9/view?usp=drivesdk</t>
  </si>
  <si>
    <t>Persons</t>
  </si>
  <si>
    <t>X-RAY</t>
  </si>
  <si>
    <t>EDGARDO JIMENEZ</t>
  </si>
  <si>
    <t>https://drive.google.com/file/d/1g0L7_UiFY03MIaC42syCFU_rn0_MuchH/view?usp=drivesdk</t>
  </si>
  <si>
    <t xml:space="preserve">TRAVEL EXPENSES </t>
  </si>
  <si>
    <t>BUDGET FOR BUSINESS PERMIT RENEWAL</t>
  </si>
  <si>
    <t>NEBRIA, SAMUEL</t>
  </si>
  <si>
    <t>https://drive.google.com/file/d/1amA9wWHm4833h2bYKIPRPC467QbpE3yG/view?usp=drivesdk</t>
  </si>
  <si>
    <t>SAN FERNANDO MB</t>
  </si>
  <si>
    <t>PCF FOR REPLENISHMENT FOR THE ENDING OF THE MONTH OF DECEMBER 2025.</t>
  </si>
  <si>
    <t>Francis Bagatua</t>
  </si>
  <si>
    <t>https://drive.google.com/file/d/1G1ADw31iAdZf_bccIh-A6ayWVbfD0ZPf/view?usp=drivesdk</t>
  </si>
  <si>
    <t>REQUEST FOR PAYMENT FOR BUSINESS PERMIT RENEWAL AND OTHER EXPENSES FOR RENEWAL.</t>
  </si>
  <si>
    <t>https://drive.google.com/file/d/1HD8KLZnSYEFG3I5R825l0lB3F0QBwCGk/view?usp=drivesdk</t>
  </si>
  <si>
    <t>BOX EACH</t>
  </si>
  <si>
    <t>BUDGET FOR BLUE CORE AND GEAR OIL</t>
  </si>
  <si>
    <t>AMIT, ANYA FE ESMERO</t>
  </si>
  <si>
    <t>https://drive.google.com/file/d/1nE-geVIfe5CsuqZ_GlX-kkKgTidCUHqS/view?usp=drivesdk</t>
  </si>
  <si>
    <t>UBAY</t>
  </si>
  <si>
    <t>OFFICE CHAIR (Accountant, Cashier,Loans) kay platic ra ilang Chair</t>
  </si>
  <si>
    <t>ROCILO FLORES</t>
  </si>
  <si>
    <t>https://drive.google.com/file/d/1I7lNXY6NUJiC0ypWwb5t6ZmHoJZ6OAAW/view?usp=drivesdk</t>
  </si>
  <si>
    <t>REFERRAL FEE (1 MIO GRAVIS BKV3 ASSUMED FINANCING)</t>
  </si>
  <si>
    <t>https://drive.google.com/file/d/17hSrl9t6gDeCpteYUYsL4jCszeW7f5Te/view?usp=drivesdk</t>
  </si>
  <si>
    <t>BUSINESS PERMIT RENEWAL (ESTIMATION)</t>
  </si>
  <si>
    <t>Lyneth Bianggos</t>
  </si>
  <si>
    <t>https://drive.google.com/file/d/1YGemKsdtirZ7OLf5sHg7HRp-b7FfuTzx/view?usp=drivesdk</t>
  </si>
  <si>
    <t>Y3S CORDOVA</t>
  </si>
  <si>
    <t>YAMAHA ACTIVITY FOR JANUARY 17-31,2026</t>
  </si>
  <si>
    <t>JERSON C.MARAPO</t>
  </si>
  <si>
    <t>https://drive.google.com/file/d/15r0yGo1Q6Db5kH0aaAa3NlUsLpYgJdZV/view?usp=drivesdk</t>
  </si>
  <si>
    <t>RENEWAL OF BUSINESS PERMIT</t>
  </si>
  <si>
    <t>https://drive.google.com/file/d/12obOOVDuuq_5MUoTmMacPSdrqkKKzLXX/view?usp=drivesdk</t>
  </si>
  <si>
    <t>Referral Fee</t>
  </si>
  <si>
    <t>FLORENDO, ELLEN G.</t>
  </si>
  <si>
    <t>https://drive.google.com/file/d/1t7BpztNV6Vgs9BBOoHNpWnvIlA9_9Hx9/view?usp=drivesdk</t>
  </si>
  <si>
    <t>Renewal of business permit</t>
  </si>
  <si>
    <t>Neil Ray L. Saludes</t>
  </si>
  <si>
    <t>https://drive.google.com/file/d/1624Xjau33nTf1kbh3grBYjM1GpbxwF9p/view?usp=drivesdk</t>
  </si>
  <si>
    <t>REFERRAL FEE</t>
  </si>
  <si>
    <t>https://drive.google.com/file/d/1Iozj6Vnu5er2rXvRAnfNXlUoJ-hgs3hM/view?usp=drivesdk</t>
  </si>
  <si>
    <t>KAWIT SATELLITE RENTAL FOR JANUARY 2026</t>
  </si>
  <si>
    <t>EDA TEROL</t>
  </si>
  <si>
    <t>https://drive.google.com/file/d/1Sxdx4WDDxdtbn67qJlT9HS5Y0VfbxEsg/view?usp=drivesdk</t>
  </si>
  <si>
    <t>BALAMBAN</t>
  </si>
  <si>
    <t>BUSINESS PERMIT RENEWAL</t>
  </si>
  <si>
    <t>JOHN ROGER MONTERO</t>
  </si>
  <si>
    <t>https://drive.google.com/file/d/1btuT-Tc_KM99AndkViCVCxzZvf4chwsm/view?usp=drivesdk</t>
  </si>
  <si>
    <t>4 BOXES</t>
  </si>
  <si>
    <t>BLUE CORE</t>
  </si>
  <si>
    <t>https://drive.google.com/file/d/12eLHreIoXawl3pOrji-zdEMyIKs6v36X/view?usp=drivesdk</t>
  </si>
  <si>
    <t>GEAR OIL</t>
  </si>
  <si>
    <t>RENEWAL FOR SERVICE</t>
  </si>
  <si>
    <t>MERY APLE M. PORMENTO</t>
  </si>
  <si>
    <t>https://drive.google.com/file/d/1A4q6vgivmIC-0lE9o0U37bLrRsF8QshJ/view?usp=drivesdk</t>
  </si>
  <si>
    <t>BPLO - ASSESSMENT</t>
  </si>
  <si>
    <t>https://drive.google.com/file/d/1fqMlnfyIxt0w0fQaBG-F62tJIVgVnswt/view?usp=drivesdk</t>
  </si>
  <si>
    <t>MENRO - GREENING</t>
  </si>
  <si>
    <t>BARANGAY BUSINESS CLEARANCE</t>
  </si>
  <si>
    <t>https://drive.google.com/file/d/10MxLKcf_L26uQWjenmftQAvwAiU9jmB4/view?usp=drivesdk</t>
  </si>
  <si>
    <t>BARANGAY CLEARANCE</t>
  </si>
  <si>
    <t>ODTOHAN, RICHARD</t>
  </si>
  <si>
    <t>https://drive.google.com/file/d/1HRzDvtRVCzoKL_g8lE9z1gSFeBqwDrWy/view?usp=drivesdk</t>
  </si>
  <si>
    <t>FOR RENEWAL</t>
  </si>
  <si>
    <t>Y3S SAN FERNANDO</t>
  </si>
  <si>
    <t>REQUEST BUDGET FOR BUSINESS PERMIT RENEWAL</t>
  </si>
  <si>
    <t>JAMES GENON</t>
  </si>
  <si>
    <t>https://drive.google.com/file/d/1C9S5uf0-oJ2ig4KaW8WQpQOY4ID4dsnF/view?usp=drivesdk</t>
  </si>
  <si>
    <t>WHEELS FOR COMPANY SERVICE</t>
  </si>
  <si>
    <t>LETECIA DALIMET</t>
  </si>
  <si>
    <t>https://drive.google.com/file/d/1BumVHrd7nT5npbDrEQDYyQcIYD1x2kjY/view?usp=drivesdk</t>
  </si>
  <si>
    <t>PAYMENT FOR TAX FOR THE YEAR 2025-2026</t>
  </si>
  <si>
    <t>LYNETH M BIANGGOS</t>
  </si>
  <si>
    <t>https://drive.google.com/file/d/1xg67yXEqbXXsgmzYlTg_Mn4k68qjsSu3/view?usp=drivesdk</t>
  </si>
  <si>
    <t>MAINIT, JOHN LEE ( EMARIE, EKS)</t>
  </si>
  <si>
    <t>CELLON, GLADESE P.</t>
  </si>
  <si>
    <t>https://drive.google.com/file/d/1pIoyxNdcW4lPF4UUqm_JYQNjRmYww7jh/view?usp=drivesdk</t>
  </si>
  <si>
    <t>TEJANA JEPHUNNEH L. (HIJAPON, MARILYN)</t>
  </si>
  <si>
    <t>NOTARY FEE</t>
  </si>
  <si>
    <t>CHESKA JANE LIBODLIBOD</t>
  </si>
  <si>
    <t>https://drive.google.com/file/d/1hR0two_oi-yhQN7OTduno2CfRgkh6Bnc/view?usp=drivesdk</t>
  </si>
  <si>
    <t>MONITOR</t>
  </si>
  <si>
    <t>IVY L HAMISTOSO</t>
  </si>
  <si>
    <t>https://drive.google.com/file/d/1ZYe5-6wO7FzaxyEMmgn5vbSKxv4_gPVg/view?usp=drivesdk</t>
  </si>
  <si>
    <t>KEYBOARD</t>
  </si>
  <si>
    <t>BUSINESS PERMIT BUDGET</t>
  </si>
  <si>
    <t>JANRIEL ORJALIZA</t>
  </si>
  <si>
    <t>https://drive.google.com/file/d/123TKmqp2xeZ-WQclIyLPeaAP2z-q4PQq/view?usp=drivesdk</t>
  </si>
  <si>
    <t>TALIBON</t>
  </si>
  <si>
    <t xml:space="preserve">Budget for business permit renewal </t>
  </si>
  <si>
    <t>Danilo T. Boligor Jr.</t>
  </si>
  <si>
    <t>https://drive.google.com/file/d/1uOo6OyThdqMWLlut5ihdsotmRfLvfbEc/view?usp=drivesdk</t>
  </si>
  <si>
    <t>https://drive.google.com/file/d/1Yld_qqQpktlt8uwdO9eTWaX-jChXDCzv/view?usp=drivesdk</t>
  </si>
  <si>
    <t>REQUEST FOR PAYMENT FOR BUSINESS PERMIT RENEWAL.</t>
  </si>
  <si>
    <t>https://drive.google.com/file/d/16iE4rysY5LSL0qz_ke3z9t7QFWE9t4Cr/view?usp=drivesdk</t>
  </si>
  <si>
    <t>Stapler Big for Parts with Staple wire</t>
  </si>
  <si>
    <t>Y3S Talisay</t>
  </si>
  <si>
    <t>https://drive.google.com/file/d/1UWjX79xM0MXNd2f86TbSqg525MobFS9d/view?usp=drivesdk</t>
  </si>
  <si>
    <t>business permit/xray/drugtest/fire</t>
  </si>
  <si>
    <t>https://drive.google.com/file/d/1h5nz6Zvf-n020t-4gWyWIUkuWudNvqH-/view?usp=drivesdk</t>
  </si>
  <si>
    <t>pcs</t>
  </si>
  <si>
    <t>SUPREME OIL</t>
  </si>
  <si>
    <t>CHRISTIAN BEJIC</t>
  </si>
  <si>
    <t>https://drive.google.com/file/d/1Y68g1TIYfWRik7XyPEKsQz1EFu8JSuqu/view?usp=drivesdk</t>
  </si>
  <si>
    <t>BLUE CORE OIL</t>
  </si>
  <si>
    <t>PERFORMANCE OIL</t>
  </si>
  <si>
    <t>MAYORS PERMIT</t>
  </si>
  <si>
    <t>SHYREL BRUCE D. LAMORIN</t>
  </si>
  <si>
    <t>https://drive.google.com/file/d/1dD3U7HeIk7Db_3A2q7lxwfYT6Mz1DYXX/view?usp=drivesdk</t>
  </si>
  <si>
    <t>XRAY</t>
  </si>
  <si>
    <t>FIRE(BFP)</t>
  </si>
  <si>
    <t>ESPINOSA, DENNIS</t>
  </si>
  <si>
    <t>CUESTAS, JERSON T.</t>
  </si>
  <si>
    <t>https://drive.google.com/file/d/1OefUVUY3BylL1qB3zk63iZR3gYAIgiBf/view?usp=drivesdk</t>
  </si>
  <si>
    <t>TECSON, RANDY M.</t>
  </si>
  <si>
    <t>DECHOS, CASHELLE ANNE G.</t>
  </si>
  <si>
    <t>OLAYBAR, DEITHER</t>
  </si>
  <si>
    <t>CADAYDAY, ELMAN C.</t>
  </si>
  <si>
    <t>JUNIO, EDUARDO T.</t>
  </si>
  <si>
    <t>BUSINESS  PERMIT RENEWAL</t>
  </si>
  <si>
    <t>https://drive.google.com/file/d/1IMNkcIm7TdjeCEysJCMhaSFQi83eJRKN/view?usp=drivesdk</t>
  </si>
  <si>
    <t xml:space="preserve">Additional budget for business permit renewal </t>
  </si>
  <si>
    <t>https://drive.google.com/file/d/1sV6F5ribxZhfszL6Ge5rVi3en8KehCWa/view?usp=drivesdk</t>
  </si>
  <si>
    <t>KAWIT SATELLITE BUSINESS PERMIT RENEWAL</t>
  </si>
  <si>
    <t>https://drive.google.com/file/d/1NtOFgZvBIxtw4lVYn8YbeX82HbOKqZJu/view?usp=drivesdk</t>
  </si>
  <si>
    <t>INTERNET BILL</t>
  </si>
  <si>
    <t>https://drive.google.com/file/d/1qZO0_vepdngBjRcXsreKCdJDkRFhmKZa/view?usp=drivesdk</t>
  </si>
  <si>
    <t>5 REFERRAL BUDGET</t>
  </si>
  <si>
    <t>CARBAJOSA, JOHN EDREN</t>
  </si>
  <si>
    <t>https://drive.google.com/file/d/1soA4U5qFwf9rsEXVQAluVVfHRZczENT0/view?usp=drivesdk</t>
  </si>
  <si>
    <t>https://drive.google.com/file/d/112lgNy-aRhsWa0zoyWCK-aVevK-s7_TY/view?usp=drivesdk</t>
  </si>
  <si>
    <t xml:space="preserve">REQUESTING AMOUNT FOR BUSINESS PERMIT RENEWAL </t>
  </si>
  <si>
    <t>JELLE MAE V. CABILLO</t>
  </si>
  <si>
    <t>https://drive.google.com/file/d/160Cjn9lZK9ljV25RAo3XnuMDNhdKEWef/view?usp=drivesdk</t>
  </si>
  <si>
    <t>LEGASPINO, MARLON B.(HIJAPON, MARILYN)</t>
  </si>
  <si>
    <t>https://drive.google.com/file/d/1aqrta0jMsPiYBs03sgdy_ayrPOOHWhkv/view?usp=drivesdk</t>
  </si>
  <si>
    <t>https://drive.google.com/file/d/1vCCbZRWD1iy_XHne6Fskb7ZVZabbAqwe/view?usp=drivesdk</t>
  </si>
  <si>
    <t>BFP PAYMENT</t>
  </si>
  <si>
    <t>ARQUINAN PALIN</t>
  </si>
  <si>
    <t>https://drive.google.com/file/d/1ntJmQnUAHETWWM72v4-tP22po6i-Cbj9/view?usp=drivesdk</t>
  </si>
  <si>
    <t xml:space="preserve">keys Holder / Circular ring  dako sya </t>
  </si>
  <si>
    <t>https://drive.google.com/file/d/1N16UriizFYCQ2eIQKaoZfzzlIY6J4Qxu/view?usp=drivesdk</t>
  </si>
  <si>
    <t>UPS</t>
  </si>
  <si>
    <t>ANGEL DAGOHOY</t>
  </si>
  <si>
    <t>https://drive.google.com/file/d/1VBfaD-_8CCtv3s6Z5-cT4XPCdgLGxwjQ/view?usp=drivesdk</t>
  </si>
  <si>
    <t>BOXES</t>
  </si>
  <si>
    <t>GEAR OIL(36*60.00)</t>
  </si>
  <si>
    <t>Drilyn Abatayo</t>
  </si>
  <si>
    <t>https://drive.google.com/file/d/12vb3IcU1RNM2yqPgCNACB7W9kTqAj6Jy/view?usp=drivesdk</t>
  </si>
  <si>
    <t>BLUE CORE(24*345.00)</t>
  </si>
  <si>
    <t>ST SUPREME(24*335.00)</t>
  </si>
  <si>
    <t>CORDOVA MB</t>
  </si>
  <si>
    <t>PCS.</t>
  </si>
  <si>
    <t>BUSINESS</t>
  </si>
  <si>
    <t>NATANIEL MANAGO</t>
  </si>
  <si>
    <t>https://drive.google.com/file/d/1JorlAdwEeLWP9U270Yg2juqAnzDdxgol/view?usp=drivesdk</t>
  </si>
  <si>
    <t>https://drive.google.com/file/d/1A4i9RJrf79-XtChbSLHCKtrmDcMQitO9/view?usp=drivesdk</t>
  </si>
  <si>
    <t>LAPU-LAPU</t>
  </si>
  <si>
    <t>BUSINESS PERMIT</t>
  </si>
  <si>
    <t>NELJUNE GARZON</t>
  </si>
  <si>
    <t>https://drive.google.com/file/d/1IoFZptjb7UzWjDzbLinaQHcA0j6mNdzY/view?usp=drivesdk</t>
  </si>
  <si>
    <t>REFFERAL FEE</t>
  </si>
  <si>
    <t>MATUGAS, RUEL A.</t>
  </si>
  <si>
    <t>https://drive.google.com/file/d/1iJiGqqJHLl8ofOjMT5kbefFe-TUZmUbL/view?usp=drivesdk</t>
  </si>
  <si>
    <t>MANTO, ROMEL R.</t>
  </si>
  <si>
    <t>AMBRAD, JEFFERSON D.</t>
  </si>
  <si>
    <t>MC DELIVERY OLANGO</t>
  </si>
  <si>
    <t>https://drive.google.com/file/d/1QAqhHBv9DOF73RGj78Qo8fUWQetIlJKW/view?usp=drivesdk</t>
  </si>
  <si>
    <t>SERVICE RENEWAL REFUND</t>
  </si>
  <si>
    <t>IAN OBESO</t>
  </si>
  <si>
    <t>https://drive.google.com/file/d/1QQreyPfxRbXA39oBSlkEKXBK3IgrlWb1/view?usp=drivesdk</t>
  </si>
  <si>
    <t>EMISSION FOR COMPANY SERVICE RENEWAL REFUND - YAMAHA SIGHT UNIT</t>
  </si>
  <si>
    <t>https://drive.google.com/file/d/12JsdflvNkgWNNP_xOo3_uVc1JaVUkAyY/view?usp=drivesdk</t>
  </si>
  <si>
    <t>https://drive.google.com/file/d/1kP6pbVthDiLOnG6lG-0QV5T5oPHDgD5L/view?usp=drivesdk</t>
  </si>
  <si>
    <t>PAYMENT FOR REGISTRATION RENEWAL OF COMPANY SERVICE - YAMAHA SIGHT</t>
  </si>
  <si>
    <t>https://drive.google.com/file/d/1duZ6GTt3NZgDl0gC-JHUZXt18v8DDGJ-/view?usp=drivesdk</t>
  </si>
  <si>
    <t>BUSINESS PERMIT RENEWAL BUDGET - YAMAHA PARDO</t>
  </si>
  <si>
    <t>https://drive.google.com/file/d/1AI6ofaGVv-IQzhDpDiLXnLRO1x0PsILV/view?usp=drivesdk</t>
  </si>
  <si>
    <t>ADDITIONAL BUDGET FOR PERMIT RENEWAL</t>
  </si>
  <si>
    <t>CARBAJOSA, JOHN EDREN F.</t>
  </si>
  <si>
    <t>https://drive.google.com/file/d/1VGScwchtHEvNfPClcbdnYSNF_8xvpm92/view?usp=drivesdk</t>
  </si>
  <si>
    <t>ITM086</t>
  </si>
  <si>
    <t>WYTEBORD MARKER REFILL INK PILOT (RED)</t>
  </si>
  <si>
    <t>https://drive.google.com/file/d/1EJqGx8VIWcKXWHTEM4YBK2IMFigEgekT/view?usp=drivesdk</t>
  </si>
  <si>
    <t xml:space="preserve">PAYMENT FOR SPAREPARTS - REPO UNIT AEROX 155 STD </t>
  </si>
  <si>
    <t>https://drive.google.com/file/d/1wnlQCE2WLgHWCUNwuNGicZLJ3XmXLZQ9/view?usp=drivesdk</t>
  </si>
  <si>
    <t>Mouse</t>
  </si>
  <si>
    <t>https://drive.google.com/file/d/1QrpCC-ZhWwsQOt1pX8zjqrtIqIPccfjk/view?usp=drivesdk</t>
  </si>
  <si>
    <t>https://drive.google.com/file/d/1S7puDcZcwe4lTxHUPc85s3wwvvzP57oW/view?usp=drivesdk</t>
  </si>
  <si>
    <t>BATTERY FOR XSR155</t>
  </si>
  <si>
    <t>Letecia Belong Dslimet</t>
  </si>
  <si>
    <t>https://drive.google.com/file/d/1DW0FN9jn6Y1Cetr6AdcrDX6t6Mrtnk4d/view?usp=drivesdk</t>
  </si>
  <si>
    <t>YUSON, DONATO JR S.</t>
  </si>
  <si>
    <t>https://drive.google.com/file/d/1Dlxje8ugH1yl6NZn4M2sSReDBd_3M0Fw/view?usp=drivesdk</t>
  </si>
  <si>
    <t>CABURNAY, JAYSON E.</t>
  </si>
  <si>
    <t>DAMPOR, BRIX JAMES C.</t>
  </si>
  <si>
    <t xml:space="preserve">PAGOBO, JOSE VINCENT C. </t>
  </si>
  <si>
    <t>GALABAN, IAGHAN C.</t>
  </si>
  <si>
    <t>EMBALSADO, ANGELITO C.</t>
  </si>
  <si>
    <t>LUNA, MARK JUSTINE M.</t>
  </si>
  <si>
    <t>STEEL CABINET</t>
  </si>
  <si>
    <t>Reserve to Buy</t>
  </si>
  <si>
    <t>https://drive.google.com/file/d/16svY8TfG4WcznCX2ohB3wxWq6nO_KDz6/view?usp=drivesdk</t>
  </si>
  <si>
    <t>DONG-A MY_Gel 0.3</t>
  </si>
  <si>
    <t>Ma'am Riza</t>
  </si>
  <si>
    <t>https://drive.google.com/file/d/1P5eXRYbWtxcPmZPcPaUPBM7yfoR3O1IU/view?usp=drivesdk</t>
  </si>
  <si>
    <t>DAYANGCO, XY-ZA M.</t>
  </si>
  <si>
    <t>https://drive.google.com/file/d/1mGEQQ0rC3zcAf1-IMztoNvX5Dbo1oGzz/view?usp=drivesdk</t>
  </si>
  <si>
    <t>https://drive.google.com/file/d/11HtloNM3_6XXx0mqsYvkg8pRpxp2_kU5/view?usp=drivesdk</t>
  </si>
  <si>
    <t>CEDULA</t>
  </si>
  <si>
    <t>https://drive.google.com/file/d/1FvxHWMHuFv28j-tLwyOrGKefHKWzVm7n/view?usp=drivesdk</t>
  </si>
  <si>
    <t>ITM077</t>
  </si>
  <si>
    <t>Cable Tie</t>
  </si>
  <si>
    <t>JHAISRHIE EMATA</t>
  </si>
  <si>
    <t>https://drive.google.com/file/d/12YHEEUCg_THYzPp3FMZSHdHP4YAZNQuf/view?usp=drivesdk</t>
  </si>
  <si>
    <t xml:space="preserve">Budget for January 2026 activity(acct grid) </t>
  </si>
  <si>
    <t>letecia belong dalimet</t>
  </si>
  <si>
    <t>https://drive.google.com/file/d/1AxwAHnGwujj8FWwJ3e6CQAWk-M-xpiOz/view?usp=drivesdk</t>
  </si>
  <si>
    <t>TAX ORDER PAYMENT</t>
  </si>
  <si>
    <t>https://drive.google.com/file/d/1qD5vFY2s0ogyBR9M7Ki_c1NAP4SN0RUp/view?usp=drivesdk</t>
  </si>
  <si>
    <t>CANDIJAY</t>
  </si>
  <si>
    <t>BUSINESS PERMIT RENEWAL BUDGET</t>
  </si>
  <si>
    <t>CEDRICK CAÑETE</t>
  </si>
  <si>
    <t>https://drive.google.com/file/d/1AyTUzE4My-sJg92xFzuc5ZlMa1FeOLiS/view?usp=drivesdk</t>
  </si>
  <si>
    <t>Nebria, Samuel</t>
  </si>
  <si>
    <t>https://drive.google.com/file/d/1FrYk5J719T3wfb52bXgdptvpMHl-JYsh/view?usp=drivesdk</t>
  </si>
  <si>
    <t>CAMOTES</t>
  </si>
  <si>
    <t>https://drive.google.com/file/d/1mzCRZVh108oAljtvbipXAAyqCGnFjs61/view?usp=drivesdk</t>
  </si>
  <si>
    <t xml:space="preserve">OFFICE CHAIR </t>
  </si>
  <si>
    <t>CHAIR FOR LOANS</t>
  </si>
  <si>
    <t>PLASTIC CHAIR</t>
  </si>
  <si>
    <t xml:space="preserve">2-STORAGE BOX FOR KEYS AND 24- SPLIT KEY RINGS </t>
  </si>
  <si>
    <t>ESTRERA, KENSLY GEE</t>
  </si>
  <si>
    <t>https://drive.google.com/file/d/17xEDfIuy_3PIzrBq16a6HlYjlbOgd1oE/view?usp=drivesdk</t>
  </si>
  <si>
    <t>Letecia B. Dalimet</t>
  </si>
  <si>
    <t>https://drive.google.com/file/d/150D2_T-b3anhoMG92-Ni5V5zQ0IMIbK6/view?usp=drivesdk</t>
  </si>
  <si>
    <t>TEMPORARY PLATE</t>
  </si>
  <si>
    <t>Genargue, Jiemar</t>
  </si>
  <si>
    <t>To Inventory Dept</t>
  </si>
  <si>
    <t>https://drive.google.com/file/d/1Izuj3cxu50h4l-EYZ0CawyBTRLAL38cY/view?usp=drivesdk</t>
  </si>
  <si>
    <t>YUNGCO, DENNIS C.</t>
  </si>
  <si>
    <t>https://drive.google.com/file/d/15Hyd3HztgmiprXLlh0oDP_SuX8o57cHI/view?usp=drivesdk</t>
  </si>
  <si>
    <t>SUNGAHID, JOSHUA</t>
  </si>
  <si>
    <t>REQUISITION OF BATTERY UNIT - MIO FAZZIO BRV1 CYAN DISCOUNTED 10%</t>
  </si>
  <si>
    <t>https://drive.google.com/file/d/11PMeeSURUqRC7B1xbeW98ClBu5gqu-_i/view?usp=drivesdk</t>
  </si>
  <si>
    <t>AIR CLEANER</t>
  </si>
  <si>
    <t>ADONES E. DELANTAR</t>
  </si>
  <si>
    <t>https://drive.google.com/file/d/1rEeYAc7NEXEsT3O6C1JjhBLgLMZ4JlUG/view?usp=drivesdk</t>
  </si>
  <si>
    <t>WIPER</t>
  </si>
  <si>
    <t xml:space="preserve">REQUESTING FOR BARILI MB SATELLITE RENT </t>
  </si>
  <si>
    <t>JELLE MAE V CABILLO</t>
  </si>
  <si>
    <t>https://drive.google.com/file/d/1DcJI7KjUzemZmE-yKwiTUg7GfsImBh98/view?usp=drivesdk</t>
  </si>
  <si>
    <t xml:space="preserve">MONITOR FOR ACCOUNTANT </t>
  </si>
  <si>
    <t>https://drive.google.com/file/d/179YBfog8hSfv0ERbzX1zsvjHm2WiWhFy/view?usp=drivesdk</t>
  </si>
  <si>
    <t>TIRE</t>
  </si>
  <si>
    <t>https://drive.google.com/file/d/1Gpi0ATPX6vWfWufkDIGDgJPgG6spjbXb/view?usp=drivesdk</t>
  </si>
  <si>
    <t>KIM JAMES ANCIANO</t>
  </si>
  <si>
    <t>https://drive.google.com/file/d/1S7ZFQrTmqwbc1MEumhFduZG4VfwqZeQE/view?usp=drivesdk</t>
  </si>
  <si>
    <t>PERFORMANCE</t>
  </si>
  <si>
    <t>Canopy</t>
  </si>
  <si>
    <t>https://drive.google.com/file/d/1TxjHGPlBdzA_j6tG8Ay15o9vZ5vXzmvm/view?usp=drivesdk</t>
  </si>
  <si>
    <t>AGENT/REFERRAL FEE BUDGET</t>
  </si>
  <si>
    <t>https://drive.google.com/file/d/1yjPy5AYu4MaTodWAYzW_WhRCBiEEInKX/view?usp=drivesdk</t>
  </si>
  <si>
    <t xml:space="preserve">DACALOS, PAUL BRIAN </t>
  </si>
  <si>
    <t>JERSON T. CUESTAS</t>
  </si>
  <si>
    <t>https://drive.google.com/file/d/1CBoGwsDUHrJOYT44sCDztMLLT778Eu4U/view?usp=drivesdk</t>
  </si>
  <si>
    <t>TUNDAG, MARIA CHRIS</t>
  </si>
  <si>
    <t>NAVAJA, CHARLES L.</t>
  </si>
  <si>
    <t>CAUSIN, FELIX B.</t>
  </si>
  <si>
    <t>ADVENTURER</t>
  </si>
  <si>
    <t>LYCA MAE PEPITO</t>
  </si>
  <si>
    <t>https://drive.google.com/file/d/14Rvg6I4qGWwimIgeQ7XfA2jtfexPj5xm/view?usp=drivesdk</t>
  </si>
  <si>
    <t xml:space="preserve"> PLASTIC ENVELOPE(LONG)</t>
  </si>
  <si>
    <t>ZIP LOCK/ ADHESIVE CLEAR PLASTIC(XXL)</t>
  </si>
  <si>
    <t>MOTOR BELT AND BOLA2</t>
  </si>
  <si>
    <t>https://drive.google.com/file/d/1ZxVI5UBzMRiK2zVoCmi0HyyS5K-YYkUG/view?usp=drivesdk</t>
  </si>
  <si>
    <t>REQUEST BUDGET FOR JANUARY AND FEBRUARY ACTIVITY</t>
  </si>
  <si>
    <t>https://drive.google.com/file/d/1k0seJcl4Tvi3Cy9HlH77e1FzgF7W2xf7/view?usp=drivesdk</t>
  </si>
  <si>
    <t>REQUEST BUDGET FOR REPO REPAIR</t>
  </si>
  <si>
    <t>https://drive.google.com/file/d/1E1oiv7c5j6g4nFPNqWFzDY5xRuz5K5VP/view?usp=drivesdk</t>
  </si>
  <si>
    <t>https://drive.google.com/file/d/1usOgrzNQnSeCZ-yX_L-4A2gUa171Rcjs/view?usp=drivesdk</t>
  </si>
  <si>
    <t>Budget for tent canopy</t>
  </si>
  <si>
    <t>https://drive.google.com/file/d/18Rfc3GXnWeUSLo15oOA3JBecA1q7P2xX/view?usp=drivesdk</t>
  </si>
  <si>
    <t>Leather for sidecar roof</t>
  </si>
  <si>
    <t>https://drive.google.com/file/d/1JxLGMnD0XnndDYSqPS-ElbQsjkq_t-d5/view?usp=drivesdk</t>
  </si>
  <si>
    <t>REFERRAL FEE ( 1 CT125AE BLB FINANCING)</t>
  </si>
  <si>
    <t>https://drive.google.com/file/d/1jaMnZKk9hR4Is4IZQrXQx2wgcpvPUXes/view?usp=drivesdk</t>
  </si>
  <si>
    <t>ARBEN QUIMQUE REFERRAL FEE (PACULABA, PHILIP CT125 AE BLB FINANCING)</t>
  </si>
  <si>
    <t>https://drive.google.com/file/d/1Ij5zK9qIL-pL7Jtkz5jOatQRlJ78vMXE/view?usp=drivesdk</t>
  </si>
  <si>
    <t>BLACK, PISTON RING (SET) CT100</t>
  </si>
  <si>
    <t>https://drive.google.com/file/d/1_F3T-zg5V8OElECISeA9Qn8HbNMnMUP7/view?usp=drivesdk</t>
  </si>
  <si>
    <t>1 BOX</t>
  </si>
  <si>
    <t>BUSINESS OIL</t>
  </si>
  <si>
    <t>https://drive.google.com/file/d/1tP9bliQ2D5Mtf4-P3jveWKrCoa4_2-6r/view?usp=drivesdk</t>
  </si>
  <si>
    <t>REPO UNIT BATTERY FOR MIO GEAR 3, SMASH 2</t>
  </si>
  <si>
    <t>https://drive.google.com/file/d/1w_BCfiz_Eu6-4Ya037XHZooIRwXXHncW/view?usp=drivesdk</t>
  </si>
  <si>
    <t>MIRROR</t>
  </si>
  <si>
    <t>ADAPTOR</t>
  </si>
  <si>
    <t>MIRRIO BRACKET</t>
  </si>
  <si>
    <t>TRAINING ALLOWANCE</t>
  </si>
  <si>
    <t>https://drive.google.com/file/d/13McMKbD_W1OM7AdZIPJSeSnFiaIHzujA/view?usp=drivesdk</t>
  </si>
  <si>
    <t>JOHANAN P. GARZON</t>
  </si>
  <si>
    <t>https://drive.google.com/file/d/1AKQRg7M9EB3Q9e2Ij2oaK8Z2-wMOpDx2/view?usp=drivesdk</t>
  </si>
  <si>
    <t>ACTIVITY BUDGET FOR THE MONTH OF JANUARY 2026</t>
  </si>
  <si>
    <t>https://drive.google.com/file/d/1l4hB91XPq6KjFfAUt8xdq2_YKAl5ehFW/view?usp=drivesdk</t>
  </si>
  <si>
    <t>REFERRAL BUDGET- INSTALLMENT</t>
  </si>
  <si>
    <t>https://drive.google.com/file/d/1qSU1ymzZ9GL85EkTz1dF5Tf6jg2Eh0iq/view?usp=drivesdk</t>
  </si>
  <si>
    <t>REFERRAL BUDGET- CASH</t>
  </si>
  <si>
    <t>https://drive.google.com/file/d/1LZwN41kljau1vySuIH1oqccX4QlbO4Ry/view?usp=drivesdk</t>
  </si>
  <si>
    <t xml:space="preserve">ALQUILOS, ROBEL VIC Y.-(LABANG, M) </t>
  </si>
  <si>
    <t>https://drive.google.com/file/d/1DKnN0_fZFOEXkHxsW-OpEuAUUxk2lxEE/view?usp=drivesdk</t>
  </si>
  <si>
    <t>BOX OF GIANT HELMET</t>
  </si>
  <si>
    <t>https://drive.google.com/file/d/1iOZW80Bp4Vr83QSTs0TW_KWlwEKPpF0N/view?usp=drivesdk</t>
  </si>
  <si>
    <t>50 PCS OF GIANT SWEST SHIRT</t>
  </si>
  <si>
    <t>https://drive.google.com/file/d/1vkFUmkNzi6JQ6LUuFCwpkYwI1e3uj3l_/view?usp=drivesdk</t>
  </si>
  <si>
    <t>OIL FILTER</t>
  </si>
  <si>
    <t>BLUCORE</t>
  </si>
  <si>
    <t>AUTOMATIC</t>
  </si>
  <si>
    <t>ST SUPREME</t>
  </si>
  <si>
    <t>ELITE</t>
  </si>
  <si>
    <t>REPLACEMENT COMPUTER MONITOR</t>
  </si>
  <si>
    <t>Jelle Mae V. Cabillo</t>
  </si>
  <si>
    <t>Already Request</t>
  </si>
  <si>
    <t>https://drive.google.com/file/d/1cA4MChTASQ1S7tPHll1fY_KyTMAhx2BL/view?usp=drivesdk</t>
  </si>
  <si>
    <t>TRAINING ALLOWANCE FOR SIR CARTAGENA, JEARIM</t>
  </si>
  <si>
    <t>https://drive.google.com/file/d/1WevFMQkF1wDJ2juhjkt13JhiSlwAnsq0/view?usp=drivesdk</t>
  </si>
  <si>
    <t>Company service registration renewal</t>
  </si>
  <si>
    <t>https://drive.google.com/file/d/10_ohPgzWMqJM8AfB34RJ7U0XhX5vDc7h/view?usp=drivesdk</t>
  </si>
  <si>
    <t>referral fee for Financing</t>
  </si>
  <si>
    <t>https://drive.google.com/file/d/1hP5vJYD4hGvyTKfuanE-6JJshnL0F75P/view?usp=drivesdk</t>
  </si>
  <si>
    <t>referral fee for cash sale</t>
  </si>
  <si>
    <t>PARTIAL PAYMENT FOR FULLY FURNISHED MOTORCYCLE WITHSIDECAR  ( Juan Aron ,( Aron Shop))</t>
  </si>
  <si>
    <t>JOSEPH A. QUILONG-QUILONG JR.</t>
  </si>
  <si>
    <t>https://drive.google.com/file/d/165qd4n6EM1xJvV_FNDcVLxM6na3T6Vgz/view?usp=drivesdk</t>
  </si>
  <si>
    <t>RENEWAL OF COMPANY SERVICE REGISTRATION</t>
  </si>
  <si>
    <t>https://drive.google.com/file/d/11o7q4rr4w5coIcXHsvTbwDPPfkxxkNoU/view?usp=drivesdk</t>
  </si>
  <si>
    <t xml:space="preserve">UPS  1250VA </t>
  </si>
  <si>
    <t>Pending</t>
  </si>
  <si>
    <t>https://drive.google.com/file/d/1Ji0S8z3oKK6iQllCi_qsxEqL-txDoY96/view?usp=drivesdk</t>
  </si>
  <si>
    <t>UPS 650VA</t>
  </si>
  <si>
    <t>MONTHLY ACTIVITY BUDGET - Sell out Support</t>
  </si>
  <si>
    <t>https://drive.google.com/file/d/1cGMLyxhlxiCRCSc-yxumGmCnonrfRCJC/view?usp=drivesdk</t>
  </si>
  <si>
    <t>UNITS DELIVERY TRANSPO BUDGET</t>
  </si>
  <si>
    <t>https://drive.google.com/file/d/13e7VeGx_8JYlfr-wfIm7DiV0kNTgL-cO/view?usp=drivesdk</t>
  </si>
  <si>
    <t>Branch_ID</t>
  </si>
  <si>
    <t>Email</t>
  </si>
  <si>
    <t>AD001</t>
  </si>
  <si>
    <t>gmpcpurchasing@gmail.com</t>
  </si>
  <si>
    <t>WH002</t>
  </si>
  <si>
    <t>warehousegiant21@gmail.com</t>
  </si>
  <si>
    <t>BR001</t>
  </si>
  <si>
    <t>giantmotoprolagtang@gmail.com</t>
  </si>
  <si>
    <t>BR002</t>
  </si>
  <si>
    <t>gmpcguad_accounting@yahoo.com.ph</t>
  </si>
  <si>
    <t>BR003</t>
  </si>
  <si>
    <t>ivyhamistoso@gmail.com</t>
  </si>
  <si>
    <t>BR004</t>
  </si>
  <si>
    <t>gmpcyamaha3st@gmail.com</t>
  </si>
  <si>
    <t>BR005</t>
  </si>
  <si>
    <t>giantmotoprolinao@gmail.com</t>
  </si>
  <si>
    <t>BR006</t>
  </si>
  <si>
    <t>gmpcy3spardo@yahoo.com</t>
  </si>
  <si>
    <t>BR007</t>
  </si>
  <si>
    <t>giantmotoproopon19@gmail.com</t>
  </si>
  <si>
    <t>BR008</t>
  </si>
  <si>
    <t>gmpcbacayan@gmail.com</t>
  </si>
  <si>
    <t>BR009</t>
  </si>
  <si>
    <t>gmpcsanfernando@gmail.com</t>
  </si>
  <si>
    <t>BR010</t>
  </si>
  <si>
    <t>sanfernandoyamaha3s@gmail.com</t>
  </si>
  <si>
    <t>BR011</t>
  </si>
  <si>
    <t>gmpctayud@gmail.com</t>
  </si>
  <si>
    <t>BR012</t>
  </si>
  <si>
    <t>gmpccordova@gmail.com</t>
  </si>
  <si>
    <t>BR013</t>
  </si>
  <si>
    <t>gmpccordovay3s@gmail.com</t>
  </si>
  <si>
    <t>BR014</t>
  </si>
  <si>
    <t>gmpcclarin@gmail.com</t>
  </si>
  <si>
    <t>BR015</t>
  </si>
  <si>
    <t>giantmotopro_corporation@yahoo.com.ph</t>
  </si>
  <si>
    <t>BR016</t>
  </si>
  <si>
    <t>gmpcubay@gmail.com</t>
  </si>
  <si>
    <t>BR017</t>
  </si>
  <si>
    <t>gmpccarmenbh@gmail.com</t>
  </si>
  <si>
    <t>BR018</t>
  </si>
  <si>
    <t>gmpctubigon@gmail.com</t>
  </si>
  <si>
    <t>BR019</t>
  </si>
  <si>
    <t>gmpctalibon@gmail.com</t>
  </si>
  <si>
    <t>BR020</t>
  </si>
  <si>
    <t>gmpcbogo@gmail.com</t>
  </si>
  <si>
    <t>BR021</t>
  </si>
  <si>
    <t>gmpcbalamban@gmail.com</t>
  </si>
  <si>
    <t>BR022</t>
  </si>
  <si>
    <t>yamaha3sbarili@gmail.com</t>
  </si>
  <si>
    <t>BR023</t>
  </si>
  <si>
    <t>giantmotoprobarilibranch@gmail.com</t>
  </si>
  <si>
    <t>BR024</t>
  </si>
  <si>
    <t>gmpcsierra@gmail.com</t>
  </si>
  <si>
    <t>BR025</t>
  </si>
  <si>
    <t>gmpcpitogo@gmail.com</t>
  </si>
  <si>
    <t>BR026</t>
  </si>
  <si>
    <t xml:space="preserve">gmpctayudconsolacion@gmail.com
</t>
  </si>
  <si>
    <t>BR027</t>
  </si>
  <si>
    <t>gmpcpinamungajan22@gmail.com</t>
  </si>
  <si>
    <t>BR028</t>
  </si>
  <si>
    <t>giantcandijay@gmail.com</t>
  </si>
  <si>
    <t>BR029</t>
  </si>
  <si>
    <t>gmpcyatililoan@gmail.com</t>
  </si>
  <si>
    <t>BR030</t>
  </si>
  <si>
    <t>Total Qty</t>
  </si>
  <si>
    <t>Total Amount</t>
  </si>
  <si>
    <t>Item_ID</t>
  </si>
  <si>
    <t>Total Outgoing Stocks</t>
  </si>
  <si>
    <t>ITM001</t>
  </si>
  <si>
    <t>BOND PAPER (LONG)</t>
  </si>
  <si>
    <t>REAM</t>
  </si>
  <si>
    <t>ITM002</t>
  </si>
  <si>
    <t>BOND PAPER (SHORT)</t>
  </si>
  <si>
    <t>ITM003</t>
  </si>
  <si>
    <t>BOND PAPER A4</t>
  </si>
  <si>
    <t>ITM004</t>
  </si>
  <si>
    <t>BOND PAPER NEWSPRINT (SHORT)</t>
  </si>
  <si>
    <t>ITM005</t>
  </si>
  <si>
    <t>BOND PAPER NEWSPRINT (LONG)</t>
  </si>
  <si>
    <t>ITM006</t>
  </si>
  <si>
    <t>VELLUM PAPER</t>
  </si>
  <si>
    <t>ITM007</t>
  </si>
  <si>
    <t>LOGBOOK VALIANT RECORD (150 &amp; 300P PAGES)</t>
  </si>
  <si>
    <t>ITM008</t>
  </si>
  <si>
    <t>NOTEBOOK</t>
  </si>
  <si>
    <t>ITM009</t>
  </si>
  <si>
    <t>CARBON PAPER (LONG BLUE)</t>
  </si>
  <si>
    <t>ITM010</t>
  </si>
  <si>
    <t>BROWN ENVELOPE (LONG)</t>
  </si>
  <si>
    <t>ITM011</t>
  </si>
  <si>
    <t>BROWN ENVELOPE (SHORT)</t>
  </si>
  <si>
    <t>ITM012</t>
  </si>
  <si>
    <t>BROWN FOLDER (LONG)</t>
  </si>
  <si>
    <t>ITM013</t>
  </si>
  <si>
    <t>BROWN FOLDER (SHORT)</t>
  </si>
  <si>
    <t>ITM014</t>
  </si>
  <si>
    <t>WHITE FOLDER (LONG)</t>
  </si>
  <si>
    <t>ITM015</t>
  </si>
  <si>
    <t>WHITE FOLDER (SHORT)</t>
  </si>
  <si>
    <t>ITM016</t>
  </si>
  <si>
    <t>LETTER SHORT WHITE ENVELOPE</t>
  </si>
  <si>
    <t>ITM017</t>
  </si>
  <si>
    <t>LETTER LONG WHITE ENVELOPE</t>
  </si>
  <si>
    <t>ITM018</t>
  </si>
  <si>
    <t>CARD HOLDER</t>
  </si>
  <si>
    <t>ITM019</t>
  </si>
  <si>
    <t>FLEXSTICK BLACK BALLPEN (0.5)</t>
  </si>
  <si>
    <t>ITM020</t>
  </si>
  <si>
    <t>FLEXSTICK RED BALLPEN (0.5)</t>
  </si>
  <si>
    <t>ITM021</t>
  </si>
  <si>
    <t>WYTEBORD MARKER PILOT (BLACK)</t>
  </si>
  <si>
    <t>ITM022</t>
  </si>
  <si>
    <t>WYTEBORD MARKER PILOT (RED)</t>
  </si>
  <si>
    <t>ITM023</t>
  </si>
  <si>
    <t>HIGHLIGHTER</t>
  </si>
  <si>
    <t>ITM024</t>
  </si>
  <si>
    <t>PENCIL</t>
  </si>
  <si>
    <t>ITM025</t>
  </si>
  <si>
    <t>SHARPENER</t>
  </si>
  <si>
    <t>ITM026</t>
  </si>
  <si>
    <t>ERASER</t>
  </si>
  <si>
    <t>ITM027</t>
  </si>
  <si>
    <t>CORRECTION TAPE</t>
  </si>
  <si>
    <t>ITM028</t>
  </si>
  <si>
    <t>CANDIES</t>
  </si>
  <si>
    <t>ITM029</t>
  </si>
  <si>
    <t>PUNCHER</t>
  </si>
  <si>
    <t>ITM030</t>
  </si>
  <si>
    <t>STAPLER</t>
  </si>
  <si>
    <t>ITM031</t>
  </si>
  <si>
    <t>SCISSORS</t>
  </si>
  <si>
    <t>ITM032</t>
  </si>
  <si>
    <t>GLUE</t>
  </si>
  <si>
    <t>ITM033</t>
  </si>
  <si>
    <t>RULER</t>
  </si>
  <si>
    <t>ITM034</t>
  </si>
  <si>
    <t>CALCULATOR MX-12B</t>
  </si>
  <si>
    <t>ITM035</t>
  </si>
  <si>
    <t>TAPE DISPENSER BIG</t>
  </si>
  <si>
    <t>ITM036</t>
  </si>
  <si>
    <t>SCOTCH TAPE (1 INCH)</t>
  </si>
  <si>
    <t>ITM037</t>
  </si>
  <si>
    <t>SCOTCH TAPE (2 INCH)</t>
  </si>
  <si>
    <t>ITM038</t>
  </si>
  <si>
    <t>MASKING TAPE</t>
  </si>
  <si>
    <t>ITM039</t>
  </si>
  <si>
    <t>PACKAGING TAPE BROWN</t>
  </si>
  <si>
    <t>ITM040</t>
  </si>
  <si>
    <t>DOUBLE-SIDED TAPE (1 INCH)</t>
  </si>
  <si>
    <t>ITM041</t>
  </si>
  <si>
    <t>DUCT TAPE</t>
  </si>
  <si>
    <t>ITM043</t>
  </si>
  <si>
    <t>TYPEWRITER BLACK NYLON</t>
  </si>
  <si>
    <t>ITM044</t>
  </si>
  <si>
    <t>INK EPSON 003 (YELLOW)</t>
  </si>
  <si>
    <t>ITM045</t>
  </si>
  <si>
    <t>INK EPSON 003 (MAGENTA)</t>
  </si>
  <si>
    <t>ITM046</t>
  </si>
  <si>
    <t>INK EPSON 003 (CYAN)</t>
  </si>
  <si>
    <t>ITM047</t>
  </si>
  <si>
    <t>INK EPSON 003 (BLACK)</t>
  </si>
  <si>
    <t>ITM048</t>
  </si>
  <si>
    <t>INK BROTHER BT5000Y</t>
  </si>
  <si>
    <t>ITM049</t>
  </si>
  <si>
    <t>INK BROTHER BT5000M</t>
  </si>
  <si>
    <t>ITM050</t>
  </si>
  <si>
    <t>INK BROTHER BT5000C</t>
  </si>
  <si>
    <t>ITM051</t>
  </si>
  <si>
    <t>INK BROTHER BTD60BK</t>
  </si>
  <si>
    <t>ITM052</t>
  </si>
  <si>
    <t>INK HP (YELLOW</t>
  </si>
  <si>
    <t>ITM053</t>
  </si>
  <si>
    <t>INK HP (MAGENTA)</t>
  </si>
  <si>
    <t>ITM054</t>
  </si>
  <si>
    <t>INK HP (CYAN)</t>
  </si>
  <si>
    <t>ITM055</t>
  </si>
  <si>
    <t>INK HP (BLACK)</t>
  </si>
  <si>
    <t>ITM056</t>
  </si>
  <si>
    <t>PRIDE SOAP POWDER</t>
  </si>
  <si>
    <t>ITM057</t>
  </si>
  <si>
    <t>STAMP PAD INK BLACK 30ML</t>
  </si>
  <si>
    <t>ITM058</t>
  </si>
  <si>
    <t>STAMP PAD INK BLUE 30ML</t>
  </si>
  <si>
    <t>ITM059</t>
  </si>
  <si>
    <t>STAMP PAD INK RED 30ML</t>
  </si>
  <si>
    <t>ITM060</t>
  </si>
  <si>
    <t>SUPER COLOR MARKER PILOT (BLACK)</t>
  </si>
  <si>
    <t>ITM061</t>
  </si>
  <si>
    <t>JOY</t>
  </si>
  <si>
    <t>ITM062</t>
  </si>
  <si>
    <t>DOWNY</t>
  </si>
  <si>
    <t>ITM063</t>
  </si>
  <si>
    <t>SAFEGUARD SOAP</t>
  </si>
  <si>
    <t>ITM064</t>
  </si>
  <si>
    <t>STICKY NOTES 2X2 A02</t>
  </si>
  <si>
    <t>PAD</t>
  </si>
  <si>
    <t>ITM065</t>
  </si>
  <si>
    <t>STICKY NOTES A03</t>
  </si>
  <si>
    <t>ITM066</t>
  </si>
  <si>
    <t>STICKY NOTES A05</t>
  </si>
  <si>
    <t>ITM067</t>
  </si>
  <si>
    <t>FASTENER</t>
  </si>
  <si>
    <t>BOX</t>
  </si>
  <si>
    <t>ITM068</t>
  </si>
  <si>
    <t>PAPER CLIPS 50MM</t>
  </si>
  <si>
    <t>ITM069</t>
  </si>
  <si>
    <t>PAPER CLIPS JUMBO</t>
  </si>
  <si>
    <t>ITM070</t>
  </si>
  <si>
    <t>BINDER CLIPS 2 INCHES</t>
  </si>
  <si>
    <t>ITM071</t>
  </si>
  <si>
    <t>BINDER CLIPS 1 5/8 41MM</t>
  </si>
  <si>
    <t>ITM072</t>
  </si>
  <si>
    <t>BINDER CLIPS 1 1/4 32MM</t>
  </si>
  <si>
    <t>ITM073</t>
  </si>
  <si>
    <t xml:space="preserve">BINDER CLIPS 1 INCHES </t>
  </si>
  <si>
    <t>ITM074</t>
  </si>
  <si>
    <t>STAPLE WIRE #35</t>
  </si>
  <si>
    <t>ITM075</t>
  </si>
  <si>
    <t>STAPLE WIRE #10-M</t>
  </si>
  <si>
    <t>ITM076</t>
  </si>
  <si>
    <t>RUBBER BAND ROUND RB-350</t>
  </si>
  <si>
    <t>PACK</t>
  </si>
  <si>
    <t>CABLE TIE</t>
  </si>
  <si>
    <t>ITM078</t>
  </si>
  <si>
    <t>COFFEE CUPS</t>
  </si>
  <si>
    <t>ITM079</t>
  </si>
  <si>
    <t>DRINKING CUPS</t>
  </si>
  <si>
    <t>ITM080</t>
  </si>
  <si>
    <t>COFFEE STICK</t>
  </si>
  <si>
    <t>ITM081</t>
  </si>
  <si>
    <t>CREAMER</t>
  </si>
  <si>
    <t>ITM082</t>
  </si>
  <si>
    <t>BROWN SUGAR</t>
  </si>
  <si>
    <t>ITM083</t>
  </si>
  <si>
    <t>STIRRER</t>
  </si>
  <si>
    <t>ITM084</t>
  </si>
  <si>
    <t>SUPER COLOR MARKER REFILL INK (BLACK)</t>
  </si>
  <si>
    <t>ITM085</t>
  </si>
  <si>
    <t>WYTEBORD MARKER REFILL INK PILOT (BLACK)</t>
  </si>
  <si>
    <t>ITM087</t>
  </si>
  <si>
    <t>ALBATROSS</t>
  </si>
  <si>
    <t>ITM088</t>
  </si>
  <si>
    <t>ZONROX (ORIGINAL)</t>
  </si>
  <si>
    <t>ITM089</t>
  </si>
  <si>
    <t>ZONROX (COLORSAFE)</t>
  </si>
  <si>
    <t>ITM090</t>
  </si>
  <si>
    <t>GLASS CLEANER</t>
  </si>
  <si>
    <t>ITM091</t>
  </si>
  <si>
    <t>HANDWASH</t>
  </si>
  <si>
    <t>ITM092</t>
  </si>
  <si>
    <t>RAGS</t>
  </si>
  <si>
    <t>BDL</t>
  </si>
  <si>
    <t>ITM093</t>
  </si>
  <si>
    <t>TRASH BAG (XXL)</t>
  </si>
  <si>
    <t>ROLL</t>
  </si>
  <si>
    <t>ITM094</t>
  </si>
  <si>
    <t>TRASH BAG (XL)</t>
  </si>
  <si>
    <t>ITM095</t>
  </si>
  <si>
    <t>TRASH BAG (LARGE)</t>
  </si>
  <si>
    <t>ITM096</t>
  </si>
  <si>
    <t>TRASH BAG (MEDIUM)</t>
  </si>
  <si>
    <t>ITM097</t>
  </si>
  <si>
    <t>TRASH BAG (SMALL)</t>
  </si>
  <si>
    <t>ITM098</t>
  </si>
  <si>
    <t>TISSUE PAPER</t>
  </si>
  <si>
    <t>ITM099</t>
  </si>
  <si>
    <t>INK EPSON SET</t>
  </si>
  <si>
    <t>SET</t>
  </si>
  <si>
    <t>ITM100</t>
  </si>
  <si>
    <t>INK BROTHER SET</t>
  </si>
  <si>
    <t>ITM101</t>
  </si>
  <si>
    <t>INK HP SET</t>
  </si>
  <si>
    <t>ITM102</t>
  </si>
  <si>
    <t>STAMP PAD BLUE NO.2</t>
  </si>
  <si>
    <t>ITM103</t>
  </si>
  <si>
    <t>STAMP PAD BLACK NO.2</t>
  </si>
  <si>
    <t>ITM104</t>
  </si>
  <si>
    <t>DTR CARD</t>
  </si>
  <si>
    <t>ITM105</t>
  </si>
  <si>
    <t xml:space="preserve">FASTENER LONG </t>
  </si>
  <si>
    <t>ITM106</t>
  </si>
  <si>
    <t>Total Running Stocks</t>
  </si>
  <si>
    <t>Uprice</t>
  </si>
  <si>
    <t xml:space="preserve">BINDER CLIPS 2 INCHES </t>
  </si>
  <si>
    <t xml:space="preserve">BINDER CLIPS 1 5/8 41MM </t>
  </si>
  <si>
    <t xml:space="preserve">DOOR MAT </t>
  </si>
  <si>
    <t>Real-Time Stocks</t>
  </si>
  <si>
    <t>SCOTCH TAPE (1 INCH) Total</t>
  </si>
  <si>
    <t>No Stocks Table</t>
  </si>
  <si>
    <t>No Stocks</t>
  </si>
  <si>
    <t>Critical Stocks Table</t>
  </si>
  <si>
    <t>Critical Stocks</t>
  </si>
  <si>
    <t>Warning Stocks Table</t>
  </si>
  <si>
    <t>Warning Stocks</t>
  </si>
  <si>
    <t>Normal Stocks Table</t>
  </si>
  <si>
    <t>Normal Stocks</t>
  </si>
  <si>
    <t>Grand Total</t>
  </si>
  <si>
    <t>OFFICE SUPPLIES</t>
  </si>
  <si>
    <t>MERNALYN M. JAVIER - INVENTORY DEPT.</t>
  </si>
  <si>
    <t>https://drive.google.com/file/d/1mkBvAQ_o9bmC8OjE9brLOI1HABpiLPRg/view?usp=drivesdk</t>
  </si>
  <si>
    <t>Sir Jhojie</t>
  </si>
  <si>
    <t>https://drive.google.com/file/d/18dZdLGRdHBaO0CUJoQKWNwbjJZmCmKP_/view?usp=drivesdk</t>
  </si>
  <si>
    <t>SIR JASON</t>
  </si>
  <si>
    <t>https://drive.google.com/file/d/1Ab0YvVeDXzOQD96sx4CsypHQw2BKfFew/view?usp=drivesdk</t>
  </si>
  <si>
    <t>https://drive.google.com/file/d/1xjzFeAPUUzdY_mjCQq7TEIU9BYk6dWj8/view?usp=drivesdk</t>
  </si>
  <si>
    <t>Ma'am Agnes</t>
  </si>
  <si>
    <t>https://drive.google.com/file/d/1-B5mzUQ2bdBrlxSA7lUX8Ty13MVwxN6S/view?usp=drivesdk</t>
  </si>
  <si>
    <t>Ma'am Ivy</t>
  </si>
  <si>
    <t>https://drive.google.com/file/d/1wiJ7UbibpVcnBp3gaik-iX72p3SuTufH/view?usp=drivesdk</t>
  </si>
  <si>
    <t xml:space="preserve"> LTO Dept, Ma'am Ivy</t>
  </si>
  <si>
    <t>https://drive.google.com/file/d/1bYjh7C1tRC8nqxEZ8M9nxV8gIObbASlN/view?usp=drivesdk</t>
  </si>
  <si>
    <t>Ma'am Ivy LTO dept</t>
  </si>
  <si>
    <t>https://drive.google.com/file/d/1xfz3q4lD7C_FbgkQPhMNWJ7eXgn0Fioc/view?usp=drivesdk</t>
  </si>
  <si>
    <t>https://drive.google.com/file/d/1vIeIzBmkcDS7KkQgbSdT5taZC1lFivrh/view?usp=drivesdk</t>
  </si>
  <si>
    <t>https://drive.google.com/file/d/1RBMfhNHwe35lHXtUpI1pDKYc4ZKoa8wQ/view?usp=drivesdk</t>
  </si>
  <si>
    <t>GLENN CAMPILAN</t>
  </si>
  <si>
    <t>https://drive.google.com/file/d/1gqerNjb33IlnGS9RUKG3rbnNEb_rQxyT/view?usp=drivesdk</t>
  </si>
  <si>
    <t>https://drive.google.com/file/d/1L3s7AhsuRV75CtQ7A7gIzEryNeO1U2Px/view?usp=drivesdk</t>
  </si>
  <si>
    <t>MARLON LLOYD ROSALITA</t>
  </si>
  <si>
    <t>https://drive.google.com/file/d/1NxVOGYg83D1jEFEAUgDSPC5BM_ieYkFu/view?usp=drivesdk</t>
  </si>
  <si>
    <t>PADS</t>
  </si>
  <si>
    <t>ROLLS</t>
  </si>
  <si>
    <t>https://drive.google.com/file/d/10HOVVzsHBl9a5f0sMLZrrVtKPHhLV_hz/view?usp=drivesdk</t>
  </si>
  <si>
    <t>sqd</t>
  </si>
  <si>
    <t>not allowed</t>
  </si>
  <si>
    <t>https://drive.google.com/file/d/1ZYysj228v6_ora3XiqlHp9QeMPQK5s-6/view?usp=drivesdk</t>
  </si>
  <si>
    <t>https://drive.google.com/file/d/19Bw1ttWp273eOV1yO7Zc5BKzMJCFq_Oj/view?usp=drivesdk</t>
  </si>
  <si>
    <t>https://drive.google.com/file/d/1D50iRG9y4431VEpalVjythwcGqvkeop6/view?usp=drivesdk</t>
  </si>
  <si>
    <t>https://drive.google.com/file/d/1Imgw_KdHyuQc8aB-vRdaP8L7dDYcJNXw/view?usp=drivesdk</t>
  </si>
  <si>
    <t>https://drive.google.com/file/d/1Ua2OpzR71Is9KNMZpIi61zDvACu7fD53/view?usp=drivesdk</t>
  </si>
  <si>
    <t xml:space="preserve">  Cancel</t>
  </si>
  <si>
    <t>GMPC TABUNOK</t>
  </si>
  <si>
    <t>https://drive.google.com/file/d/136EUCz5kIa0UsKwbQJjrSrGZTtxYp9zX/view?usp=drivesdk</t>
  </si>
  <si>
    <t>Junalie Narvasa</t>
  </si>
  <si>
    <t>https://drive.google.com/file/d/1_2oc1BE3n65bS1X2h_XJWvpcej26FHUz/view?usp=drivesdk</t>
  </si>
  <si>
    <t>PACKS</t>
  </si>
  <si>
    <t>No Stock</t>
  </si>
  <si>
    <t>DEMSEN G. NOVELA</t>
  </si>
  <si>
    <t>https://drive.google.com/file/d/1ha4QD8p1sD4yvOHXpIe1J-IHqOw4AjfP/view?usp=drivesdk</t>
  </si>
  <si>
    <t>Convert to Set</t>
  </si>
  <si>
    <t>BDLS</t>
  </si>
  <si>
    <t>https://drive.google.com/file/d/1Ua4_SDDL_k9iNk1rI_y6WscJ1vkjVeNX/view?usp=drivesdk</t>
  </si>
  <si>
    <t>https://drive.google.com/file/d/1op2Tssp5vPnnH3ke43tjzhP9qh3vAcWn/view?usp=drivesdk</t>
  </si>
  <si>
    <t>DEMSEN NOVELA</t>
  </si>
  <si>
    <t>https://drive.google.com/file/d/1bjVATi8DEtrNbk3gJjPSajkcpF-2RQSz/view?usp=drivesdk</t>
  </si>
  <si>
    <t>https://drive.google.com/file/d/1pji7QKNecivNs8CJ0ij7bNaKQB5m-Zw6/view?usp=drivesdk</t>
  </si>
  <si>
    <t>LETECIA B. DALIMET</t>
  </si>
  <si>
    <t>https://drive.google.com/file/d/1Yt9FDGbvMst5QmOYDkJR-VPBzu6x_Z5d/view?usp=drivesdk</t>
  </si>
  <si>
    <t>https://drive.google.com/file/d/1CBYakfFW87w4ET7LecI_QR-1K7ow_l8w/view?usp=drivesdk</t>
  </si>
  <si>
    <t>https://drive.google.com/file/d/1A2JEJE23q_jNwSr1pr6ENnQ1x9w-0Gcv/view?usp=drivesdk</t>
  </si>
  <si>
    <t>https://drive.google.com/file/d/123_nXOg97m7aWnQB2zIpFVk9QPCoa3Df/view?usp=drivesdk</t>
  </si>
  <si>
    <t>https://drive.google.com/file/d/1JWZhDB1rtpCQOpLxLdo71pL56S2ySFV_/view?usp=drivesdk</t>
  </si>
  <si>
    <t>LOGROÑO,NAZARIO</t>
  </si>
  <si>
    <t>https://drive.google.com/file/d/1eSILwWsZnqlbjLms94u7VQWjyvWK22qq/view?usp=drivesdk</t>
  </si>
  <si>
    <t>https://drive.google.com/file/d/1EQZ9ijdouzLT7k0QS9P3WP9k7sp7_YXE/view?usp=drivesdk</t>
  </si>
  <si>
    <t>https://drive.google.com/file/d/1PywfJpUjsW1Fu57Q_KPvQN7tcJRLqOhJ/view?usp=drivesdk</t>
  </si>
  <si>
    <t>https://drive.google.com/file/d/1nOSQHqV8reMA-gZkIRGm1GiYz25y6wm-/view?usp=drivesdk</t>
  </si>
  <si>
    <t>https://drive.google.com/file/d/1oVMhtmbuVHDZXP-MJnidlGBz573MGCNo/view?usp=drivesdk</t>
  </si>
  <si>
    <t>NEILJUNE GARZON</t>
  </si>
  <si>
    <t>https://drive.google.com/file/d/1fruFR1s4bUATR3TGpL5WzShpJXSG3USk/view?usp=drivesdk</t>
  </si>
  <si>
    <t>https://drive.google.com/file/d/1dlLPOnmb2qAVFWGXXv5xRV_Ts9WZiCrf/view?usp=drivesdk</t>
  </si>
  <si>
    <t>https://drive.google.com/file/d/1HSE51E39yDmiVlKwNBEDYgdulZ2nb-d4/view?usp=drivesdk</t>
  </si>
  <si>
    <t>PALIN, ARQUINAN</t>
  </si>
  <si>
    <t>https://drive.google.com/file/d/16W37bnCt1f0fYUyfRbiPXIsnJbuE8j9S/view?usp=drivesdk</t>
  </si>
  <si>
    <t>DAN PAT MCKLEIN A. ABLAZA</t>
  </si>
  <si>
    <t>https://drive.google.com/file/d/14PoFVRfr9u2ZGd11_bOqEHv7y_XpngQ-/view?usp=drivesdk</t>
  </si>
  <si>
    <t>https://drive.google.com/file/d/126etACEYy42kpHOxG-ChQLnece3hRK6o/view?usp=drivesdk</t>
  </si>
  <si>
    <t>BTLS</t>
  </si>
  <si>
    <t>https://drive.google.com/file/d/1gFUHyXryT1n2Y_U2-7UJz6JbE4F9qCPP/view?usp=drivesdk</t>
  </si>
  <si>
    <t>https://drive.google.com/file/d/1KRJ7e5c8zzCjVbWn_9f01YLq3cLKwY6y/view?usp=drivesdk</t>
  </si>
  <si>
    <t>https://drive.google.com/file/d/12MRe0W9WFQOdnJHIbFuh6GzqTPYl0X8G/view?usp=drivesdk</t>
  </si>
  <si>
    <t xml:space="preserve">     </t>
  </si>
  <si>
    <t>KIMBERLY BUENO</t>
  </si>
  <si>
    <t>https://drive.google.com/file/d/1ML_aCgb6SvHsA-Z1mrpAq6eqMGFPXfXs/view?usp=drivesdk</t>
  </si>
  <si>
    <t>Pending, No Stocks</t>
  </si>
  <si>
    <t>https://drive.google.com/file/d/1qQobbkijO0Tq3WUhrfQ5-0VclZ25ruyJ/view?usp=drivesdk</t>
  </si>
  <si>
    <t>JERSON C. MARAPO</t>
  </si>
  <si>
    <t>https://drive.google.com/file/d/11X5L76ZayEynkoGymk524J_g-cEX3EXC/view?usp=drivesdk</t>
  </si>
  <si>
    <t>https://drive.google.com/file/d/1hbhgtgyj_f1v8IekgoLNpJfrHG0ETLIb/view?usp=drivesdk</t>
  </si>
  <si>
    <t>Jerson Marapo</t>
  </si>
  <si>
    <t>https://drive.google.com/file/d/1ePSPG9_mmThPVy27hcPkUBbrKYigyDcG/view?usp=drivesdk</t>
  </si>
  <si>
    <t>https://drive.google.com/file/d/1MnH8Sd1RK25iI8Y8Up4823BjFLMMsa8m/view?usp=drivesdk</t>
  </si>
  <si>
    <t>https://drive.google.com/file/d/14msB-uOq6yCbqsUMs8xs7rcoQAQtAjEn/view?usp=drivesdk</t>
  </si>
  <si>
    <t>REAMS</t>
  </si>
  <si>
    <t>JANICE U. LAMORIN</t>
  </si>
  <si>
    <t>https://drive.google.com/file/d/1ffNntzODcJTUiDhk_OWdOeM_Hf_gL6vg/view?usp=drivesdk</t>
  </si>
  <si>
    <t>https://drive.google.com/file/d/1VoDa8EaVrgyXXpY1r0qT5qghA5CCMB0u/view?usp=drivesdk</t>
  </si>
  <si>
    <t>CHISTIAN BEJIC</t>
  </si>
  <si>
    <t>https://drive.google.com/file/d/1H6jZs4J_1iEUZfm5NRDMvnWt4LZEwuJl/view?usp=drivesdk</t>
  </si>
  <si>
    <t>https://drive.google.com/file/d/1-PzSsAaMmBtWf1JQ6MtR3_N10uivzCZ9/view?usp=drivesdk</t>
  </si>
  <si>
    <t>https://drive.google.com/file/d/1kHtCAYyPvnZZeWaTJGLPm1cC7pO3pZaP/view?usp=drivesdk</t>
  </si>
  <si>
    <t>for y3s only</t>
  </si>
  <si>
    <t>https://drive.google.com/file/d/1tzqgjqRbWKJFq4W4CQPARZFBgFQ7v8AZ/view?usp=drivesdk</t>
  </si>
  <si>
    <t>https://drive.google.com/file/d/16nCR_XtRXEEBcRUa1yqz7mvSv6iaNFQF/view?usp=drivesdk</t>
  </si>
  <si>
    <t>https://drive.google.com/file/d/18e8-Oo5piUSPjD6cQJ8bUpVfxDFtYC0k/view?usp=drivesdk</t>
  </si>
  <si>
    <t>https://drive.google.com/file/d/1ei5d6nglpMXqoUEGh-kznumcO6KgPXZl/view?usp=drivesdk</t>
  </si>
  <si>
    <t>https://drive.google.com/file/d/1OgIsRLs02FAkxFfK80-KwFLRACKw0G7H/view?usp=drivesdk</t>
  </si>
  <si>
    <t>https://drive.google.com/file/d/1Uh0jhymPT2lAkdoMzCfgRMFF2MrJsECM/view?usp=drivesdk</t>
  </si>
  <si>
    <t>https://drive.google.com/file/d/1wGRDgDG-g00NmQF1ENAj1iFWRq6SguOT/view?usp=drivesdk</t>
  </si>
  <si>
    <t>FASTENER LONG</t>
  </si>
  <si>
    <t>https://drive.google.com/file/d/17_4clGeruCwTH-dNXxbdlDIHUe-C-Vi2/view?usp=drivesdk</t>
  </si>
  <si>
    <t>https://drive.google.com/file/d/1OR-hT3KGkBd7JrGId8IbkX6quMhDUvOr/view?usp=drivesdk</t>
  </si>
  <si>
    <t>BINDER CLIPS 1 INCHES</t>
  </si>
  <si>
    <t>Arlene Barbac</t>
  </si>
  <si>
    <t>https://drive.google.com/file/d/1JVtapxQcU45_hydUPrFsrkd3yTWnGI6W/view?usp=drivesdk</t>
  </si>
  <si>
    <t>https://drive.google.com/file/d/1TkF92flcKBG99oQEhbiap-ZTImS-Fzdv/view?usp=drivesdk</t>
  </si>
  <si>
    <t>https://drive.google.com/file/d/1rVdH1DF_Yv8gY2ffBxpkyNyB-OtUb-3E/view?usp=drivesdk</t>
  </si>
  <si>
    <t>https://drive.google.com/file/d/13q8g6_yviJUgrw7_o7JaeKFZqD7KksZi/view?usp=drivesdk</t>
  </si>
  <si>
    <t>https://drive.google.com/file/d/1ZjTNNJj6F64hgQRrdEhB_kf1w4qOaHgi/view?usp=drivesdk</t>
  </si>
  <si>
    <t>https://drive.google.com/file/d/1kLgX5IBzSQogMxEajzisizmhFAeJLzPL/view?usp=drivesdk</t>
  </si>
  <si>
    <t>https://drive.google.com/file/d/1EycvXV4PWYF-bhIOTNsbnmi-WUukyPFD/view?usp=drivesdk</t>
  </si>
  <si>
    <t>https://drive.google.com/file/d/1i8j1FNGGnzJQfa2viBVCBKQ8JHmRQJEk/view?usp=drivesdk</t>
  </si>
  <si>
    <t>https://drive.google.com/file/d/1xVFGlCbUcYvdY4rba_69-UvJ2PIHtW0M/view?usp=drivesdk</t>
  </si>
  <si>
    <t>https://drive.google.com/file/d/1uVCcyL34mgWsJ17CW5g6hx1hBEDngvWn/view?usp=drivesdk</t>
  </si>
  <si>
    <t>https://drive.google.com/file/d/1YpJkgA0MhIe8kqNVMvn9iC72HvCQfbmN/view?usp=drivesdk</t>
  </si>
  <si>
    <t>RENALYN H. ICALINA</t>
  </si>
  <si>
    <t>https://drive.google.com/file/d/1Ok_Q3brJMM_GOr4tzU3O2ODLZDHnrMO6/view?usp=drivesdk</t>
  </si>
  <si>
    <t>BETHLEHEM CARBAJOSA</t>
  </si>
  <si>
    <t>https://drive.google.com/file/d/1U8NV_Llzg2TcwPb8kjXuYReGuJ5gtTuH/view?usp=drivesdk</t>
  </si>
  <si>
    <t>https://drive.google.com/file/d/1F99-jSXTh7n6wEJC3MRg-qbfU6ybm3hD/view?usp=drivesdk</t>
  </si>
  <si>
    <t>https://drive.google.com/file/d/1m-5TOVXI3fGYd7_d0I5cEBV_dGRnkODM/view?usp=drivesdk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</si>
</sst>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yyyy-MM-dd HH:mm:ss"/>
    <numFmt numFmtId="165" formatCode="yyyy-mm-dd"/>
    <numFmt numFmtId="166" formatCode="m/d/yy"/>
    <numFmt numFmtId="167" formatCode="mm/dd/yy"/>
    <numFmt numFmtId="168" formatCode="yy/m/d"/>
    <numFmt numFmtId="169" formatCode="d/m/yyyy"/>
    <numFmt numFmtId="170" formatCode="yyyy-MM-dd"/>
    <numFmt numFmtId="171" formatCode="HH:mm:ss"/>
    <numFmt numFmtId="172" formatCode="mmmm yyyy"/>
    <numFmt numFmtId="173" formatCode="yyyy/m/d"/>
    <numFmt numFmtId="174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b/>
      <i/>
      <u/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CC0000"/>
        <bgColor rgb="FFCC0000"/>
      </patternFill>
    </fill>
    <fill>
      <patternFill patternType="solid">
        <fgColor rgb="FF783F04"/>
        <bgColor rgb="FF783F04"/>
      </patternFill>
    </fill>
    <fill>
      <patternFill patternType="solid">
        <fgColor rgb="FFF1C232"/>
        <bgColor rgb="FFF1C232"/>
      </patternFill>
    </fill>
    <fill>
      <patternFill patternType="solid">
        <fgColor rgb="FF274E13"/>
        <bgColor rgb="FF274E1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4" xfId="0" applyFont="1" applyNumberFormat="1"/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1" numFmtId="164" xfId="0" applyFont="1" applyNumberForma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1" numFmtId="170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71" xfId="0" applyFont="1" applyNumberFormat="1"/>
    <xf borderId="0" fillId="0" fontId="1" numFmtId="170" xfId="0" applyFont="1" applyNumberFormat="1"/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2" fillId="0" fontId="1" numFmtId="2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left"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  <xf borderId="1" fillId="2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2" fillId="4" fontId="1" numFmtId="2" xfId="0" applyAlignment="1" applyBorder="1" applyFill="1" applyFont="1" applyNumberFormat="1">
      <alignment horizontal="center" readingOrder="0"/>
    </xf>
    <xf borderId="0" fillId="0" fontId="1" numFmtId="10" xfId="0" applyFont="1" applyNumberFormat="1"/>
    <xf borderId="2" fillId="4" fontId="1" numFmtId="2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 readingOrder="0"/>
    </xf>
    <xf borderId="2" fillId="5" fontId="1" numFmtId="2" xfId="0" applyAlignment="1" applyBorder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0" fontId="1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1" fillId="6" fontId="1" numFmtId="0" xfId="0" applyAlignment="1" applyBorder="1" applyFill="1" applyFont="1">
      <alignment horizontal="center"/>
    </xf>
    <xf borderId="1" fillId="7" fontId="1" numFmtId="0" xfId="0" applyAlignment="1" applyBorder="1" applyFill="1" applyFont="1">
      <alignment horizontal="center"/>
    </xf>
    <xf borderId="2" fillId="4" fontId="1" numFmtId="0" xfId="0" applyAlignment="1" applyBorder="1" applyFont="1">
      <alignment horizontal="center"/>
    </xf>
    <xf borderId="1" fillId="8" fontId="1" numFmtId="0" xfId="0" applyAlignment="1" applyBorder="1" applyFill="1" applyFont="1">
      <alignment horizontal="center"/>
    </xf>
    <xf borderId="3" fillId="9" fontId="1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center"/>
    </xf>
    <xf borderId="2" fillId="4" fontId="1" numFmtId="0" xfId="0" applyAlignment="1" applyBorder="1" applyFont="1">
      <alignment horizontal="center" readingOrder="0"/>
    </xf>
    <xf borderId="2" fillId="5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2" xfId="0" applyFont="1" applyNumberFormat="1"/>
    <xf borderId="0" fillId="0" fontId="1" numFmtId="172" xfId="0" applyFont="1" applyNumberFormat="1"/>
    <xf borderId="0" fillId="10" fontId="4" numFmtId="0" xfId="0" applyFill="1" applyFont="1"/>
    <xf borderId="0" fillId="11" fontId="4" numFmtId="0" xfId="0" applyFill="1" applyFont="1"/>
    <xf borderId="0" fillId="12" fontId="4" numFmtId="0" xfId="0" applyFill="1" applyFont="1"/>
    <xf borderId="0" fillId="13" fontId="4" numFmtId="0" xfId="0" applyFill="1" applyFont="1"/>
    <xf borderId="0" fillId="0" fontId="1" numFmtId="14" xfId="0" applyAlignment="1" applyFont="1" applyNumberFormat="1">
      <alignment readingOrder="0"/>
    </xf>
    <xf borderId="0" fillId="0" fontId="1" numFmtId="17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pivotCacheDefinition" Target="pivotCache/pivotCacheDefinition1.xml"/><Relationship Id="rId47" Type="http://schemas.openxmlformats.org/officeDocument/2006/relationships/worksheet" Target="worksheets/sheet43.xml"/><Relationship Id="rId49" Type="http://schemas.openxmlformats.org/officeDocument/2006/relationships/pivotCacheDefinition" Target="pivotCache/pivotCacheDefinition2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URCHASING DEPT" id="{3330a9b0-0146-4cfd-8fc5-b9c126c3a8a2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923" sheet="SPECIAL REQUEST"/>
  </cacheSource>
  <cacheFields>
    <cacheField name="Timestamp" numFmtId="164">
      <sharedItems containsDate="1" containsString="0" containsBlank="1">
        <d v="2025-11-10T01:19:01Z"/>
        <d v="2025-11-12T23:51:02Z"/>
        <d v="2025-11-12T23:52:16Z"/>
        <d v="2025-11-12T23:53:53Z"/>
        <d v="2025-11-12T23:55:55Z"/>
        <d v="2025-11-12T23:57:03Z"/>
        <d v="2025-11-12T23:58:55Z"/>
        <d v="2025-11-18T15:26:22Z"/>
        <d v="2025-11-21T09:33:54Z"/>
        <d v="2025-11-25T10:10:54Z"/>
        <d v="2025-11-27T09:32:29Z"/>
        <d v="2025-11-27T11:28:15Z"/>
        <d v="2025-11-27T11:29:49Z"/>
        <d v="2025-11-27T11:33:32Z"/>
        <d v="2025-11-27T11:37:13Z"/>
        <d v="2025-11-27T17:12:05Z"/>
        <d v="2025-11-28T11:22:00Z"/>
        <d v="2025-11-28T11:53:00Z"/>
        <d v="2025-12-01T11:18:26Z"/>
        <d v="2025-12-02T08:38:52Z"/>
        <d v="2025-12-02T16:28:29Z"/>
        <d v="2025-12-03T09:33:30Z"/>
        <d v="2025-12-04T09:28:04Z"/>
        <d v="2025-12-04T09:31:40Z"/>
        <d v="2025-12-04T13:05:50Z"/>
        <d v="2025-12-09T15:17:49Z"/>
        <d v="2025-12-09T16:36:57Z"/>
        <d v="2025-12-10T08:40:32Z"/>
        <d v="2025-12-10T15:48:12Z"/>
        <d v="2025-12-11T09:08:04Z"/>
        <d v="2025-12-15T11:31:57Z"/>
        <d v="2025-12-24T14:37:45Z"/>
        <d v="2025-12-24T14:41:20Z"/>
        <d v="2025-12-28T08:37:51Z"/>
        <d v="2025-12-30T09:15:22Z"/>
        <d v="2025-12-30T09:19:10Z"/>
        <d v="2026-01-02T10:37:31Z"/>
        <d v="2026-01-02T11:54:18Z"/>
        <d v="2026-01-02T12:22:53Z"/>
        <d v="2026-01-02T15:33:14Z"/>
        <d v="2026-01-04T08:54:30Z"/>
        <d v="2026-01-04T10:39:41Z"/>
        <d v="2026-01-04T11:18:44Z"/>
        <d v="2026-01-04T13:10:05Z"/>
        <d v="2026-01-04T13:39:29Z"/>
        <d v="2026-01-04T14:57:05Z"/>
        <d v="2026-01-05T09:03:15Z"/>
        <d v="2026-01-05T12:16:20Z"/>
        <d v="2026-01-05T13:01:44Z"/>
        <d v="2026-01-05T13:19:16Z"/>
        <d v="2026-01-05T13:54:10Z"/>
        <d v="2026-01-05T13:58:12Z"/>
        <d v="2026-01-05T14:45:41Z"/>
        <d v="2026-01-05T17:56:54Z"/>
        <d v="2026-01-05T18:08:04Z"/>
        <d v="2026-01-06T09:29:46Z"/>
        <d v="2026-01-06T09:36:16Z"/>
        <d v="2026-01-06T09:36:27Z"/>
        <d v="2026-01-06T09:54:35Z"/>
        <d v="2026-01-06T10:53:00Z"/>
        <d v="2026-01-06T16:16:35Z"/>
        <d v="2026-01-06T16:24:39Z"/>
        <d v="2026-01-06T17:16:14Z"/>
        <d v="2026-01-06T17:27:24Z"/>
        <d v="2026-01-07T08:38:11Z"/>
        <d v="2026-01-07T08:46:56Z"/>
        <d v="2026-01-07T08:51:16Z"/>
        <d v="2026-01-07T09:09:52Z"/>
        <d v="2026-01-07T09:44:54Z"/>
        <d v="2026-01-07T10:10:32Z"/>
        <d v="2026-01-07T10:53:11Z"/>
        <d v="2026-01-07T11:07:21Z"/>
        <d v="2026-01-07T13:03:37Z"/>
        <d v="2026-01-07T14:23:34Z"/>
        <d v="2026-01-07T14:52:41Z"/>
        <d v="2026-01-07T15:06:43Z"/>
        <d v="2026-01-07T15:23:10Z"/>
        <d v="2026-01-07T15:24:12Z"/>
        <d v="2026-01-07T15:48:15Z"/>
        <d v="2026-01-07T15:48:34Z"/>
        <d v="2026-01-07T15:51:47Z"/>
        <d v="2026-01-07T17:22:22Z"/>
        <d v="2026-01-07T17:22:57Z"/>
        <d v="2026-01-08T08:34:23Z"/>
        <d v="2026-01-08T09:03:22Z"/>
        <d v="2026-01-08T09:33:07Z"/>
        <d v="2026-01-08T09:39:57Z"/>
        <d v="2026-01-08T13:29:47Z"/>
        <d v="2026-01-08T13:33:12Z"/>
        <d v="2026-01-08T13:58:55Z"/>
        <d v="2026-01-08T15:53:25Z"/>
        <d v="2026-01-08T16:32:24Z"/>
        <d v="2026-01-09T08:55:55Z"/>
        <d v="2026-01-09T09:19:15Z"/>
        <d v="2026-01-09T09:19:59Z"/>
        <d v="2026-01-09T09:23:08Z"/>
        <d v="2026-01-09T09:41:41Z"/>
        <d v="2026-01-09T14:38:57Z"/>
        <d v="2026-01-09T14:48:21Z"/>
        <d v="2026-01-09T14:50:28Z"/>
        <d v="2026-01-09T15:32:27Z"/>
        <d v="2026-01-11T12:24:41Z"/>
        <d v="2026-01-11T13:09:58Z"/>
        <d v="2026-01-11T13:34:44Z"/>
        <d v="2026-01-11T14:19:48Z"/>
        <d v="2026-01-11T14:27:24Z"/>
        <d v="2026-01-11T14:37:14Z"/>
        <d v="2026-01-11T14:41:40Z"/>
        <d v="2026-01-12T09:31:49Z"/>
        <d v="2026-01-12T10:23:42Z"/>
        <d v="2026-01-12T11:27:14Z"/>
        <d v="2026-01-12T13:18:07Z"/>
        <d v="2026-01-12T16:59:23Z"/>
        <d v="2026-01-12T17:15:43Z"/>
        <d v="2026-01-12T17:24:11Z"/>
        <d v="2026-01-13T09:19:02Z"/>
        <d v="2026-01-13T09:28:22Z"/>
        <d v="2026-01-13T15:35:42Z"/>
        <d v="2026-01-13T16:34:58Z"/>
        <d v="2026-01-13T17:30:39Z"/>
        <d v="2026-01-14T08:28:18Z"/>
        <d v="2026-01-14T08:36:51Z"/>
        <d v="2026-01-14T15:42:32Z"/>
        <d v="2026-01-15T09:46:08Z"/>
        <d v="2026-01-15T10:08:49Z"/>
        <d v="2026-01-15T10:59:05Z"/>
        <d v="2026-01-15T14:13:39Z"/>
        <d v="2026-01-15T17:14:52Z"/>
        <d v="2026-01-15T17:21:41Z"/>
        <d v="2026-01-16T09:04:13Z"/>
        <d v="2026-01-16T09:14:47Z"/>
        <d v="2026-01-16T09:51:06Z"/>
        <d v="2026-01-16T09:56:22Z"/>
        <d v="2026-01-16T15:58:05Z"/>
        <d v="2026-01-18T09:38:21Z"/>
        <d v="2026-01-18T13:55:59Z"/>
        <d v="2026-01-18T14:08:16Z"/>
        <d v="2026-01-19T10:13:13Z"/>
        <d v="2026-01-19T11:23:28Z"/>
        <d v="2026-01-19T16:53:17Z"/>
        <d v="2026-01-20T08:57:33Z"/>
        <d v="2026-01-20T10:21:02Z"/>
        <d v="2026-01-20T10:53:21Z"/>
        <d v="2026-01-20T13:24:52Z"/>
        <d v="2026-01-20T14:02:13Z"/>
        <d v="2026-01-20T16:37:24Z"/>
        <d v="2026-01-20T16:58:54Z"/>
        <d v="2026-01-21T11:02:26Z"/>
        <d v="2026-01-21T13:43:31Z"/>
        <d v="2026-01-21T14:12:06Z"/>
        <d v="2026-01-21T14:49:40Z"/>
        <d v="2026-01-21T16:00:53Z"/>
        <d v="2026-01-22T09:20:46Z"/>
        <d v="2026-01-22T10:09:37Z"/>
        <d v="2026-01-22T10:25:01Z"/>
        <d v="2026-01-22T10:45:45Z"/>
        <d v="2026-01-22T11:22:06Z"/>
        <m/>
      </sharedItems>
    </cacheField>
    <cacheField name="Branch" numFmtId="0">
      <sharedItems containsBlank="1">
        <s v="WAREHOUSE"/>
        <s v="TUBIGON"/>
        <s v="CLARIN"/>
        <s v="BULACAO"/>
        <s v="Y3S TALISAY"/>
        <s v="BOGO"/>
        <s v="MINGLANILLA"/>
        <s v="BARILI MB"/>
        <s v="YATI LILOAN"/>
        <s v="SIERRA BULLONES"/>
        <s v="BACAYAN"/>
        <s v="Y3S PARDO"/>
        <s v="CARMEN"/>
        <s v="Y3S BARILI"/>
        <s v="ADMIN"/>
        <s v="V-RAMA"/>
        <s v="LAGTANG"/>
        <s v="LILOAN"/>
        <s v="TAYUD CONSOLACION"/>
        <s v="PITOGO"/>
        <s v="PINAMUNGAJAN"/>
        <s v="TOLEDO"/>
        <s v="SAN FERNANDO MB"/>
        <s v="UBAY"/>
        <s v="Y3S CORDOVA"/>
        <s v="BALAMBAN"/>
        <s v="Y3S SAN FERNANDO"/>
        <s v="TALIBON"/>
        <s v="CORDOVA MB"/>
        <s v="LAPU-LAPU"/>
        <s v="CANDIJAY"/>
        <s v="CAMOTES"/>
        <m/>
      </sharedItems>
    </cacheField>
    <cacheField name="Date" numFmtId="165">
      <sharedItems containsDate="1" containsString="0" containsBlank="1">
        <d v="2025-11-10T00:00:00Z"/>
        <d v="2025-10-30T00:00:00Z"/>
        <d v="2025-10-02T00:00:00Z"/>
        <d v="2025-09-29T00:00:00Z"/>
        <d v="2025-11-18T00:00:00Z"/>
        <d v="2025-11-21T00:00:00Z"/>
        <d v="2025-11-25T00:00:00Z"/>
        <d v="2025-11-03T00:00:00Z"/>
        <d v="2025-11-05T00:00:00Z"/>
        <d v="2025-11-28T00:00:00Z"/>
        <d v="2025-12-02T00:00:00Z"/>
        <d v="2025-11-23T00:00:00Z"/>
        <d v="2025-12-03T00:00:00Z"/>
        <d v="2025-12-04T00:00:00Z"/>
        <d v="2025-12-09T00:00:00Z"/>
        <d v="2025-12-10T00:00:00Z"/>
        <d v="2025-12-11T00:00:00Z"/>
        <d v="2025-12-15T00:00:00Z"/>
        <d v="2025-12-23T00:00:00Z"/>
        <d v="2025-12-26T00:00:00Z"/>
        <d v="2025-12-30T00:00:00Z"/>
        <d v="2026-01-02T00:00:00Z"/>
        <d v="2025-01-02T00:00:00Z"/>
        <d v="2026-01-04T00:00:00Z"/>
        <d v="2026-01-05T00:00:00Z"/>
        <d v="2026-12-05T00:00:00Z"/>
        <d v="2026-01-06T00:00:00Z"/>
        <d v="2026-01-07T00:00:00Z"/>
        <d v="2025-12-16T00:00:00Z"/>
        <d v="2025-01-07T00:00:00Z"/>
        <d v="2026-01-08T00:00:00Z"/>
        <d v="2026-01-09T00:00:00Z"/>
        <d v="2026-01-11T00:00:00Z"/>
        <d v="2026-01-12T00:00:00Z"/>
        <d v="2026-01-13T00:00:00Z"/>
        <d v="2026-01-14T00:00:00Z"/>
        <d v="2026-01-15T00:00:00Z"/>
        <d v="2026-01-16T00:00:00Z"/>
        <d v="2026-01-18T00:00:00Z"/>
        <d v="2026-11-08T00:00:00Z"/>
        <d v="2026-01-19T00:00:00Z"/>
        <d v="2026-01-20T00:00:00Z"/>
        <d v="2026-01-21T00:00:00Z"/>
        <d v="2026-01-22T00:00:00Z"/>
        <m/>
      </sharedItems>
    </cacheField>
    <cacheField name="To" numFmtId="0">
      <sharedItems containsBlank="1">
        <s v="PURCHASING OFFICE"/>
        <m/>
      </sharedItems>
    </cacheField>
    <cacheField name="Purpose" numFmtId="0">
      <sharedItems containsBlank="1">
        <s v="SPECIAL REQUEST"/>
        <m/>
      </sharedItems>
    </cacheField>
    <cacheField name="ITEM_ID" numFmtId="0">
      <sharedItems containsBlank="1">
        <m/>
        <s v="ITM086"/>
        <s v="ITM077"/>
      </sharedItems>
    </cacheField>
    <cacheField name="Qty" numFmtId="0">
      <sharedItems containsString="0" containsBlank="1" containsNumber="1" containsInteger="1">
        <n v="1.0"/>
        <n v="4.0"/>
        <n v="2.0"/>
        <n v="10.0"/>
        <n v="5.0"/>
        <n v="100.0"/>
        <n v="3.0"/>
        <n v="9.0"/>
        <n v="96.0"/>
        <n v="144.0"/>
        <n v="6.0"/>
        <n v="24.0"/>
        <n v="18.0"/>
        <n v="50.0"/>
        <n v="36.0"/>
        <n v="14.0"/>
        <n v="12.0"/>
        <m/>
      </sharedItems>
    </cacheField>
    <cacheField name="Unit">
      <sharedItems containsBlank="1" containsMixedTypes="1" containsNumber="1" containsInteger="1">
        <s v="PC"/>
        <s v="BTL"/>
        <m/>
        <s v="PCS"/>
        <s v="BLT"/>
        <s v="Persons"/>
        <s v="BOX EACH"/>
        <n v="15000.0"/>
        <s v="4 BOXES"/>
        <s v="BOXES"/>
        <s v="PCS."/>
        <n v="1.0"/>
        <s v="1 BOX"/>
      </sharedItems>
    </cacheField>
    <cacheField name="Description" numFmtId="0">
      <sharedItems containsBlank="1">
        <s v="White Board"/>
        <s v="Chair"/>
        <s v="Brother Printer"/>
        <s v="Bar Chair"/>
        <s v="Money Detector"/>
        <s v="MURIATIC ACID"/>
        <s v="MOP "/>
        <s v="Plastic Expandable Envelope w/ divider  long"/>
        <s v="Money Bag (pencil pouch)"/>
        <s v="FILE ORAGANIZER (FOR ACCOUNTANT) (Magazine Case) steel /book shelf"/>
        <s v="TAPE DISPENSER"/>
        <s v="PUDLOCK"/>
        <s v="FEATHER DUSTER"/>
        <s v="FILER (CASHIER) PAHIGDA (Magazine Case) Steel  "/>
        <s v="FILER ( LOANS) PATINDOG (Magazine Case) Steel /book shelf"/>
        <s v="EXPANDED ENVELOPE"/>
        <s v="Tool Box"/>
        <s v="ScrewDriver"/>
        <s v="CUTTER"/>
        <s v="STICK GLUE"/>
        <s v="WHITEBOARD ERASER"/>
        <s v="Plastic medium (Para sa Sudlan sa Uniform) white"/>
        <s v="USB (Cashier, Accountant, Loans) 32G"/>
        <s v="USB 32G"/>
        <s v="YARN para sa yabe"/>
        <s v="Pen Holder w/ Divider ( Cashier)"/>
        <s v="File Rack/Vellum Organizer (Magazine Case) Steel / FILE CASE"/>
        <s v="File Rack  (Magazine Case) color Red Plastic"/>
        <s v="ID MAKER "/>
        <s v="PLACTIC ENVELOPE (THICK) LONG BAGA GYUD"/>
        <s v="UV LIGHT BULB  MONEY DETECTOR (CASHIER)"/>
        <s v="CASH BOX (CASHIER)"/>
        <s v="DOOR MAT"/>
        <s v="MORNING EVOTIONAL FOR NEXT YEAR (BISAYA)"/>
        <s v="Puched Card / DTR CARD"/>
        <s v="Toilet Brush"/>
        <s v="Book Shelves /File Rack"/>
        <s v="Scissor"/>
        <s v="Transparent Plastic cellophane / Zipper bag"/>
        <s v="Metal organizer for record book (loans)"/>
        <s v="Plastic Envelope w/ String long (loans) For Paper's Pending &amp; Approved"/>
        <s v="BUDGET FOR RENEWAL OF BUSINESS PERMIT"/>
        <s v="FOR BUSINESS PERMIT RENEWAL"/>
        <s v="Referral fee"/>
        <s v="X-RAY"/>
        <s v="TRAVEL EXPENSES "/>
        <s v="BUDGET FOR BUSINESS PERMIT RENEWAL"/>
        <s v="PCF FOR REPLENISHMENT FOR THE ENDING OF THE MONTH OF DECEMBER 2025."/>
        <s v="REQUEST FOR PAYMENT FOR BUSINESS PERMIT RENEWAL AND OTHER EXPENSES FOR RENEWAL."/>
        <s v="BUDGET FOR BLUE CORE AND GEAR OIL"/>
        <s v="OFFICE CHAIR (Accountant, Cashier,Loans) kay platic ra ilang Chair"/>
        <s v="REFERRAL FEE (1 MIO GRAVIS BKV3 ASSUMED FINANCING)"/>
        <s v="BUSINESS PERMIT RENEWAL (ESTIMATION)"/>
        <s v="YAMAHA ACTIVITY FOR JANUARY 17-31,2026"/>
        <s v="RENEWAL OF BUSINESS PERMIT"/>
        <s v="KAWIT SATELLITE RENTAL FOR JANUARY 2026"/>
        <s v="BUSINESS PERMIT RENEWAL"/>
        <s v="BLUE CORE"/>
        <s v="GEAR OIL"/>
        <s v="RENEWAL FOR SERVICE"/>
        <s v="BPLO - ASSESSMENT"/>
        <s v="MENRO - GREENING"/>
        <s v="BARANGAY BUSINESS CLEARANCE"/>
        <s v="BARANGAY CLEARANCE"/>
        <s v="FOR RENEWAL"/>
        <s v="REQUEST BUDGET FOR BUSINESS PERMIT RENEWAL"/>
        <s v="WHEELS FOR COMPANY SERVICE"/>
        <s v="PAYMENT FOR TAX FOR THE YEAR 2025-2026"/>
        <s v="MAINIT, JOHN LEE ( EMARIE, EKS)"/>
        <s v="TEJANA JEPHUNNEH L. (HIJAPON, MARILYN)"/>
        <s v="NOTARY FEE"/>
        <s v="MONITOR"/>
        <s v="KEYBOARD"/>
        <s v="BUSINESS PERMIT BUDGET"/>
        <s v="Budget for business permit renewal "/>
        <s v="REQUEST FOR PAYMENT FOR BUSINESS PERMIT RENEWAL."/>
        <s v="Stapler Big for Parts with Staple wire"/>
        <s v="business permit/xray/drugtest/fire"/>
        <s v="SUPREME OIL"/>
        <s v="BLUE CORE OIL"/>
        <s v="PERFORMANCE OIL"/>
        <s v="MAYORS PERMIT"/>
        <s v="XRAY"/>
        <s v="FIRE(BFP)"/>
        <s v="ESPINOSA, DENNIS"/>
        <s v="TECSON, RANDY M."/>
        <s v="DECHOS, CASHELLE ANNE G."/>
        <s v="OLAYBAR, DEITHER"/>
        <s v="CADAYDAY, ELMAN C."/>
        <s v="JUNIO, EDUARDO T."/>
        <s v="BUSINESS  PERMIT RENEWAL"/>
        <s v="Additional budget for business permit renewal "/>
        <s v="KAWIT SATELLITE BUSINESS PERMIT RENEWAL"/>
        <s v="INTERNET BILL"/>
        <s v="5 REFERRAL BUDGET"/>
        <s v="REQUESTING AMOUNT FOR BUSINESS PERMIT RENEWAL "/>
        <s v="LEGASPINO, MARLON B.(HIJAPON, MARILYN)"/>
        <s v="BFP PAYMENT"/>
        <s v="keys Holder / Circular ring  dako sya "/>
        <s v="UPS"/>
        <s v="GEAR OIL(36*60.00)"/>
        <s v="BLUE CORE(24*345.00)"/>
        <s v="ST SUPREME(24*335.00)"/>
        <s v="BUSINESS"/>
        <s v="BUSINESS PERMIT"/>
        <s v="REFFERAL FEE"/>
        <s v="MATUGAS, RUEL A."/>
        <s v="MANTO, ROMEL R."/>
        <s v="AMBRAD, JEFFERSON D."/>
        <s v="MC DELIVERY OLANGO"/>
        <s v="SERVICE RENEWAL REFUND"/>
        <s v="EMISSION FOR COMPANY SERVICE RENEWAL REFUND - YAMAHA SIGHT UNIT"/>
        <s v="PAYMENT FOR REGISTRATION RENEWAL OF COMPANY SERVICE - YAMAHA SIGHT"/>
        <s v="BUSINESS PERMIT RENEWAL BUDGET - YAMAHA PARDO"/>
        <s v="ADDITIONAL BUDGET FOR PERMIT RENEWAL"/>
        <s v="WYTEBORD MARKER REFILL INK PILOT (RED)"/>
        <s v="PAYMENT FOR SPAREPARTS - REPO UNIT AEROX 155 STD "/>
        <s v="Mouse"/>
        <s v="BATTERY FOR XSR155"/>
        <s v="YUSON, DONATO JR S."/>
        <s v="CABURNAY, JAYSON E."/>
        <s v="DAMPOR, BRIX JAMES C."/>
        <s v="PAGOBO, JOSE VINCENT C. "/>
        <s v="GALABAN, IAGHAN C."/>
        <s v="EMBALSADO, ANGELITO C."/>
        <s v="LUNA, MARK JUSTINE M."/>
        <s v="STEEL CABINET"/>
        <s v="DONG-A MY_Gel 0.3"/>
        <s v="DAYANGCO, XY-ZA M."/>
        <s v="CEDULA"/>
        <s v="Cable Tie"/>
        <s v="Budget for January 2026 activity(acct grid) "/>
        <s v="TAX ORDER PAYMENT"/>
        <s v="BUSINESS PERMIT RENEWAL BUDGET"/>
        <s v="OFFICE CHAIR "/>
        <s v="CHAIR FOR LOANS"/>
        <s v="PLASTIC CHAIR"/>
        <s v="2-STORAGE BOX FOR KEYS AND 24- SPLIT KEY RINGS "/>
        <s v="TEMPORARY PLATE"/>
        <s v="YUNGCO, DENNIS C."/>
        <s v="SUNGAHID, JOSHUA"/>
        <s v="REQUISITION OF BATTERY UNIT - MIO FAZZIO BRV1 CYAN DISCOUNTED 10%"/>
        <s v="AIR CLEANER"/>
        <s v="WIPER"/>
        <s v="REQUESTING FOR BARILI MB SATELLITE RENT "/>
        <s v="MONITOR FOR ACCOUNTANT "/>
        <s v="TIRE"/>
        <s v="PERFORMANCE"/>
        <s v="Canopy"/>
        <s v="AGENT/REFERRAL FEE BUDGET"/>
        <s v="DACALOS, PAUL BRIAN "/>
        <s v="TUNDAG, MARIA CHRIS"/>
        <s v="NAVAJA, CHARLES L."/>
        <s v="CAUSIN, FELIX B."/>
        <s v="ADVENTURER"/>
        <s v=" PLASTIC ENVELOPE(LONG)"/>
        <s v="ZIP LOCK/ ADHESIVE CLEAR PLASTIC(XXL)"/>
        <s v="MOTOR BELT AND BOLA2"/>
        <s v="REQUEST BUDGET FOR JANUARY AND FEBRUARY ACTIVITY"/>
        <s v="REQUEST BUDGET FOR REPO REPAIR"/>
        <s v="Budget for tent canopy"/>
        <s v="Leather for sidecar roof"/>
        <s v="REFERRAL FEE ( 1 CT125AE BLB FINANCING)"/>
        <s v="ARBEN QUIMQUE REFERRAL FEE (PACULABA, PHILIP CT125 AE BLB FINANCING)"/>
        <s v="BLACK, PISTON RING (SET) CT100"/>
        <s v="BUSINESS OIL"/>
        <s v="REPO UNIT BATTERY FOR MIO GEAR 3, SMASH 2"/>
        <s v="MIRROR"/>
        <s v="ADAPTOR"/>
        <s v="MIRRIO BRACKET"/>
        <s v="TRAINING ALLOWANCE"/>
        <s v="ACTIVITY BUDGET FOR THE MONTH OF JANUARY 2026"/>
        <s v="REFERRAL BUDGET- INSTALLMENT"/>
        <s v="REFERRAL BUDGET- CASH"/>
        <s v="ALQUILOS, ROBEL VIC Y.-(LABANG, M) "/>
        <s v="BOX OF GIANT HELMET"/>
        <s v="50 PCS OF GIANT SWEST SHIRT"/>
        <s v="OIL FILTER"/>
        <s v="BLUCORE"/>
        <s v="AUTOMATIC"/>
        <s v="ST SUPREME"/>
        <s v="ELITE"/>
        <s v="REPLACEMENT COMPUTER MONITOR"/>
        <s v="TRAINING ALLOWANCE FOR SIR CARTAGENA, JEARIM"/>
        <s v="Company service registration renewal"/>
        <s v="referral fee for Financing"/>
        <s v="referral fee for cash sale"/>
        <s v="PARTIAL PAYMENT FOR FULLY FURNISHED MOTORCYCLE WITHSIDECAR  ( Juan Aron ,( Aron Shop))"/>
        <s v="RENEWAL OF COMPANY SERVICE REGISTRATION"/>
        <s v="UPS  1250VA "/>
        <s v="UPS 650VA"/>
        <s v="MONTHLY ACTIVITY BUDGET - Sell out Support"/>
        <s v="UNITS DELIVERY TRANSPO BUDGET"/>
        <m/>
      </sharedItems>
    </cacheField>
    <cacheField name="UPrice" numFmtId="0">
      <sharedItems containsString="0" containsBlank="1" containsNumber="1">
        <m/>
        <n v="43.5"/>
        <n v="208.0"/>
        <n v="59.0"/>
        <n v="330.0"/>
        <n v="45.0"/>
        <n v="352.0"/>
        <n v="14.0"/>
        <n v="752.0"/>
        <n v="42.0"/>
        <n v="15.0"/>
        <n v="6.0"/>
        <n v="86.15"/>
        <n v="250.0"/>
        <n v="8.0"/>
        <n v="96.0"/>
        <n v="360.0"/>
        <n v="30.0"/>
        <n v="600.0"/>
        <n v="35.0"/>
        <n v="400.0"/>
        <n v="300.0"/>
        <n v="120.0"/>
        <n v="10000.0"/>
        <n v="1000.0"/>
        <n v="50000.0"/>
        <n v="1945.0"/>
        <n v="10127.0"/>
        <n v="2500.0"/>
        <n v="350.0"/>
        <n v="26000.0"/>
        <n v="8500.0"/>
        <n v="23000.0"/>
        <n v="3500.0"/>
        <n v="15000.0"/>
        <n v="345.0"/>
        <n v="60.0"/>
        <n v="500.0"/>
        <n v="9595.0"/>
        <n v="1250.0"/>
        <n v="2030.0"/>
        <n v="24748.0"/>
        <n v="35000.0"/>
        <n v="2875.0"/>
        <n v="70805.0"/>
        <n v="6345.0"/>
        <n v="28000.0"/>
        <n v="22000.0"/>
        <n v="20000.0"/>
        <n v="36437.0"/>
        <n v="335.0"/>
        <n v="37382.0"/>
        <n v="1200.0"/>
        <n v="1775.0"/>
        <n v="1235.0"/>
        <n v="2280.0"/>
        <n v="2380.0"/>
        <n v="4000.0"/>
        <n v="25000.0"/>
        <n v="2830.0"/>
        <n v="984.45"/>
        <n v="2400.0"/>
        <n v="2160.0"/>
        <n v="8280.0"/>
        <n v="8040.0"/>
        <n v="204.0"/>
        <n v="58.0"/>
        <n v="25928.0"/>
        <n v="76416.0"/>
        <n v="3000.0"/>
        <n v="14946.0"/>
        <n v="47500.0"/>
        <n v="5620.0"/>
        <n v="130.0"/>
        <n v="780.0"/>
        <n v="1341.0"/>
        <n v="11400.0"/>
        <n v="31.0"/>
        <n v="1050.0"/>
        <n v="7680.0"/>
        <n v="38400.0"/>
        <n v="15615.0"/>
        <n v="1990.0"/>
        <n v="1800.0"/>
        <n v="1650.0"/>
        <n v="8000.0"/>
        <n v="840.0"/>
        <n v="7500.0"/>
        <n v="2000.0"/>
        <n v="6088.0"/>
        <n v="1708.0"/>
        <n v="5000.0"/>
        <n v="700.0"/>
        <n v="1700.0"/>
        <n v="210.0"/>
        <n v="100.0"/>
        <n v="8648.0"/>
        <n v="4800.0"/>
        <n v="230.0"/>
        <n v="260.0"/>
        <n v="2300.0"/>
        <n v="1600.0"/>
        <n v="33000.0"/>
        <n v="2250.0"/>
        <n v="6580.0"/>
        <n v="4952.0"/>
      </sharedItems>
    </cacheField>
    <cacheField name="Amount" numFmtId="4">
      <sharedItems containsString="0" containsBlank="1" containsNumber="1">
        <n v="0.0"/>
        <n v="43.5"/>
        <n v="208.0"/>
        <n v="59.0"/>
        <n v="330.0"/>
        <n v="45.0"/>
        <n v="352.0"/>
        <n v="660.0"/>
        <n v="140.0"/>
        <n v="752.0"/>
        <n v="42.0"/>
        <n v="15.0"/>
        <n v="6.0"/>
        <n v="416.0"/>
        <n v="86.15"/>
        <n v="750.0"/>
        <n v="250.0"/>
        <n v="24.0"/>
        <n v="96.0"/>
        <n v="720.0"/>
        <n v="360.0"/>
        <n v="150.0"/>
        <n v="600.0"/>
        <n v="300.0"/>
        <n v="400.0"/>
        <n v="800.0"/>
        <n v="120.0"/>
        <n v="10000.0"/>
        <n v="3000.0"/>
        <n v="900.0"/>
        <n v="90.0"/>
        <n v="50000.0"/>
        <n v="1945.0"/>
        <n v="10127.0"/>
        <n v="7500.0"/>
        <n v="350.0"/>
        <n v="26000.0"/>
        <n v="8500.0"/>
        <n v="23000.0"/>
        <n v="2000.0"/>
        <n v="3500.0"/>
        <n v="15000.0"/>
        <n v="33120.0"/>
        <n v="8640.0"/>
        <n v="500.0"/>
        <n v="9595.0"/>
        <n v="1250.0"/>
        <n v="1000.0"/>
        <n v="2030.0"/>
        <n v="24748.0"/>
        <n v="35000.0"/>
        <n v="2875.0"/>
        <n v="70805.0"/>
        <n v="6345.0"/>
        <n v="28000.0"/>
        <n v="22000.0"/>
        <n v="6000.0"/>
        <n v="20000.0"/>
        <n v="36437.0"/>
        <n v="8040.0"/>
        <n v="8280.0"/>
        <n v="37382.0"/>
        <n v="1200.0"/>
        <n v="1775.0"/>
        <n v="1235.0"/>
        <n v="2280.0"/>
        <n v="2380.0"/>
        <n v="4000.0"/>
        <n v="5000.0"/>
        <n v="25000.0"/>
        <n v="2830.0"/>
        <n v="984.45"/>
        <n v="75.0"/>
        <n v="2400.0"/>
        <n v="4320.0"/>
        <n v="24840.0"/>
        <n v="16080.0"/>
        <n v="4896.0"/>
        <n v="1044.0"/>
        <n v="25928.0"/>
        <n v="76416.0"/>
        <n v="14946.0"/>
        <n v="47500.0"/>
        <n v="5620.0"/>
        <n v="130.0"/>
        <n v="780.0"/>
        <n v="1341.0"/>
        <n v="11400.0"/>
        <n v="31.0"/>
        <n v="1050.0"/>
        <n v="450.0"/>
        <n v="7680.0"/>
        <n v="38400.0"/>
        <n v="15615.0"/>
        <n v="3980.0"/>
        <n v="1800.0"/>
        <n v="1650.0"/>
        <n v="8000.0"/>
        <n v="840.0"/>
        <n v="6088.0"/>
        <n v="1708.0"/>
        <n v="700.0"/>
        <n v="1700.0"/>
        <n v="5040.0"/>
        <n v="2160.0"/>
        <n v="30.0"/>
        <n v="100.0"/>
        <n v="4900.0"/>
        <n v="8648.0"/>
        <n v="4800.0"/>
        <n v="5520.0"/>
        <n v="6240.0"/>
        <n v="2300.0"/>
        <n v="1600.0"/>
        <n v="165000.0"/>
        <n v="2250.0"/>
        <n v="6580.0"/>
        <n v="4952.0"/>
        <m/>
      </sharedItems>
    </cacheField>
    <cacheField name="Total" numFmtId="4">
      <sharedItems containsString="0" containsBlank="1" containsNumber="1">
        <n v="0.0"/>
        <n v="43.5"/>
        <n v="208.0"/>
        <n v="59.0"/>
        <n v="330.0"/>
        <n v="90.0"/>
        <n v="352.0"/>
        <n v="660.0"/>
        <n v="140.0"/>
        <n v="794.0"/>
        <n v="15.0"/>
        <n v="30.0"/>
        <n v="416.0"/>
        <n v="86.15"/>
        <n v="750.0"/>
        <n v="250.0"/>
        <n v="24.0"/>
        <n v="96.0"/>
        <n v="720.0"/>
        <n v="360.0"/>
        <n v="150.0"/>
        <n v="600.0"/>
        <n v="300.0"/>
        <n v="400.0"/>
        <n v="800.0"/>
        <n v="120.0"/>
        <n v="10000.0"/>
        <n v="3000.0"/>
        <n v="990.0"/>
        <n v="50000.0"/>
        <n v="1945.0"/>
        <n v="10127.0"/>
        <n v="7500.0"/>
        <n v="350.0"/>
        <n v="26000.0"/>
        <n v="8500.0"/>
        <n v="23000.0"/>
        <n v="2000.0"/>
        <n v="3500.0"/>
        <n v="15000.0"/>
        <n v="41760.0"/>
        <n v="500.0"/>
        <n v="11175.0"/>
        <n v="1000.0"/>
        <n v="26778.0"/>
        <n v="35000.0"/>
        <n v="2875.0"/>
        <n v="70805.0"/>
        <n v="6345.0"/>
        <n v="28000.0"/>
        <n v="22000.0"/>
        <n v="6000.0"/>
        <n v="20000.0"/>
        <n v="36437.0"/>
        <n v="22320.0"/>
        <n v="41592.0"/>
        <n v="2280.0"/>
        <n v="2380.0"/>
        <n v="4000.0"/>
        <n v="5000.0"/>
        <n v="25000.0"/>
        <n v="2830.0"/>
        <n v="984.45"/>
        <n v="75.0"/>
        <n v="2400.0"/>
        <n v="45240.0"/>
        <n v="13980.0"/>
        <n v="25928.0"/>
        <n v="78416.0"/>
        <n v="14946.0"/>
        <n v="1200.0"/>
        <n v="47500.0"/>
        <n v="5620.0"/>
        <n v="130.0"/>
        <n v="780.0"/>
        <n v="1341.0"/>
        <n v="7000.0"/>
        <n v="11400.0"/>
        <n v="31.0"/>
        <n v="1050.0"/>
        <n v="450.0"/>
        <n v="7680.0"/>
        <n v="38400.0"/>
        <n v="15615.0"/>
        <n v="18380.0"/>
        <n v="1800.0"/>
        <n v="2150.0"/>
        <n v="8000.0"/>
        <n v="840.0"/>
        <n v="6088.0"/>
        <n v="1708.0"/>
        <n v="8200.0"/>
        <n v="1700.0"/>
        <n v="7200.0"/>
        <n v="1460.0"/>
        <n v="4900.0"/>
        <n v="8648.0"/>
        <n v="4800.0"/>
        <n v="4250.0"/>
        <n v="4500.0"/>
        <n v="30240.0"/>
        <n v="2300.0"/>
        <n v="1600.0"/>
        <n v="1250.0"/>
        <n v="165000.0"/>
        <n v="4050.0"/>
        <n v="6580.0"/>
        <n v="4952.0"/>
        <m/>
      </sharedItems>
    </cacheField>
    <cacheField name="Requested By" numFmtId="0">
      <sharedItems containsBlank="1">
        <s v="Warehouse"/>
        <s v="TUBIGON"/>
        <s v="CLARIN"/>
        <s v="Bulacao"/>
        <s v="Y3S TALISAY"/>
        <s v="BOGO"/>
        <s v="MINGLANILLA"/>
        <s v="DARYL CLYDE DENILA"/>
        <s v="YATI LIOAN"/>
        <s v="SIERRA BULLONES"/>
        <s v="BACAYAN"/>
        <s v="Y3S PARDO"/>
        <s v="CARMEN"/>
        <s v="JENIFE OLIVA"/>
        <s v="Y3S BARILI"/>
        <s v="Ma'am Joy HR"/>
        <s v="V-RAMA"/>
        <s v="Accounting Dept."/>
        <s v="LAGTANG"/>
        <s v="LILOAN"/>
        <s v="Tayud Consolacion"/>
        <s v="Ma'am Madi"/>
        <s v="IT DEPT"/>
        <s v="PITOGO"/>
        <s v="Renalyn Icalina"/>
        <s v="PRECIOUS BACUS"/>
        <s v="Junalie Narvasa "/>
        <s v="EDGARDO JIMENEZ"/>
        <s v="NEBRIA, SAMUEL"/>
        <s v="Francis Bagatua"/>
        <s v="AMIT, ANYA FE ESMERO"/>
        <s v="ROCILO FLORES"/>
        <s v="Lyneth Bianggos"/>
        <s v="JERSON C.MARAPO"/>
        <s v="FLORENDO, ELLEN G."/>
        <s v="Neil Ray L. Saludes"/>
        <s v="EDA TEROL"/>
        <s v="JOHN ROGER MONTERO"/>
        <s v="MERY APLE M. PORMENTO"/>
        <s v="ODTOHAN, RICHARD"/>
        <s v="JAMES GENON"/>
        <s v="LETECIA DALIMET"/>
        <s v="LYNETH M BIANGGOS"/>
        <s v="CELLON, GLADESE P."/>
        <s v="CHESKA JANE LIBODLIBOD"/>
        <s v="IVY L HAMISTOSO"/>
        <s v="JANRIEL ORJALIZA"/>
        <s v="Danilo T. Boligor Jr."/>
        <s v="CHRISTIAN BEJIC"/>
        <s v="SHYREL BRUCE D. LAMORIN"/>
        <s v="CUESTAS, JERSON T."/>
        <s v="CARBAJOSA, JOHN EDREN"/>
        <s v="JELLE MAE V. CABILLO"/>
        <s v="ARQUINAN PALIN"/>
        <s v="ANGEL DAGOHOY"/>
        <s v="Drilyn Abatayo"/>
        <s v="NATANIEL MANAGO"/>
        <s v="NELJUNE GARZON"/>
        <s v="IAN OBESO"/>
        <s v="CARBAJOSA, JOHN EDREN F."/>
        <s v="UBAY"/>
        <s v="Letecia Belong Dslimet"/>
        <s v="Ma'am Riza"/>
        <s v="JHAISRHIE EMATA"/>
        <s v="letecia belong dalimet"/>
        <s v="CEDRICK CAÑETE"/>
        <s v="CAMOTES"/>
        <s v="ESTRERA, KENSLY GEE"/>
        <s v="Letecia B. Dalimet"/>
        <s v="Genargue, Jiemar"/>
        <s v="ADONES E. DELANTAR"/>
        <s v="JELLE MAE V CABILLO"/>
        <s v="KIM JAMES ANCIANO"/>
        <s v="JERSON T. CUESTAS"/>
        <s v="LYCA MAE PEPITO"/>
        <s v="JOHANAN P. GARZON"/>
        <s v="JOSEPH A. QUILONG-QUILONG JR."/>
        <m/>
      </sharedItems>
    </cacheField>
    <cacheField name="Status" numFmtId="0">
      <sharedItems containsBlank="1">
        <s v="Approved"/>
        <s v="To Buy"/>
        <s v="Petty Cash By Branch"/>
        <s v="Accouting Dept"/>
        <s v="Reserve to Buy"/>
        <s v="To Inventory Dept"/>
        <s v="Already Request"/>
        <s v="Pending"/>
        <m/>
      </sharedItems>
    </cacheField>
    <cacheField name="Release Date">
      <sharedItems containsDate="1" containsBlank="1" containsMixedTypes="1">
        <d v="2025-11-10T00:00:00Z"/>
        <d v="2025-10-30T00:00:00Z"/>
        <d v="2025-10-02T00:00:00Z"/>
        <d v="2025-09-29T00:00:00Z"/>
        <d v="2025-11-19T00:00:00Z"/>
        <d v="2025-12-02T00:00:00Z"/>
        <d v="2025-11-26T00:00:00Z"/>
        <d v="2012-11-25T00:00:00Z"/>
        <d v="2025-11-28T00:00:00Z"/>
        <d v="2025-12-04T00:00:00Z"/>
        <d v="2025-12-09T00:00:00Z"/>
        <s v="1/20/26"/>
        <m/>
        <s v="12/30/25"/>
        <s v="12/23/25"/>
        <d v="2026-12-01T00:00:00Z"/>
        <s v="1/21/26"/>
      </sharedItems>
    </cacheField>
    <cacheField name="Received By" numFmtId="0">
      <sharedItems containsBlank="1">
        <m/>
        <s v="Glenn"/>
        <s v="Ariel"/>
        <s v="Kim"/>
      </sharedItems>
    </cacheField>
    <cacheField name="PDF URL" numFmtId="0">
      <sharedItems containsBlank="1">
        <s v="https://drive.google.com/file/d/1n1A1UTzNz-20b75jH0Y5AdjgSiagG7tA/view?usp=drivesdk"/>
        <s v="https://drive.google.com/file/d/1hVy_a7MG8tjKZxKT0hb4MrFaxe_EXCMS/view?usp=drivesdk"/>
        <s v="https://drive.google.com/file/d/1UNkQa3s5U0xyq5xQJ8yCGuy1kqd0pxh4/view?usp=drivesdk"/>
        <s v="https://drive.google.com/file/d/1t6hSLMHJHJ3EI9D7qXWaq3WoO8QkeAFN/view?usp=drivesdk"/>
        <s v="https://drive.google.com/file/d/1Zs7O_1RMhToXNZgm5Fkzv0sn2-ZMRiqe/view?usp=drivesdk"/>
        <s v="https://drive.google.com/file/d/1C6cKHFFpTBofptivHQJo2g_KGtCnLZpm/view?usp=drivesdk"/>
        <s v="https://drive.google.com/file/d/1OC9cwNA3u5G8sDESN8z-KVBqWeZzLCeS/view?usp=drivesdk"/>
        <s v="https://drive.google.com/file/d/1wZAH1FJD3vE4KRJMmSrNbjuWAYsm8BBn/view?usp=drivesdk"/>
        <s v="https://drive.google.com/file/d/1nbSNHmGkihPWapA0MUiuJpX3KiA-4YCy/view?usp=drivesdk"/>
        <s v="https://drive.google.com/file/d/1vhjqe399oMgU19G7wyqoqeRaxjM3Dk90/view?usp=drivesdk"/>
        <s v="https://drive.google.com/file/d/1hR2FUKT3dZGNRViReU7Y_vDjhyDQVh_u/view?usp=drivesdk"/>
        <s v="https://drive.google.com/file/d/1NfsJh15vZlG7cXylBUF7_QQIkWC2VKVR/view?usp=drivesdk"/>
        <s v="https://drive.google.com/file/d/1WR-TKZI0MRvQgcBp4u2UJVGfFTytW8A7/view?usp=drivesdk"/>
        <s v="https://drive.google.com/file/d/1a0m0GQBXvzGjTO9cXZ54nspGK9BJeeHA/view?usp=drivesdk"/>
        <s v="https://drive.google.com/file/d/1ixSV3oaVwGkGFgjhyqR3EI9gwu3yGblo/view?usp=drivesdk"/>
        <s v="https://drive.google.com/file/d/15zAF_9NPmyEz0XHjsK3m-9Hh1_8NMQwd/view?usp=drivesdk"/>
        <s v="https://drive.google.com/file/d/1xLAWybpV80_o0tMQWMA3dwa3b1YgAmgO/view?usp=drivesdk"/>
        <s v="https://drive.google.com/file/d/1G80ZMCQF6ddiM6DjUhkwJOwCB0IqYwVe/view?usp=drivesdk"/>
        <s v="https://drive.google.com/file/d/1Dq22D_ecXUxnQi7dZZM2j57VfO7Xhh0b/view?usp=drivesdk"/>
        <s v="https://drive.google.com/file/d/1EOv7iZoRSC_RdGptl65i3v_NHv-1l7fZ/view?usp=drivesdk"/>
        <s v="https://drive.google.com/file/d/16uNShiAtLgdAoZqCCg4PIOf31sCV3SMQ/view?usp=drivesdk"/>
        <s v="https://drive.google.com/file/d/1AU9A20MU8m_jfanAGO1iHt41W_Ij16OR/view?usp=drivesdk"/>
        <s v="https://drive.google.com/file/d/1P773IJ2I_380ZtYCWyqQI7NCobLYatBl/view?usp=drivesdk"/>
        <s v="https://drive.google.com/file/d/15no4SHnYFGy2LYz6Pic5G_7QhFeLaiNI/view?usp=drivesdk"/>
        <s v="https://drive.google.com/file/d/1pp8v9AvTu6gueoFvoHWD7JMV6snoIUf2/view?usp=drivesdk"/>
        <s v="https://drive.google.com/file/d/1jQ6ugMZPD2NH47jGd-rn1YVNNAm-IMVl/view?usp=drivesdk"/>
        <s v="https://drive.google.com/file/d/1BNSnqcMFzBXSYQV_kzMp2EQces3ZrNFd/view?usp=drivesdk"/>
        <s v="https://drive.google.com/file/d/19wrXXlCRUWOU345j087vlu2tvyCQbSQh/view?usp=drivesdk"/>
        <s v="https://drive.google.com/file/d/1MnFokygosY1ZTiVGl2k2GWNwT-Y52XY0/view?usp=drivesdk"/>
        <s v="https://drive.google.com/file/d/1Ra0vvLkIPyiJHYnNqTKyaHHI6z5d2zfS/view?usp=drivesdk"/>
        <s v="https://drive.google.com/file/d/11ABwdJLv9fCMtGJ86xl75X8FblG3LE_B/view?usp=drivesdk"/>
        <s v="https://drive.google.com/file/d/1LLYIWJU3zQAGSEHVu29spoWOOqnI9gFI/view?usp=drivesdk"/>
        <s v="https://drive.google.com/file/d/1gErGJFhTBLGKcQqGWVvcs7h_5ccXJIqi/view?usp=drivesdk"/>
        <s v="https://drive.google.com/file/d/1GBYpk7c5Xz3KjGNmiuS8N9iMKNkVkvC_/view?usp=drivesdk"/>
        <s v="https://drive.google.com/file/d/1TFdyfaSO46J8L_tfe0vDVW7Ebd5FR9_F/view?usp=drivesdk"/>
        <s v="https://drive.google.com/file/d/1T9q1d4yrYqkIkVgZLXe9MJCw_OEt9V_q/view?usp=drivesdk"/>
        <s v="https://drive.google.com/file/d/1887rqH4UyW6D6zKZU724OtTbOTFa-EM8/view?usp=drivesdk"/>
        <s v="https://drive.google.com/file/d/1PxqmGTvPDjCBfAecPkdUDMC9qXTRBa_p/view?usp=drivesdk"/>
        <s v="https://drive.google.com/file/d/1ZxVG3ZbhESqGXf6ZTWAAXpkR_bTlBPT9/view?usp=drivesdk"/>
        <s v="https://drive.google.com/file/d/1g0L7_UiFY03MIaC42syCFU_rn0_MuchH/view?usp=drivesdk"/>
        <s v="https://drive.google.com/file/d/1amA9wWHm4833h2bYKIPRPC467QbpE3yG/view?usp=drivesdk"/>
        <s v="https://drive.google.com/file/d/1G1ADw31iAdZf_bccIh-A6ayWVbfD0ZPf/view?usp=drivesdk"/>
        <s v="https://drive.google.com/file/d/1HD8KLZnSYEFG3I5R825l0lB3F0QBwCGk/view?usp=drivesdk"/>
        <s v="https://drive.google.com/file/d/1nE-geVIfe5CsuqZ_GlX-kkKgTidCUHqS/view?usp=drivesdk"/>
        <s v="https://drive.google.com/file/d/1I7lNXY6NUJiC0ypWwb5t6ZmHoJZ6OAAW/view?usp=drivesdk"/>
        <s v="https://drive.google.com/file/d/17hSrl9t6gDeCpteYUYsL4jCszeW7f5Te/view?usp=drivesdk"/>
        <s v="https://drive.google.com/file/d/1YGemKsdtirZ7OLf5sHg7HRp-b7FfuTzx/view?usp=drivesdk"/>
        <s v="https://drive.google.com/file/d/15r0yGo1Q6Db5kH0aaAa3NlUsLpYgJdZV/view?usp=drivesdk"/>
        <s v="https://drive.google.com/file/d/12obOOVDuuq_5MUoTmMacPSdrqkKKzLXX/view?usp=drivesdk"/>
        <s v="https://drive.google.com/file/d/1t7BpztNV6Vgs9BBOoHNpWnvIlA9_9Hx9/view?usp=drivesdk"/>
        <s v="https://drive.google.com/file/d/1624Xjau33nTf1kbh3grBYjM1GpbxwF9p/view?usp=drivesdk"/>
        <s v="https://drive.google.com/file/d/1Iozj6Vnu5er2rXvRAnfNXlUoJ-hgs3hM/view?usp=drivesdk"/>
        <s v="https://drive.google.com/file/d/1Sxdx4WDDxdtbn67qJlT9HS5Y0VfbxEsg/view?usp=drivesdk"/>
        <s v="https://drive.google.com/file/d/1btuT-Tc_KM99AndkViCVCxzZvf4chwsm/view?usp=drivesdk"/>
        <s v="https://drive.google.com/file/d/12eLHreIoXawl3pOrji-zdEMyIKs6v36X/view?usp=drivesdk"/>
        <s v="https://drive.google.com/file/d/1A4q6vgivmIC-0lE9o0U37bLrRsF8QshJ/view?usp=drivesdk"/>
        <s v="https://drive.google.com/file/d/1fqMlnfyIxt0w0fQaBG-F62tJIVgVnswt/view?usp=drivesdk"/>
        <s v="https://drive.google.com/file/d/10MxLKcf_L26uQWjenmftQAvwAiU9jmB4/view?usp=drivesdk"/>
        <s v="https://drive.google.com/file/d/1HRzDvtRVCzoKL_g8lE9z1gSFeBqwDrWy/view?usp=drivesdk"/>
        <s v="https://drive.google.com/file/d/1C9S5uf0-oJ2ig4KaW8WQpQOY4ID4dsnF/view?usp=drivesdk"/>
        <s v="https://drive.google.com/file/d/1BumVHrd7nT5npbDrEQDYyQcIYD1x2kjY/view?usp=drivesdk"/>
        <s v="https://drive.google.com/file/d/1xg67yXEqbXXsgmzYlTg_Mn4k68qjsSu3/view?usp=drivesdk"/>
        <s v="https://drive.google.com/file/d/1pIoyxNdcW4lPF4UUqm_JYQNjRmYww7jh/view?usp=drivesdk"/>
        <s v="https://drive.google.com/file/d/1hR0two_oi-yhQN7OTduno2CfRgkh6Bnc/view?usp=drivesdk"/>
        <s v="https://drive.google.com/file/d/1ZYe5-6wO7FzaxyEMmgn5vbSKxv4_gPVg/view?usp=drivesdk"/>
        <s v="https://drive.google.com/file/d/123TKmqp2xeZ-WQclIyLPeaAP2z-q4PQq/view?usp=drivesdk"/>
        <s v="https://drive.google.com/file/d/1uOo6OyThdqMWLlut5ihdsotmRfLvfbEc/view?usp=drivesdk"/>
        <s v="https://drive.google.com/file/d/1Yld_qqQpktlt8uwdO9eTWaX-jChXDCzv/view?usp=drivesdk"/>
        <s v="https://drive.google.com/file/d/16iE4rysY5LSL0qz_ke3z9t7QFWE9t4Cr/view?usp=drivesdk"/>
        <s v="https://drive.google.com/file/d/1UWjX79xM0MXNd2f86TbSqg525MobFS9d/view?usp=drivesdk"/>
        <s v="https://drive.google.com/file/d/1h5nz6Zvf-n020t-4gWyWIUkuWudNvqH-/view?usp=drivesdk"/>
        <s v="https://drive.google.com/file/d/1Y68g1TIYfWRik7XyPEKsQz1EFu8JSuqu/view?usp=drivesdk"/>
        <s v="https://drive.google.com/file/d/1dD3U7HeIk7Db_3A2q7lxwfYT6Mz1DYXX/view?usp=drivesdk"/>
        <s v="https://drive.google.com/file/d/1OefUVUY3BylL1qB3zk63iZR3gYAIgiBf/view?usp=drivesdk"/>
        <s v="https://drive.google.com/file/d/1IMNkcIm7TdjeCEysJCMhaSFQi83eJRKN/view?usp=drivesdk"/>
        <s v="https://drive.google.com/file/d/1sV6F5ribxZhfszL6Ge5rVi3en8KehCWa/view?usp=drivesdk"/>
        <s v="https://drive.google.com/file/d/1NtOFgZvBIxtw4lVYn8YbeX82HbOKqZJu/view?usp=drivesdk"/>
        <s v="https://drive.google.com/file/d/1qZO0_vepdngBjRcXsreKCdJDkRFhmKZa/view?usp=drivesdk"/>
        <s v="https://drive.google.com/file/d/1soA4U5qFwf9rsEXVQAluVVfHRZczENT0/view?usp=drivesdk"/>
        <s v="https://drive.google.com/file/d/112lgNy-aRhsWa0zoyWCK-aVevK-s7_TY/view?usp=drivesdk"/>
        <s v="https://drive.google.com/file/d/160Cjn9lZK9ljV25RAo3XnuMDNhdKEWef/view?usp=drivesdk"/>
        <s v="https://drive.google.com/file/d/1aqrta0jMsPiYBs03sgdy_ayrPOOHWhkv/view?usp=drivesdk"/>
        <s v="https://drive.google.com/file/d/1vCCbZRWD1iy_XHne6Fskb7ZVZabbAqwe/view?usp=drivesdk"/>
        <s v="https://drive.google.com/file/d/1ntJmQnUAHETWWM72v4-tP22po6i-Cbj9/view?usp=drivesdk"/>
        <s v="https://drive.google.com/file/d/1N16UriizFYCQ2eIQKaoZfzzlIY6J4Qxu/view?usp=drivesdk"/>
        <s v="https://drive.google.com/file/d/1VBfaD-_8CCtv3s6Z5-cT4XPCdgLGxwjQ/view?usp=drivesdk"/>
        <s v="https://drive.google.com/file/d/12vb3IcU1RNM2yqPgCNACB7W9kTqAj6Jy/view?usp=drivesdk"/>
        <s v="https://drive.google.com/file/d/1JorlAdwEeLWP9U270Yg2juqAnzDdxgol/view?usp=drivesdk"/>
        <s v="https://drive.google.com/file/d/1A4i9RJrf79-XtChbSLHCKtrmDcMQitO9/view?usp=drivesdk"/>
        <s v="https://drive.google.com/file/d/1IoFZptjb7UzWjDzbLinaQHcA0j6mNdzY/view?usp=drivesdk"/>
        <s v="https://drive.google.com/file/d/1iJiGqqJHLl8ofOjMT5kbefFe-TUZmUbL/view?usp=drivesdk"/>
        <s v="https://drive.google.com/file/d/1QAqhHBv9DOF73RGj78Qo8fUWQetIlJKW/view?usp=drivesdk"/>
        <s v="https://drive.google.com/file/d/1QQreyPfxRbXA39oBSlkEKXBK3IgrlWb1/view?usp=drivesdk"/>
        <s v="https://drive.google.com/file/d/12JsdflvNkgWNNP_xOo3_uVc1JaVUkAyY/view?usp=drivesdk"/>
        <s v="https://drive.google.com/file/d/1kP6pbVthDiLOnG6lG-0QV5T5oPHDgD5L/view?usp=drivesdk"/>
        <s v="https://drive.google.com/file/d/1duZ6GTt3NZgDl0gC-JHUZXt18v8DDGJ-/view?usp=drivesdk"/>
        <s v="https://drive.google.com/file/d/1AI6ofaGVv-IQzhDpDiLXnLRO1x0PsILV/view?usp=drivesdk"/>
        <s v="https://drive.google.com/file/d/1VGScwchtHEvNfPClcbdnYSNF_8xvpm92/view?usp=drivesdk"/>
        <s v="https://drive.google.com/file/d/1EJqGx8VIWcKXWHTEM4YBK2IMFigEgekT/view?usp=drivesdk"/>
        <s v="https://drive.google.com/file/d/1wnlQCE2WLgHWCUNwuNGicZLJ3XmXLZQ9/view?usp=drivesdk"/>
        <s v="https://drive.google.com/file/d/1QrpCC-ZhWwsQOt1pX8zjqrtIqIPccfjk/view?usp=drivesdk"/>
        <s v="https://drive.google.com/file/d/1S7puDcZcwe4lTxHUPc85s3wwvvzP57oW/view?usp=drivesdk"/>
        <s v="https://drive.google.com/file/d/1DW0FN9jn6Y1Cetr6AdcrDX6t6Mrtnk4d/view?usp=drivesdk"/>
        <s v="https://drive.google.com/file/d/1Dlxje8ugH1yl6NZn4M2sSReDBd_3M0Fw/view?usp=drivesdk"/>
        <s v="https://drive.google.com/file/d/16svY8TfG4WcznCX2ohB3wxWq6nO_KDz6/view?usp=drivesdk"/>
        <s v="https://drive.google.com/file/d/1P5eXRYbWtxcPmZPcPaUPBM7yfoR3O1IU/view?usp=drivesdk"/>
        <s v="https://drive.google.com/file/d/1mGEQQ0rC3zcAf1-IMztoNvX5Dbo1oGzz/view?usp=drivesdk"/>
        <s v="https://drive.google.com/file/d/11HtloNM3_6XXx0mqsYvkg8pRpxp2_kU5/view?usp=drivesdk"/>
        <s v="https://drive.google.com/file/d/1FvxHWMHuFv28j-tLwyOrGKefHKWzVm7n/view?usp=drivesdk"/>
        <s v="https://drive.google.com/file/d/12YHEEUCg_THYzPp3FMZSHdHP4YAZNQuf/view?usp=drivesdk"/>
        <s v="https://drive.google.com/file/d/1AxwAHnGwujj8FWwJ3e6CQAWk-M-xpiOz/view?usp=drivesdk"/>
        <s v="https://drive.google.com/file/d/1qD5vFY2s0ogyBR9M7Ki_c1NAP4SN0RUp/view?usp=drivesdk"/>
        <s v="https://drive.google.com/file/d/1AyTUzE4My-sJg92xFzuc5ZlMa1FeOLiS/view?usp=drivesdk"/>
        <s v="https://drive.google.com/file/d/1FrYk5J719T3wfb52bXgdptvpMHl-JYsh/view?usp=drivesdk"/>
        <s v="https://drive.google.com/file/d/1mzCRZVh108oAljtvbipXAAyqCGnFjs61/view?usp=drivesdk"/>
        <s v="https://drive.google.com/file/d/17xEDfIuy_3PIzrBq16a6HlYjlbOgd1oE/view?usp=drivesdk"/>
        <s v="https://drive.google.com/file/d/150D2_T-b3anhoMG92-Ni5V5zQ0IMIbK6/view?usp=drivesdk"/>
        <s v="https://drive.google.com/file/d/1Izuj3cxu50h4l-EYZ0CawyBTRLAL38cY/view?usp=drivesdk"/>
        <s v="https://drive.google.com/file/d/15Hyd3HztgmiprXLlh0oDP_SuX8o57cHI/view?usp=drivesdk"/>
        <s v="https://drive.google.com/file/d/11PMeeSURUqRC7B1xbeW98ClBu5gqu-_i/view?usp=drivesdk"/>
        <s v="https://drive.google.com/file/d/1rEeYAc7NEXEsT3O6C1JjhBLgLMZ4JlUG/view?usp=drivesdk"/>
        <s v="https://drive.google.com/file/d/1DcJI7KjUzemZmE-yKwiTUg7GfsImBh98/view?usp=drivesdk"/>
        <s v="https://drive.google.com/file/d/179YBfog8hSfv0ERbzX1zsvjHm2WiWhFy/view?usp=drivesdk"/>
        <s v="https://drive.google.com/file/d/1Gpi0ATPX6vWfWufkDIGDgJPgG6spjbXb/view?usp=drivesdk"/>
        <s v="https://drive.google.com/file/d/1S7ZFQrTmqwbc1MEumhFduZG4VfwqZeQE/view?usp=drivesdk"/>
        <s v="https://drive.google.com/file/d/1TxjHGPlBdzA_j6tG8Ay15o9vZ5vXzmvm/view?usp=drivesdk"/>
        <s v="https://drive.google.com/file/d/1yjPy5AYu4MaTodWAYzW_WhRCBiEEInKX/view?usp=drivesdk"/>
        <s v="https://drive.google.com/file/d/1CBoGwsDUHrJOYT44sCDztMLLT778Eu4U/view?usp=drivesdk"/>
        <s v="https://drive.google.com/file/d/14Rvg6I4qGWwimIgeQ7XfA2jtfexPj5xm/view?usp=drivesdk"/>
        <s v="https://drive.google.com/file/d/1ZxVI5UBzMRiK2zVoCmi0HyyS5K-YYkUG/view?usp=drivesdk"/>
        <s v="https://drive.google.com/file/d/1k0seJcl4Tvi3Cy9HlH77e1FzgF7W2xf7/view?usp=drivesdk"/>
        <s v="https://drive.google.com/file/d/1E1oiv7c5j6g4nFPNqWFzDY5xRuz5K5VP/view?usp=drivesdk"/>
        <s v="https://drive.google.com/file/d/1usOgrzNQnSeCZ-yX_L-4A2gUa171Rcjs/view?usp=drivesdk"/>
        <s v="https://drive.google.com/file/d/18Rfc3GXnWeUSLo15oOA3JBecA1q7P2xX/view?usp=drivesdk"/>
        <s v="https://drive.google.com/file/d/1JxLGMnD0XnndDYSqPS-ElbQsjkq_t-d5/view?usp=drivesdk"/>
        <s v="https://drive.google.com/file/d/1jaMnZKk9hR4Is4IZQrXQx2wgcpvPUXes/view?usp=drivesdk"/>
        <s v="https://drive.google.com/file/d/1Ij5zK9qIL-pL7Jtkz5jOatQRlJ78vMXE/view?usp=drivesdk"/>
        <s v="https://drive.google.com/file/d/1_F3T-zg5V8OElECISeA9Qn8HbNMnMUP7/view?usp=drivesdk"/>
        <s v="https://drive.google.com/file/d/1tP9bliQ2D5Mtf4-P3jveWKrCoa4_2-6r/view?usp=drivesdk"/>
        <s v="https://drive.google.com/file/d/1w_BCfiz_Eu6-4Ya037XHZooIRwXXHncW/view?usp=drivesdk"/>
        <s v="https://drive.google.com/file/d/13McMKbD_W1OM7AdZIPJSeSnFiaIHzujA/view?usp=drivesdk"/>
        <s v="https://drive.google.com/file/d/1AKQRg7M9EB3Q9e2Ij2oaK8Z2-wMOpDx2/view?usp=drivesdk"/>
        <s v="https://drive.google.com/file/d/1l4hB91XPq6KjFfAUt8xdq2_YKAl5ehFW/view?usp=drivesdk"/>
        <s v="https://drive.google.com/file/d/1qSU1ymzZ9GL85EkTz1dF5Tf6jg2Eh0iq/view?usp=drivesdk"/>
        <s v="https://drive.google.com/file/d/1LZwN41kljau1vySuIH1oqccX4QlbO4Ry/view?usp=drivesdk"/>
        <s v="https://drive.google.com/file/d/1DKnN0_fZFOEXkHxsW-OpEuAUUxk2lxEE/view?usp=drivesdk"/>
        <s v="https://drive.google.com/file/d/1iOZW80Bp4Vr83QSTs0TW_KWlwEKPpF0N/view?usp=drivesdk"/>
        <s v="https://drive.google.com/file/d/1vkFUmkNzi6JQ6LUuFCwpkYwI1e3uj3l_/view?usp=drivesdk"/>
        <s v="https://drive.google.com/file/d/1cA4MChTASQ1S7tPHll1fY_KyTMAhx2BL/view?usp=drivesdk"/>
        <s v="https://drive.google.com/file/d/1WevFMQkF1wDJ2juhjkt13JhiSlwAnsq0/view?usp=drivesdk"/>
        <s v="https://drive.google.com/file/d/10_ohPgzWMqJM8AfB34RJ7U0XhX5vDc7h/view?usp=drivesdk"/>
        <s v="https://drive.google.com/file/d/1hP5vJYD4hGvyTKfuanE-6JJshnL0F75P/view?usp=drivesdk"/>
        <s v="https://drive.google.com/file/d/165qd4n6EM1xJvV_FNDcVLxM6na3T6Vgz/view?usp=drivesdk"/>
        <s v="https://drive.google.com/file/d/11o7q4rr4w5coIcXHsvTbwDPPfkxxkNoU/view?usp=drivesdk"/>
        <s v="https://drive.google.com/file/d/1Ji0S8z3oKK6iQllCi_qsxEqL-txDoY96/view?usp=drivesdk"/>
        <s v="https://drive.google.com/file/d/1cGMLyxhlxiCRCSc-yxumGmCnonrfRCJC/view?usp=drivesdk"/>
        <s v="https://drive.google.com/file/d/13e7VeGx_8JYlfr-wfIm7DiV0kNTgL-cO/view?usp=drivesdk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E905" sheet="REAL-TIME STOCKS"/>
  </cacheSource>
  <cacheFields>
    <cacheField name="Item_ID" numFmtId="0">
      <sharedItems containsBlank="1">
        <s v="ITM001"/>
        <s v="ITM002"/>
        <s v="ITM003"/>
        <s v="ITM004"/>
        <s v="ITM005"/>
        <s v="ITM006"/>
        <s v="ITM007"/>
        <s v="ITM008"/>
        <s v="ITM009"/>
        <s v="ITM010"/>
        <s v="ITM011"/>
        <s v="ITM012"/>
        <s v="ITM013"/>
        <s v="ITM014"/>
        <s v="ITM015"/>
        <s v="ITM016"/>
        <s v="ITM017"/>
        <s v="ITM018"/>
        <s v="ITM019"/>
        <s v="ITM020"/>
        <s v="ITM021"/>
        <s v="ITM022"/>
        <s v="ITM023"/>
        <s v="ITM024"/>
        <s v="ITM025"/>
        <s v="ITM026"/>
        <s v="ITM027"/>
        <s v="ITM028"/>
        <s v="ITM029"/>
        <s v="ITM030"/>
        <s v="ITM031"/>
        <s v="ITM032"/>
        <s v="ITM033"/>
        <s v="ITM034"/>
        <s v="ITM035"/>
        <s v="ITM036"/>
        <s v="ITM037"/>
        <s v="ITM038"/>
        <s v="ITM039"/>
        <s v="ITM040"/>
        <s v="ITM041"/>
        <s v="ITM043"/>
        <s v="ITM044"/>
        <s v="ITM045"/>
        <s v="ITM046"/>
        <s v="ITM047"/>
        <s v="ITM048"/>
        <s v="ITM049"/>
        <s v="ITM050"/>
        <s v="ITM051"/>
        <s v="ITM052"/>
        <s v="ITM053"/>
        <s v="ITM054"/>
        <s v="ITM055"/>
        <s v="ITM056"/>
        <s v="ITM057"/>
        <s v="ITM058"/>
        <s v="ITM059"/>
        <s v="ITM060"/>
        <s v="ITM061"/>
        <s v="ITM062"/>
        <s v="ITM063"/>
        <s v="ITM064"/>
        <s v="ITM065"/>
        <s v="ITM066"/>
        <s v="ITM067"/>
        <s v="ITM068"/>
        <s v="ITM069"/>
        <s v="ITM070"/>
        <s v="ITM071"/>
        <s v="ITM072"/>
        <s v="ITM073"/>
        <s v="ITM074"/>
        <s v="ITM075"/>
        <s v="ITM076"/>
        <s v="ITM077"/>
        <s v="ITM078"/>
        <s v="ITM079"/>
        <s v="ITM080"/>
        <s v="ITM081"/>
        <s v="ITM082"/>
        <s v="ITM083"/>
        <s v="ITM084"/>
        <s v="ITM085"/>
        <s v="ITM086"/>
        <s v="ITM087"/>
        <s v="ITM088"/>
        <s v="ITM089"/>
        <s v="ITM090"/>
        <s v="ITM091"/>
        <s v="ITM092"/>
        <s v="ITM093"/>
        <s v="ITM094"/>
        <s v="ITM095"/>
        <s v="ITM096"/>
        <s v="ITM097"/>
        <s v="ITM098"/>
        <s v="ITM099"/>
        <s v="ITM100"/>
        <s v="ITM101"/>
        <s v="ITM102"/>
        <s v="ITM103"/>
        <s v="ITM104"/>
        <s v="ITM105"/>
        <s v="ITM106"/>
        <m/>
      </sharedItems>
    </cacheField>
    <cacheField name="Description" numFmtId="0">
      <sharedItems containsBlank="1">
        <s v="BOND PAPER (LONG)"/>
        <s v="BOND PAPER (SHORT)"/>
        <s v="BOND PAPER A4"/>
        <s v="BOND PAPER NEWSPRINT (SHORT)"/>
        <s v="BOND PAPER NEWSPRINT (LONG)"/>
        <s v="VELLUM PAPER"/>
        <s v="LOGBOOK VALIANT RECORD (150 &amp; 300P PAGES)"/>
        <s v="NOTEBOOK"/>
        <s v="CARBON PAPER (LONG BLUE)"/>
        <s v="BROWN ENVELOPE (LONG)"/>
        <s v="BROWN ENVELOPE (SHORT)"/>
        <s v="BROWN FOLDER (LONG)"/>
        <s v="BROWN FOLDER (SHORT)"/>
        <s v="WHITE FOLDER (LONG)"/>
        <s v="WHITE FOLDER (SHORT)"/>
        <s v="LETTER SHORT WHITE ENVELOPE"/>
        <s v="LETTER LONG WHITE ENVELOPE"/>
        <s v="CARD HOLDER"/>
        <s v="FLEXSTICK BLACK BALLPEN (0.5)"/>
        <s v="FLEXSTICK RED BALLPEN (0.5)"/>
        <s v="WYTEBORD MARKER PILOT (BLACK)"/>
        <s v="WYTEBORD MARKER PILOT (RED)"/>
        <s v="HIGHLIGHTER"/>
        <s v="PENCIL"/>
        <s v="SHARPENER"/>
        <s v="ERASER"/>
        <s v="CORRECTION TAPE"/>
        <s v="CANDIES"/>
        <s v="PUNCHER"/>
        <s v="STAPLER"/>
        <s v="SCISSORS"/>
        <s v="GLUE"/>
        <s v="RULER"/>
        <s v="CALCULATOR MX-12B"/>
        <s v="TAPE DISPENSER BIG"/>
        <s v="SCOTCH TAPE (1 INCH)"/>
        <s v="SCOTCH TAPE (2 INCH)"/>
        <s v="MASKING TAPE"/>
        <s v="PACKAGING TAPE BROWN"/>
        <s v="DOUBLE-SIDED TAPE (1 INCH)"/>
        <s v="DUCT TAPE"/>
        <s v="TYPEWRITER BLACK NYLON"/>
        <s v="INK EPSON 003 (YELLOW)"/>
        <s v="INK EPSON 003 (MAGENTA)"/>
        <s v="INK EPSON 003 (CYAN)"/>
        <s v="INK EPSON 003 (BLACK)"/>
        <s v="INK BROTHER BT5000Y"/>
        <s v="INK BROTHER BT5000M"/>
        <s v="INK BROTHER BT5000C"/>
        <s v="INK BROTHER BTD60BK"/>
        <s v="INK HP (YELLOW"/>
        <s v="INK HP (MAGENTA)"/>
        <s v="INK HP (CYAN)"/>
        <s v="INK HP (BLACK)"/>
        <s v="PRIDE SOAP POWDER"/>
        <s v="STAMP PAD INK BLACK 30ML"/>
        <s v="STAMP PAD INK BLUE 30ML"/>
        <s v="STAMP PAD INK RED 30ML"/>
        <s v="SUPER COLOR MARKER PILOT (BLACK)"/>
        <s v="JOY"/>
        <s v="DOWNY"/>
        <s v="SAFEGUARD SOAP"/>
        <s v="STICKY NOTES 2X2 A02"/>
        <s v="STICKY NOTES A03"/>
        <s v="STICKY NOTES A05"/>
        <s v="FASTENER"/>
        <s v="PAPER CLIPS 50MM"/>
        <s v="PAPER CLIPS JUMBO"/>
        <s v="BINDER CLIPS 2 INCHES "/>
        <s v="BINDER CLIPS 1 5/8 41MM "/>
        <s v="BINDER CLIPS 1 1/4 32MM"/>
        <s v="BINDER CLIPS 1 INCHES "/>
        <s v="STAPLE WIRE #35"/>
        <s v="STAPLE WIRE #10-M"/>
        <s v="RUBBER BAND ROUND RB-350"/>
        <s v="CABLE TIE"/>
        <s v="COFFEE CUPS"/>
        <s v="DRINKING CUPS"/>
        <s v="COFFEE STICK"/>
        <s v="CREAMER"/>
        <s v="BROWN SUGAR"/>
        <s v="STIRRER"/>
        <s v="SUPER COLOR MARKER REFILL INK (BLACK)"/>
        <s v="WYTEBORD MARKER REFILL INK PILOT (BLACK)"/>
        <s v="WYTEBORD MARKER REFILL INK PILOT (RED)"/>
        <s v="ALBATROSS"/>
        <s v="ZONROX (ORIGINAL)"/>
        <s v="ZONROX (COLORSAFE)"/>
        <s v="GLASS CLEANER"/>
        <s v="HANDWASH"/>
        <s v="RAGS"/>
        <s v="TRASH BAG (XXL)"/>
        <s v="TRASH BAG (XL)"/>
        <s v="TRASH BAG (LARGE)"/>
        <s v="TRASH BAG (MEDIUM)"/>
        <s v="TRASH BAG (SMALL)"/>
        <s v="TISSUE PAPER"/>
        <s v="INK EPSON SET"/>
        <s v="INK BROTHER SET"/>
        <s v="INK HP SET"/>
        <s v="STAMP PAD BLUE NO.2"/>
        <s v="STAMP PAD BLACK NO.2"/>
        <s v="DTR CARD"/>
        <s v="FASTENER LONG "/>
        <s v="DOOR MAT"/>
        <m/>
      </sharedItems>
    </cacheField>
    <cacheField name="Real-Time Stocks" numFmtId="0">
      <sharedItems containsString="0" containsBlank="1" containsNumber="1" containsInteger="1">
        <n v="34.0"/>
        <n v="11.0"/>
        <n v="13.0"/>
        <n v="6.0"/>
        <n v="574.0"/>
        <n v="2.0"/>
        <n v="8.0"/>
        <n v="156.0"/>
        <n v="65.0"/>
        <n v="150.0"/>
        <n v="114.0"/>
        <n v="0.0"/>
        <n v="130.0"/>
        <n v="105.0"/>
        <n v="490.0"/>
        <n v="480.0"/>
        <n v="3.0"/>
        <n v="137.0"/>
        <n v="78.0"/>
        <n v="1.0"/>
        <n v="7.0"/>
        <n v="19.0"/>
        <n v="40.0"/>
        <n v="4.0"/>
        <n v="15.0"/>
        <n v="5.0"/>
        <n v="165.0"/>
        <n v="39.0"/>
        <n v="9.0"/>
        <n v="16.0"/>
        <n v="10.0"/>
        <n v="370.0"/>
        <n v="22.0"/>
        <n v="-1.0"/>
        <n v="59.0"/>
        <n v="17.0"/>
        <n v="-2.0"/>
        <m/>
      </sharedItems>
    </cacheField>
    <cacheField name="Unit" numFmtId="0">
      <sharedItems containsBlank="1">
        <s v="REAM"/>
        <s v="PC"/>
        <s v="PAD"/>
        <s v="BOX"/>
        <s v="PACK"/>
        <s v="BTL"/>
        <s v="BDL"/>
        <s v="ROLL"/>
        <s v="SET"/>
        <m/>
      </sharedItems>
    </cacheField>
    <cacheField name="Uprice" numFmtId="2">
      <sharedItems containsString="0" containsBlank="1" containsNumber="1">
        <n v="225.0"/>
        <n v="195.0"/>
        <n v="205.0"/>
        <n v="118.0"/>
        <n v="140.0"/>
        <n v="250.0"/>
        <n v="68.0"/>
        <m/>
        <n v="725.0"/>
        <n v="300.0"/>
        <n v="600.0"/>
        <n v="30.0"/>
        <n v="76.0"/>
        <n v="165.0"/>
        <n v="35.0"/>
        <n v="7.0"/>
        <n v="18.0"/>
        <n v="41.0"/>
        <n v="175.0"/>
        <n v="120.0"/>
        <n v="45.0"/>
        <n v="6.0"/>
        <n v="49.0"/>
        <n v="25.0"/>
        <n v="108.0"/>
        <n v="27.0"/>
        <n v="12.0"/>
        <n v="38.0"/>
        <n v="47.0"/>
        <n v="28.0"/>
        <n v="34.0"/>
        <n v="19.0"/>
        <n v="33.25"/>
        <n v="51.0"/>
        <n v="67.0"/>
        <n v="16.15"/>
        <n v="26.55"/>
        <n v="62.0"/>
        <n v="48.0"/>
        <n v="216.0"/>
      </sharedItems>
    </cacheField>
    <cacheField name="Total Qty" numFmtId="0">
      <sharedItems containsString="0" containsBlank="1" containsNumber="1" containsInteger="1">
        <n v="48.0"/>
        <n v="35.0"/>
        <n v="23.0"/>
        <n v="13.0"/>
        <n v="15.0"/>
        <n v="1114.0"/>
        <n v="5.0"/>
        <n v="10.0"/>
        <n v="267.0"/>
        <n v="150.0"/>
        <n v="265.0"/>
        <n v="844.0"/>
        <n v="0.0"/>
        <n v="170.0"/>
        <n v="500.0"/>
        <n v="3.0"/>
        <n v="302.0"/>
        <n v="108.0"/>
        <n v="6.0"/>
        <n v="40.0"/>
        <n v="11.0"/>
        <n v="21.0"/>
        <n v="36.0"/>
        <n v="200.0"/>
        <n v="4.0"/>
        <n v="9.0"/>
        <n v="8.0"/>
        <n v="30.0"/>
        <n v="37.0"/>
        <n v="20.0"/>
        <n v="366.0"/>
        <n v="1.0"/>
        <n v="2.0"/>
        <n v="95.0"/>
        <n v="54.0"/>
        <n v="18.0"/>
        <n v="27.0"/>
        <n v="12.0"/>
        <n v="14.0"/>
        <n v="600.0"/>
        <n v="34.0"/>
        <n v="31.0"/>
        <n v="17.0"/>
        <n v="7.0"/>
        <n v="76.0"/>
        <n v="107.0"/>
        <m/>
      </sharedItems>
    </cacheField>
    <cacheField name="Total Outgoing Stocks" numFmtId="0">
      <sharedItems containsString="0" containsBlank="1" containsNumber="1" containsInteger="1">
        <n v="14.0"/>
        <n v="24.0"/>
        <n v="10.0"/>
        <n v="7.0"/>
        <n v="4.0"/>
        <n v="540.0"/>
        <n v="3.0"/>
        <n v="2.0"/>
        <n v="111.0"/>
        <n v="85.0"/>
        <n v="115.0"/>
        <n v="730.0"/>
        <n v="0.0"/>
        <n v="40.0"/>
        <n v="45.0"/>
        <n v="20.0"/>
        <n v="165.0"/>
        <n v="30.0"/>
        <n v="5.0"/>
        <n v="1.0"/>
        <n v="32.0"/>
        <n v="36.0"/>
        <n v="160.0"/>
        <n v="22.0"/>
        <n v="16.0"/>
        <n v="201.0"/>
        <n v="56.0"/>
        <n v="19.0"/>
        <n v="11.0"/>
        <n v="6.0"/>
        <n v="9.0"/>
        <n v="230.0"/>
        <n v="12.0"/>
        <n v="18.0"/>
        <n v="8.0"/>
        <n v="17.0"/>
        <n v="90.0"/>
        <m/>
      </sharedItems>
    </cacheField>
    <cacheField name="Status" numFmtId="0">
      <sharedItems containsBlank="1">
        <s v="AVAILABLE"/>
        <s v="OUT OF STOCKS"/>
        <m/>
      </sharedItems>
    </cacheField>
    <cacheField name="December 2025" numFmtId="0">
      <sharedItems containsString="0" containsBlank="1" containsNumber="1" containsInteger="1">
        <n v="33.0"/>
        <n v="5.0"/>
        <n v="18.0"/>
        <n v="8.0"/>
        <n v="15.0"/>
        <n v="314.0"/>
        <n v="0.0"/>
        <n v="67.0"/>
        <n v="115.0"/>
        <n v="244.0"/>
        <n v="20.0"/>
        <n v="3.0"/>
        <n v="2.0"/>
        <n v="108.0"/>
        <n v="1.0"/>
        <n v="11.0"/>
        <n v="21.0"/>
        <n v="100.0"/>
        <n v="4.0"/>
        <n v="9.0"/>
        <n v="7.0"/>
        <m/>
        <n v="126.0"/>
        <n v="23.0"/>
        <n v="36.0"/>
        <n v="6.0"/>
        <n v="12.0"/>
        <n v="14.0"/>
        <n v="600.0"/>
        <n v="28.0"/>
        <n v="10.0"/>
      </sharedItems>
    </cacheField>
    <cacheField name="1/8/2026" numFmtId="0">
      <sharedItems containsString="0" containsBlank="1" containsNumber="1" containsInteger="1">
        <n v="15.0"/>
        <n v="30.0"/>
        <n v="5.0"/>
        <m/>
        <n v="800.0"/>
        <n v="10.0"/>
        <n v="200.0"/>
        <n v="150.0"/>
        <n v="600.0"/>
        <n v="500.0"/>
        <n v="300.0"/>
        <n v="20.0"/>
        <n v="4.0"/>
        <n v="8.0"/>
        <n v="3.0"/>
        <n v="100.0"/>
      </sharedItems>
    </cacheField>
    <cacheField name="2026/11/1" numFmtId="0">
      <sharedItems containsString="0" containsBlank="1" containsNumber="1" containsInteger="1">
        <m/>
        <n v="100.0"/>
        <n v="240.0"/>
        <n v="72.0"/>
        <n v="18.0"/>
        <n v="14.0"/>
        <n v="10.0"/>
        <n v="5.0"/>
        <n v="25.0"/>
        <n v="9.0"/>
        <n v="7.0"/>
        <n v="4.0"/>
        <n v="8.0"/>
        <n v="48.0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  <cacheField name=" 23" numFmtId="0">
      <sharedItems containsString="0" containsBlank="1">
        <m/>
      </sharedItems>
    </cacheField>
    <cacheField name=" 24" numFmtId="0">
      <sharedItems containsString="0" containsBlank="1">
        <m/>
      </sharedItems>
    </cacheField>
    <cacheField name=" 25" numFmtId="0">
      <sharedItems containsString="0" containsBlank="1">
        <m/>
      </sharedItems>
    </cacheField>
    <cacheField name=" 26" numFmtId="0">
      <sharedItems containsString="0" containsBlank="1">
        <m/>
      </sharedItems>
    </cacheField>
    <cacheField name=" 27" numFmtId="0">
      <sharedItems containsString="0" containsBlank="1">
        <m/>
      </sharedItems>
    </cacheField>
    <cacheField name=" 28" numFmtId="0">
      <sharedItems containsString="0" containsBlank="1">
        <m/>
      </sharedItems>
    </cacheField>
    <cacheField name=" 29" numFmtId="0">
      <sharedItems containsString="0" containsBlank="1">
        <m/>
      </sharedItems>
    </cacheField>
    <cacheField name=" 30" numFmtId="0">
      <sharedItems containsString="0" containsBlank="1">
        <m/>
      </sharedItems>
    </cacheField>
    <cacheField name=" 31" numFmtId="0">
      <sharedItems containsString="0" containsBlank="1">
        <m/>
      </sharedItems>
    </cacheField>
    <cacheField name=" 32" numFmtId="0">
      <sharedItems containsString="0" containsBlank="1">
        <m/>
      </sharedItems>
    </cacheField>
    <cacheField name=" 33" numFmtId="0">
      <sharedItems containsString="0" containsBlank="1">
        <m/>
      </sharedItems>
    </cacheField>
    <cacheField name=" 34" numFmtId="0">
      <sharedItems containsString="0" containsBlank="1">
        <m/>
      </sharedItems>
    </cacheField>
    <cacheField name=" 35" numFmtId="0">
      <sharedItems containsString="0" containsBlank="1">
        <m/>
      </sharedItems>
    </cacheField>
    <cacheField name=" 36" numFmtId="0">
      <sharedItems containsString="0" containsBlank="1">
        <m/>
      </sharedItems>
    </cacheField>
    <cacheField name=" 37" numFmtId="0">
      <sharedItems containsString="0" containsBlank="1">
        <m/>
      </sharedItems>
    </cacheField>
    <cacheField name=" 38" numFmtId="0">
      <sharedItems containsString="0" containsBlank="1">
        <m/>
      </sharedItems>
    </cacheField>
    <cacheField name=" 39" numFmtId="0">
      <sharedItems containsString="0" containsBlank="1">
        <m/>
      </sharedItems>
    </cacheField>
    <cacheField name=" 40" numFmtId="0">
      <sharedItems containsString="0" containsBlank="1">
        <m/>
      </sharedItems>
    </cacheField>
    <cacheField name=" 41" numFmtId="0">
      <sharedItems containsString="0" containsBlank="1">
        <m/>
      </sharedItems>
    </cacheField>
    <cacheField name=" 42" numFmtId="0">
      <sharedItems containsString="0" containsBlank="1">
        <m/>
      </sharedItems>
    </cacheField>
    <cacheField name=" 43" numFmtId="0">
      <sharedItems containsString="0" containsBlank="1">
        <m/>
      </sharedItems>
    </cacheField>
    <cacheField name=" 44" numFmtId="0">
      <sharedItems containsString="0" containsBlank="1">
        <m/>
      </sharedItems>
    </cacheField>
    <cacheField name=" 45" numFmtId="0">
      <sharedItems containsString="0" containsBlank="1">
        <m/>
      </sharedItems>
    </cacheField>
    <cacheField name=" 4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Accouting Dept" cacheId="0" dataCaption="" rowGrandTotals="0" compact="0" compactData="0">
  <location ref="A4:J157" firstHeaderRow="0" firstDataRow="9" firstDataCol="0" rowPageCount="1" colPageCount="1"/>
  <pivotFields>
    <pivotField name="Timestamp" axis="axisRow" compact="0" numFmtId="164" outline="0" multipleItemSelectionAllowed="1" showAll="0" sortType="ascending">
      <items>
        <item x="15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Branch" axis="axisRow" compact="0" outline="0" multipleItemSelectionAllowed="1" showAll="0" sortType="ascending" defaultSubtotal="0">
      <items>
        <item x="32"/>
        <item x="14"/>
        <item x="10"/>
        <item x="25"/>
        <item x="7"/>
        <item x="5"/>
        <item x="3"/>
        <item x="31"/>
        <item x="30"/>
        <item x="12"/>
        <item x="2"/>
        <item x="28"/>
        <item x="16"/>
        <item x="29"/>
        <item x="17"/>
        <item x="6"/>
        <item x="20"/>
        <item x="19"/>
        <item x="22"/>
        <item x="9"/>
        <item x="27"/>
        <item x="18"/>
        <item x="21"/>
        <item x="1"/>
        <item x="23"/>
        <item x="15"/>
        <item x="0"/>
        <item x="13"/>
        <item x="24"/>
        <item x="11"/>
        <item x="26"/>
        <item x="4"/>
        <item x="8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o" compact="0" outline="0" multipleItemSelectionAllowed="1" showAll="0">
      <items>
        <item x="0"/>
        <item x="1"/>
        <item t="default"/>
      </items>
    </pivotField>
    <pivotField name="Purpose" compact="0" outline="0" multipleItemSelectionAllowed="1" showAll="0">
      <items>
        <item x="0"/>
        <item x="1"/>
        <item t="default"/>
      </items>
    </pivotField>
    <pivotField name="ITEM_ID" compact="0" outline="0" multipleItemSelectionAllowed="1" showAll="0">
      <items>
        <item x="0"/>
        <item x="1"/>
        <item x="2"/>
        <item t="default"/>
      </items>
    </pivotField>
    <pivotField name="Qty" axis="axisRow" compact="0" outline="0" multipleItemSelectionAllowed="1" showAll="0" sortType="ascending" defaultSubtotal="0">
      <items>
        <item x="17"/>
        <item x="0"/>
        <item x="2"/>
        <item x="6"/>
        <item x="1"/>
        <item x="4"/>
        <item x="10"/>
        <item x="7"/>
        <item x="3"/>
        <item x="16"/>
        <item x="15"/>
        <item x="12"/>
        <item x="11"/>
        <item x="14"/>
        <item x="13"/>
        <item x="8"/>
        <item x="5"/>
        <item x="9"/>
      </items>
    </pivotField>
    <pivotField name="Unit" axis="axisRow" compact="0" outline="0" multipleItemSelectionAllowed="1" showAll="0" sortType="ascending" defaultSubtotal="0">
      <items>
        <item x="2"/>
        <item x="11"/>
        <item x="7"/>
        <item x="12"/>
        <item x="8"/>
        <item x="4"/>
        <item x="6"/>
        <item x="9"/>
        <item x="1"/>
        <item x="0"/>
        <item x="3"/>
        <item x="10"/>
        <item x="5"/>
      </items>
    </pivotField>
    <pivotField name="Description" axis="axisRow" compact="0" outline="0" multipleItemSelectionAllowed="1" showAll="0" sortType="ascending" defaultSubtotal="0">
      <items>
        <item x="193"/>
        <item x="155"/>
        <item x="137"/>
        <item x="94"/>
        <item x="176"/>
        <item x="171"/>
        <item x="168"/>
        <item x="91"/>
        <item x="114"/>
        <item x="154"/>
        <item x="149"/>
        <item x="142"/>
        <item x="174"/>
        <item x="108"/>
        <item x="163"/>
        <item x="179"/>
        <item x="3"/>
        <item x="62"/>
        <item x="63"/>
        <item x="118"/>
        <item x="97"/>
        <item x="164"/>
        <item x="178"/>
        <item x="57"/>
        <item x="79"/>
        <item x="101"/>
        <item x="36"/>
        <item x="175"/>
        <item x="60"/>
        <item x="2"/>
        <item x="49"/>
        <item x="46"/>
        <item x="74"/>
        <item x="131"/>
        <item x="41"/>
        <item x="160"/>
        <item x="103"/>
        <item x="90"/>
        <item x="165"/>
        <item x="104"/>
        <item x="73"/>
        <item x="56"/>
        <item x="52"/>
        <item x="133"/>
        <item x="113"/>
        <item x="77"/>
        <item x="130"/>
        <item x="120"/>
        <item x="88"/>
        <item x="148"/>
        <item x="31"/>
        <item x="153"/>
        <item x="129"/>
        <item x="1"/>
        <item x="135"/>
        <item x="184"/>
        <item x="18"/>
        <item x="150"/>
        <item x="121"/>
        <item x="128"/>
        <item x="86"/>
        <item x="127"/>
        <item x="32"/>
        <item x="181"/>
        <item x="124"/>
        <item x="111"/>
        <item x="84"/>
        <item x="15"/>
        <item x="12"/>
        <item x="9"/>
        <item x="27"/>
        <item x="26"/>
        <item x="14"/>
        <item x="13"/>
        <item x="83"/>
        <item x="42"/>
        <item x="64"/>
        <item x="123"/>
        <item x="58"/>
        <item x="100"/>
        <item x="28"/>
        <item x="93"/>
        <item x="89"/>
        <item x="92"/>
        <item x="55"/>
        <item x="72"/>
        <item x="98"/>
        <item x="161"/>
        <item x="96"/>
        <item x="125"/>
        <item x="68"/>
        <item x="107"/>
        <item x="106"/>
        <item x="81"/>
        <item x="109"/>
        <item x="61"/>
        <item x="39"/>
        <item x="169"/>
        <item x="167"/>
        <item x="8"/>
        <item x="4"/>
        <item x="71"/>
        <item x="145"/>
        <item x="191"/>
        <item x="6"/>
        <item x="33"/>
        <item x="157"/>
        <item x="117"/>
        <item x="5"/>
        <item x="152"/>
        <item x="70"/>
        <item x="134"/>
        <item x="50"/>
        <item x="177"/>
        <item x="87"/>
        <item x="122"/>
        <item x="187"/>
        <item x="112"/>
        <item x="116"/>
        <item x="67"/>
        <item x="47"/>
        <item x="25"/>
        <item x="147"/>
        <item x="80"/>
        <item x="29"/>
        <item x="136"/>
        <item x="40"/>
        <item x="7"/>
        <item x="21"/>
        <item x="34"/>
        <item x="11"/>
        <item x="173"/>
        <item x="172"/>
        <item x="43"/>
        <item x="162"/>
        <item x="51"/>
        <item x="186"/>
        <item x="185"/>
        <item x="105"/>
        <item x="59"/>
        <item x="54"/>
        <item x="188"/>
        <item x="182"/>
        <item x="166"/>
        <item x="65"/>
        <item x="158"/>
        <item x="159"/>
        <item x="48"/>
        <item x="75"/>
        <item x="95"/>
        <item x="144"/>
        <item x="141"/>
        <item x="37"/>
        <item x="17"/>
        <item x="110"/>
        <item x="180"/>
        <item x="102"/>
        <item x="76"/>
        <item x="126"/>
        <item x="19"/>
        <item x="140"/>
        <item x="78"/>
        <item x="10"/>
        <item x="132"/>
        <item x="85"/>
        <item x="69"/>
        <item x="138"/>
        <item x="146"/>
        <item x="35"/>
        <item x="16"/>
        <item x="170"/>
        <item x="183"/>
        <item x="38"/>
        <item x="45"/>
        <item x="151"/>
        <item x="192"/>
        <item x="99"/>
        <item x="189"/>
        <item x="190"/>
        <item x="22"/>
        <item x="23"/>
        <item x="30"/>
        <item x="66"/>
        <item x="0"/>
        <item x="20"/>
        <item x="143"/>
        <item x="115"/>
        <item x="44"/>
        <item x="82"/>
        <item x="53"/>
        <item x="24"/>
        <item x="139"/>
        <item x="119"/>
        <item x="156"/>
      </items>
    </pivotField>
    <pivotField name="UPrice" axis="axisRow" compact="0" outline="0" multipleItemSelectionAllowed="1" showAll="0" sortType="ascending" defaultSubtotal="0">
      <items>
        <item x="0"/>
        <item x="11"/>
        <item x="14"/>
        <item x="7"/>
        <item x="10"/>
        <item x="17"/>
        <item x="77"/>
        <item x="19"/>
        <item x="9"/>
        <item x="1"/>
        <item x="5"/>
        <item x="66"/>
        <item x="3"/>
        <item x="36"/>
        <item x="12"/>
        <item x="15"/>
        <item x="95"/>
        <item x="22"/>
        <item x="73"/>
        <item x="65"/>
        <item x="2"/>
        <item x="94"/>
        <item x="98"/>
        <item x="13"/>
        <item x="99"/>
        <item x="21"/>
        <item x="4"/>
        <item x="50"/>
        <item x="35"/>
        <item x="29"/>
        <item x="6"/>
        <item x="16"/>
        <item x="20"/>
        <item x="37"/>
        <item x="18"/>
        <item x="92"/>
        <item x="8"/>
        <item x="74"/>
        <item x="86"/>
        <item x="60"/>
        <item x="24"/>
        <item x="78"/>
        <item x="52"/>
        <item x="54"/>
        <item x="39"/>
        <item x="75"/>
        <item x="101"/>
        <item x="84"/>
        <item x="93"/>
        <item x="90"/>
        <item x="53"/>
        <item x="83"/>
        <item x="26"/>
        <item x="82"/>
        <item x="88"/>
        <item x="40"/>
        <item x="62"/>
        <item x="103"/>
        <item x="55"/>
        <item x="100"/>
        <item x="56"/>
        <item x="61"/>
        <item x="28"/>
        <item x="59"/>
        <item x="43"/>
        <item x="69"/>
        <item x="33"/>
        <item x="57"/>
        <item x="97"/>
        <item x="105"/>
        <item x="91"/>
        <item x="72"/>
        <item x="89"/>
        <item x="45"/>
        <item x="104"/>
        <item x="87"/>
        <item x="79"/>
        <item x="85"/>
        <item x="64"/>
        <item x="63"/>
        <item x="31"/>
        <item x="96"/>
        <item x="38"/>
        <item x="23"/>
        <item x="27"/>
        <item x="76"/>
        <item x="70"/>
        <item x="34"/>
        <item x="81"/>
        <item x="48"/>
        <item x="47"/>
        <item x="32"/>
        <item x="41"/>
        <item x="58"/>
        <item x="67"/>
        <item x="30"/>
        <item x="46"/>
        <item x="102"/>
        <item x="42"/>
        <item x="49"/>
        <item x="51"/>
        <item x="80"/>
        <item x="71"/>
        <item x="25"/>
        <item x="44"/>
        <item x="68"/>
      </items>
    </pivotField>
    <pivotField name="Amount" axis="axisRow" compact="0" numFmtId="4" outline="0" multipleItemSelectionAllowed="1" showAll="0" sortType="ascending" defaultSubtotal="0">
      <items>
        <item x="118"/>
        <item x="0"/>
        <item x="12"/>
        <item x="11"/>
        <item x="17"/>
        <item x="105"/>
        <item x="88"/>
        <item x="10"/>
        <item x="1"/>
        <item x="5"/>
        <item x="3"/>
        <item x="72"/>
        <item x="14"/>
        <item x="30"/>
        <item x="18"/>
        <item x="106"/>
        <item x="26"/>
        <item x="84"/>
        <item x="8"/>
        <item x="21"/>
        <item x="2"/>
        <item x="16"/>
        <item x="23"/>
        <item x="4"/>
        <item x="35"/>
        <item x="6"/>
        <item x="20"/>
        <item x="24"/>
        <item x="13"/>
        <item x="90"/>
        <item x="44"/>
        <item x="22"/>
        <item x="7"/>
        <item x="101"/>
        <item x="19"/>
        <item x="15"/>
        <item x="9"/>
        <item x="85"/>
        <item x="25"/>
        <item x="98"/>
        <item x="29"/>
        <item x="71"/>
        <item x="47"/>
        <item x="78"/>
        <item x="89"/>
        <item x="62"/>
        <item x="64"/>
        <item x="46"/>
        <item x="86"/>
        <item x="113"/>
        <item x="96"/>
        <item x="102"/>
        <item x="100"/>
        <item x="63"/>
        <item x="95"/>
        <item x="32"/>
        <item x="39"/>
        <item x="48"/>
        <item x="104"/>
        <item x="115"/>
        <item x="65"/>
        <item x="112"/>
        <item x="66"/>
        <item x="73"/>
        <item x="70"/>
        <item x="51"/>
        <item x="28"/>
        <item x="40"/>
        <item x="94"/>
        <item x="67"/>
        <item x="74"/>
        <item x="109"/>
        <item x="77"/>
        <item x="107"/>
        <item x="117"/>
        <item x="68"/>
        <item x="103"/>
        <item x="110"/>
        <item x="83"/>
        <item x="56"/>
        <item x="99"/>
        <item x="111"/>
        <item x="53"/>
        <item x="116"/>
        <item x="34"/>
        <item x="91"/>
        <item x="97"/>
        <item x="59"/>
        <item x="60"/>
        <item x="37"/>
        <item x="43"/>
        <item x="108"/>
        <item x="45"/>
        <item x="27"/>
        <item x="33"/>
        <item x="87"/>
        <item x="81"/>
        <item x="41"/>
        <item x="93"/>
        <item x="76"/>
        <item x="57"/>
        <item x="55"/>
        <item x="38"/>
        <item x="49"/>
        <item x="75"/>
        <item x="69"/>
        <item x="79"/>
        <item x="36"/>
        <item x="54"/>
        <item x="42"/>
        <item x="50"/>
        <item x="58"/>
        <item x="61"/>
        <item x="92"/>
        <item x="82"/>
        <item x="31"/>
        <item x="52"/>
        <item x="80"/>
        <item x="114"/>
      </items>
    </pivotField>
    <pivotField name="Total" axis="axisRow" compact="0" numFmtId="4" outline="0" multipleItemSelectionAllowed="1" showAll="0" sortType="ascending" defaultSubtotal="0">
      <items>
        <item x="108"/>
        <item x="0"/>
        <item x="10"/>
        <item x="16"/>
        <item x="11"/>
        <item x="78"/>
        <item x="1"/>
        <item x="3"/>
        <item x="63"/>
        <item x="13"/>
        <item x="5"/>
        <item x="17"/>
        <item x="25"/>
        <item x="73"/>
        <item x="8"/>
        <item x="20"/>
        <item x="2"/>
        <item x="15"/>
        <item x="22"/>
        <item x="4"/>
        <item x="33"/>
        <item x="6"/>
        <item x="19"/>
        <item x="23"/>
        <item x="12"/>
        <item x="80"/>
        <item x="41"/>
        <item x="21"/>
        <item x="7"/>
        <item x="18"/>
        <item x="14"/>
        <item x="74"/>
        <item x="9"/>
        <item x="24"/>
        <item x="88"/>
        <item x="62"/>
        <item x="28"/>
        <item x="43"/>
        <item x="79"/>
        <item x="70"/>
        <item x="103"/>
        <item x="75"/>
        <item x="94"/>
        <item x="102"/>
        <item x="92"/>
        <item x="90"/>
        <item x="85"/>
        <item x="30"/>
        <item x="37"/>
        <item x="86"/>
        <item x="56"/>
        <item x="101"/>
        <item x="57"/>
        <item x="64"/>
        <item x="61"/>
        <item x="46"/>
        <item x="27"/>
        <item x="38"/>
        <item x="58"/>
        <item x="105"/>
        <item x="98"/>
        <item x="99"/>
        <item x="97"/>
        <item x="95"/>
        <item x="107"/>
        <item x="59"/>
        <item x="72"/>
        <item x="51"/>
        <item x="89"/>
        <item x="48"/>
        <item x="106"/>
        <item x="76"/>
        <item x="93"/>
        <item x="32"/>
        <item x="81"/>
        <item x="87"/>
        <item x="91"/>
        <item x="35"/>
        <item x="96"/>
        <item x="26"/>
        <item x="31"/>
        <item x="42"/>
        <item x="77"/>
        <item x="66"/>
        <item x="69"/>
        <item x="39"/>
        <item x="83"/>
        <item x="84"/>
        <item x="52"/>
        <item x="50"/>
        <item x="54"/>
        <item x="36"/>
        <item x="60"/>
        <item x="67"/>
        <item x="34"/>
        <item x="44"/>
        <item x="49"/>
        <item x="100"/>
        <item x="45"/>
        <item x="53"/>
        <item x="82"/>
        <item x="55"/>
        <item x="40"/>
        <item x="65"/>
        <item x="71"/>
        <item x="29"/>
        <item x="47"/>
        <item x="68"/>
        <item x="104"/>
      </items>
    </pivotField>
    <pivotField name="Requested By" axis="axisRow" compact="0" outline="0" multipleItemSelectionAllowed="1" showAll="0" sortType="ascending" defaultSubtotal="0">
      <items>
        <item x="77"/>
        <item x="17"/>
        <item x="70"/>
        <item x="30"/>
        <item x="54"/>
        <item x="53"/>
        <item x="10"/>
        <item x="5"/>
        <item x="3"/>
        <item x="66"/>
        <item x="51"/>
        <item x="59"/>
        <item x="12"/>
        <item x="65"/>
        <item x="43"/>
        <item x="44"/>
        <item x="48"/>
        <item x="2"/>
        <item x="50"/>
        <item x="47"/>
        <item x="7"/>
        <item x="55"/>
        <item x="36"/>
        <item x="27"/>
        <item x="67"/>
        <item x="34"/>
        <item x="29"/>
        <item x="69"/>
        <item x="58"/>
        <item x="22"/>
        <item x="45"/>
        <item x="40"/>
        <item x="46"/>
        <item x="71"/>
        <item x="52"/>
        <item x="13"/>
        <item x="33"/>
        <item x="73"/>
        <item x="63"/>
        <item x="75"/>
        <item x="37"/>
        <item x="76"/>
        <item x="26"/>
        <item x="72"/>
        <item x="18"/>
        <item x="68"/>
        <item x="64"/>
        <item x="61"/>
        <item x="41"/>
        <item x="19"/>
        <item x="74"/>
        <item x="32"/>
        <item x="42"/>
        <item x="15"/>
        <item x="21"/>
        <item x="62"/>
        <item x="38"/>
        <item x="6"/>
        <item x="56"/>
        <item x="28"/>
        <item x="35"/>
        <item x="57"/>
        <item x="39"/>
        <item x="23"/>
        <item x="25"/>
        <item x="24"/>
        <item x="31"/>
        <item x="49"/>
        <item x="9"/>
        <item x="20"/>
        <item x="1"/>
        <item x="60"/>
        <item x="16"/>
        <item x="0"/>
        <item x="14"/>
        <item x="11"/>
        <item x="4"/>
        <item x="8"/>
      </items>
    </pivotField>
    <pivotField name="Status" axis="axisPage" compact="0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h="1" x="8"/>
        <item t="default"/>
      </items>
    </pivotField>
    <pivotField name="Releas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eceived By" compact="0" outline="0" multipleItemSelectionAllowed="1" showAll="0">
      <items>
        <item x="0"/>
        <item x="1"/>
        <item x="2"/>
        <item x="3"/>
        <item t="default"/>
      </items>
    </pivotField>
    <pivotField name="PDF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</pivotFields>
  <rowFields>
    <field x="1"/>
    <field x="6"/>
    <field x="7"/>
    <field x="8"/>
    <field x="9"/>
    <field x="10"/>
    <field x="11"/>
    <field x="12"/>
    <field x="0"/>
  </rowFields>
  <pageFields>
    <pageField fld="13"/>
  </pageFields>
</pivotTableDefinition>
</file>

<file path=xl/pivotTables/pivotTable2.xml><?xml version="1.0" encoding="utf-8"?>
<pivotTableDefinition xmlns="http://schemas.openxmlformats.org/spreadsheetml/2006/main" name="To Buy" cacheId="0" dataCaption="" rowGrandTotals="0" compact="0" compactData="0">
  <location ref="A3:G13" firstHeaderRow="0" firstDataRow="6" firstDataCol="0" rowPageCount="1" colPageCount="1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Branch" axis="axisRow" compact="0" outline="0" multipleItemSelectionAllowed="1" showAll="0" sortType="ascending" defaultSubtotal="0">
      <items>
        <item x="32"/>
        <item x="14"/>
        <item x="10"/>
        <item x="25"/>
        <item x="7"/>
        <item x="5"/>
        <item x="3"/>
        <item x="31"/>
        <item x="30"/>
        <item x="12"/>
        <item x="2"/>
        <item x="28"/>
        <item x="16"/>
        <item x="29"/>
        <item x="17"/>
        <item x="6"/>
        <item x="20"/>
        <item x="19"/>
        <item x="22"/>
        <item x="9"/>
        <item x="27"/>
        <item x="18"/>
        <item x="21"/>
        <item x="1"/>
        <item x="23"/>
        <item x="15"/>
        <item x="0"/>
        <item x="13"/>
        <item x="24"/>
        <item x="11"/>
        <item x="26"/>
        <item x="4"/>
        <item x="8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o" compact="0" outline="0" multipleItemSelectionAllowed="1" showAll="0">
      <items>
        <item x="0"/>
        <item x="1"/>
        <item t="default"/>
      </items>
    </pivotField>
    <pivotField name="Purpose" compact="0" outline="0" multipleItemSelectionAllowed="1" showAll="0">
      <items>
        <item x="0"/>
        <item x="1"/>
        <item t="default"/>
      </items>
    </pivotField>
    <pivotField name="ITEM_ID" compact="0" outline="0" multipleItemSelectionAllowed="1" showAll="0">
      <items>
        <item x="0"/>
        <item x="1"/>
        <item x="2"/>
        <item t="default"/>
      </items>
    </pivotField>
    <pivotField name="Qty" axis="axisRow" compact="0" outline="0" multipleItemSelectionAllowed="1" showAll="0" sortType="ascending" defaultSubtotal="0">
      <items>
        <item x="17"/>
        <item x="0"/>
        <item x="2"/>
        <item x="6"/>
        <item x="1"/>
        <item x="4"/>
        <item x="10"/>
        <item x="7"/>
        <item x="3"/>
        <item x="16"/>
        <item x="15"/>
        <item x="12"/>
        <item x="11"/>
        <item x="14"/>
        <item x="13"/>
        <item x="8"/>
        <item x="5"/>
        <item x="9"/>
      </items>
    </pivotField>
    <pivotField name="Unit" axis="axisRow" compact="0" outline="0" multipleItemSelectionAllowed="1" showAll="0" sortType="ascending" defaultSubtotal="0">
      <items>
        <item x="2"/>
        <item x="11"/>
        <item x="7"/>
        <item x="12"/>
        <item x="8"/>
        <item x="4"/>
        <item x="6"/>
        <item x="9"/>
        <item x="1"/>
        <item x="0"/>
        <item x="3"/>
        <item x="10"/>
        <item x="5"/>
      </items>
    </pivotField>
    <pivotField name="Description" axis="axisRow" compact="0" outline="0" multipleItemSelectionAllowed="1" showAll="0" sortType="ascending" defaultSubtotal="0">
      <items>
        <item x="193"/>
        <item x="155"/>
        <item x="137"/>
        <item x="94"/>
        <item x="176"/>
        <item x="171"/>
        <item x="168"/>
        <item x="91"/>
        <item x="114"/>
        <item x="154"/>
        <item x="149"/>
        <item x="142"/>
        <item x="174"/>
        <item x="108"/>
        <item x="163"/>
        <item x="179"/>
        <item x="3"/>
        <item x="62"/>
        <item x="63"/>
        <item x="118"/>
        <item x="97"/>
        <item x="164"/>
        <item x="178"/>
        <item x="57"/>
        <item x="79"/>
        <item x="101"/>
        <item x="36"/>
        <item x="175"/>
        <item x="60"/>
        <item x="2"/>
        <item x="49"/>
        <item x="46"/>
        <item x="74"/>
        <item x="131"/>
        <item x="41"/>
        <item x="160"/>
        <item x="103"/>
        <item x="90"/>
        <item x="165"/>
        <item x="104"/>
        <item x="73"/>
        <item x="56"/>
        <item x="52"/>
        <item x="133"/>
        <item x="113"/>
        <item x="77"/>
        <item x="130"/>
        <item x="120"/>
        <item x="88"/>
        <item x="148"/>
        <item x="31"/>
        <item x="153"/>
        <item x="129"/>
        <item x="1"/>
        <item x="135"/>
        <item x="184"/>
        <item x="18"/>
        <item x="150"/>
        <item x="121"/>
        <item x="128"/>
        <item x="86"/>
        <item x="127"/>
        <item x="32"/>
        <item x="181"/>
        <item x="124"/>
        <item x="111"/>
        <item x="84"/>
        <item x="15"/>
        <item x="12"/>
        <item x="9"/>
        <item x="27"/>
        <item x="26"/>
        <item x="14"/>
        <item x="13"/>
        <item x="83"/>
        <item x="42"/>
        <item x="64"/>
        <item x="123"/>
        <item x="58"/>
        <item x="100"/>
        <item x="28"/>
        <item x="93"/>
        <item x="89"/>
        <item x="92"/>
        <item x="55"/>
        <item x="72"/>
        <item x="98"/>
        <item x="161"/>
        <item x="96"/>
        <item x="125"/>
        <item x="68"/>
        <item x="107"/>
        <item x="106"/>
        <item x="81"/>
        <item x="109"/>
        <item x="61"/>
        <item x="39"/>
        <item x="169"/>
        <item x="167"/>
        <item x="8"/>
        <item x="4"/>
        <item x="71"/>
        <item x="145"/>
        <item x="191"/>
        <item x="6"/>
        <item x="33"/>
        <item x="157"/>
        <item x="117"/>
        <item x="5"/>
        <item x="152"/>
        <item x="70"/>
        <item x="134"/>
        <item x="50"/>
        <item x="177"/>
        <item x="87"/>
        <item x="122"/>
        <item x="187"/>
        <item x="112"/>
        <item x="116"/>
        <item x="67"/>
        <item x="47"/>
        <item x="25"/>
        <item x="147"/>
        <item x="80"/>
        <item x="29"/>
        <item x="136"/>
        <item x="40"/>
        <item x="7"/>
        <item x="21"/>
        <item x="34"/>
        <item x="11"/>
        <item x="173"/>
        <item x="172"/>
        <item x="43"/>
        <item x="162"/>
        <item x="51"/>
        <item x="186"/>
        <item x="185"/>
        <item x="105"/>
        <item x="59"/>
        <item x="54"/>
        <item x="188"/>
        <item x="182"/>
        <item x="166"/>
        <item x="65"/>
        <item x="158"/>
        <item x="159"/>
        <item x="48"/>
        <item x="75"/>
        <item x="95"/>
        <item x="144"/>
        <item x="141"/>
        <item x="37"/>
        <item x="17"/>
        <item x="110"/>
        <item x="180"/>
        <item x="102"/>
        <item x="76"/>
        <item x="126"/>
        <item x="19"/>
        <item x="140"/>
        <item x="78"/>
        <item x="10"/>
        <item x="132"/>
        <item x="85"/>
        <item x="69"/>
        <item x="138"/>
        <item x="146"/>
        <item x="35"/>
        <item x="16"/>
        <item x="170"/>
        <item x="183"/>
        <item x="38"/>
        <item x="45"/>
        <item x="151"/>
        <item x="192"/>
        <item x="99"/>
        <item x="189"/>
        <item x="190"/>
        <item x="22"/>
        <item x="23"/>
        <item x="30"/>
        <item x="66"/>
        <item x="0"/>
        <item x="20"/>
        <item x="143"/>
        <item x="115"/>
        <item x="44"/>
        <item x="82"/>
        <item x="53"/>
        <item x="24"/>
        <item x="139"/>
        <item x="119"/>
        <item x="156"/>
      </items>
    </pivotField>
    <pivotField name="UPrice" axis="axisRow" compact="0" outline="0" multipleItemSelectionAllowed="1" showAll="0" sortType="ascending" defaultSubtotal="0">
      <items>
        <item x="0"/>
        <item x="11"/>
        <item x="14"/>
        <item x="7"/>
        <item x="10"/>
        <item x="17"/>
        <item x="77"/>
        <item x="19"/>
        <item x="9"/>
        <item x="1"/>
        <item x="5"/>
        <item x="66"/>
        <item x="3"/>
        <item x="36"/>
        <item x="12"/>
        <item x="15"/>
        <item x="95"/>
        <item x="22"/>
        <item x="73"/>
        <item x="65"/>
        <item x="2"/>
        <item x="94"/>
        <item x="98"/>
        <item x="13"/>
        <item x="99"/>
        <item x="21"/>
        <item x="4"/>
        <item x="50"/>
        <item x="35"/>
        <item x="29"/>
        <item x="6"/>
        <item x="16"/>
        <item x="20"/>
        <item x="37"/>
        <item x="18"/>
        <item x="92"/>
        <item x="8"/>
        <item x="74"/>
        <item x="86"/>
        <item x="60"/>
        <item x="24"/>
        <item x="78"/>
        <item x="52"/>
        <item x="54"/>
        <item x="39"/>
        <item x="75"/>
        <item x="101"/>
        <item x="84"/>
        <item x="93"/>
        <item x="90"/>
        <item x="53"/>
        <item x="83"/>
        <item x="26"/>
        <item x="82"/>
        <item x="88"/>
        <item x="40"/>
        <item x="62"/>
        <item x="103"/>
        <item x="55"/>
        <item x="100"/>
        <item x="56"/>
        <item x="61"/>
        <item x="28"/>
        <item x="59"/>
        <item x="43"/>
        <item x="69"/>
        <item x="33"/>
        <item x="57"/>
        <item x="97"/>
        <item x="105"/>
        <item x="91"/>
        <item x="72"/>
        <item x="89"/>
        <item x="45"/>
        <item x="104"/>
        <item x="87"/>
        <item x="79"/>
        <item x="85"/>
        <item x="64"/>
        <item x="63"/>
        <item x="31"/>
        <item x="96"/>
        <item x="38"/>
        <item x="23"/>
        <item x="27"/>
        <item x="76"/>
        <item x="70"/>
        <item x="34"/>
        <item x="81"/>
        <item x="48"/>
        <item x="47"/>
        <item x="32"/>
        <item x="41"/>
        <item x="58"/>
        <item x="67"/>
        <item x="30"/>
        <item x="46"/>
        <item x="102"/>
        <item x="42"/>
        <item x="49"/>
        <item x="51"/>
        <item x="80"/>
        <item x="71"/>
        <item x="25"/>
        <item x="44"/>
        <item x="68"/>
      </items>
    </pivotField>
    <pivotField name="Amount" axis="axisRow" compact="0" numFmtId="4" outline="0" multipleItemSelectionAllowed="1" showAll="0" sortType="ascending">
      <items>
        <item h="1" x="118"/>
        <item x="0"/>
        <item x="12"/>
        <item x="11"/>
        <item x="17"/>
        <item h="1" x="105"/>
        <item x="88"/>
        <item x="10"/>
        <item x="1"/>
        <item x="5"/>
        <item x="3"/>
        <item h="1" x="72"/>
        <item x="14"/>
        <item x="30"/>
        <item x="18"/>
        <item h="1" x="106"/>
        <item x="26"/>
        <item x="84"/>
        <item x="8"/>
        <item x="21"/>
        <item x="2"/>
        <item x="16"/>
        <item x="23"/>
        <item x="4"/>
        <item x="35"/>
        <item x="6"/>
        <item x="20"/>
        <item x="24"/>
        <item x="13"/>
        <item x="90"/>
        <item x="44"/>
        <item x="22"/>
        <item x="7"/>
        <item h="1" x="101"/>
        <item x="19"/>
        <item x="15"/>
        <item x="9"/>
        <item x="85"/>
        <item x="25"/>
        <item h="1" x="98"/>
        <item x="29"/>
        <item x="71"/>
        <item x="47"/>
        <item x="78"/>
        <item x="89"/>
        <item x="62"/>
        <item x="64"/>
        <item x="46"/>
        <item x="86"/>
        <item h="1" x="113"/>
        <item h="1" x="96"/>
        <item h="1" x="102"/>
        <item h="1" x="100"/>
        <item x="63"/>
        <item h="1" x="95"/>
        <item x="32"/>
        <item x="39"/>
        <item x="48"/>
        <item h="1" x="104"/>
        <item h="1" x="115"/>
        <item x="65"/>
        <item h="1" x="112"/>
        <item x="66"/>
        <item x="73"/>
        <item x="70"/>
        <item x="51"/>
        <item x="28"/>
        <item x="40"/>
        <item h="1" x="94"/>
        <item x="67"/>
        <item x="74"/>
        <item h="1" x="109"/>
        <item x="77"/>
        <item h="1" x="107"/>
        <item h="1" x="117"/>
        <item x="68"/>
        <item h="1" x="103"/>
        <item h="1" x="110"/>
        <item h="1" x="83"/>
        <item x="56"/>
        <item h="1" x="99"/>
        <item h="1" x="111"/>
        <item x="53"/>
        <item h="1" x="116"/>
        <item x="34"/>
        <item h="1" x="91"/>
        <item h="1" x="97"/>
        <item x="59"/>
        <item x="60"/>
        <item x="37"/>
        <item x="43"/>
        <item h="1" x="108"/>
        <item x="45"/>
        <item x="27"/>
        <item x="33"/>
        <item h="1" x="87"/>
        <item x="81"/>
        <item x="41"/>
        <item h="1" x="93"/>
        <item x="76"/>
        <item x="57"/>
        <item x="55"/>
        <item x="38"/>
        <item x="49"/>
        <item x="75"/>
        <item x="69"/>
        <item x="79"/>
        <item x="36"/>
        <item x="54"/>
        <item x="42"/>
        <item x="50"/>
        <item x="58"/>
        <item x="61"/>
        <item h="1" x="92"/>
        <item x="82"/>
        <item x="31"/>
        <item x="52"/>
        <item x="80"/>
        <item h="1" x="114"/>
        <item t="default"/>
      </items>
    </pivotField>
    <pivotField name="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Requested B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Status" axis="axisPage" compact="0" outline="0" multipleItemSelectionAllowed="1" showAll="0">
      <items>
        <item h="1" x="0"/>
        <item x="1"/>
        <item h="1" x="2"/>
        <item h="1" x="3"/>
        <item h="1" x="4"/>
        <item h="1" x="5"/>
        <item h="1" x="6"/>
        <item h="1" x="7"/>
        <item h="1" x="8"/>
        <item t="default"/>
      </items>
    </pivotField>
    <pivotField name="Release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eceived By" compact="0" outline="0" multipleItemSelectionAllowed="1" showAll="0">
      <items>
        <item x="0"/>
        <item x="1"/>
        <item x="2"/>
        <item x="3"/>
        <item t="default"/>
      </items>
    </pivotField>
    <pivotField name="PDF UR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</pivotFields>
  <rowFields>
    <field x="1"/>
    <field x="6"/>
    <field x="7"/>
    <field x="8"/>
    <field x="9"/>
    <field x="10"/>
  </rowFields>
  <pageFields>
    <pageField fld="13"/>
  </pageFields>
</pivotTableDefinition>
</file>

<file path=xl/pivotTables/pivotTable3.xml><?xml version="1.0" encoding="utf-8"?>
<pivotTableDefinition xmlns="http://schemas.openxmlformats.org/spreadsheetml/2006/main" name="JAN.2026 OFFICE SUPPLIES REQ." cacheId="1" dataCaption="" rowGrandTotals="0" compact="0" compactData="0">
  <location ref="A2:D108" firstHeaderRow="0" firstDataRow="3" firstDataCol="0"/>
  <pivotFields>
    <pivotField name="It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Description" axis="axisRow" compact="0" outline="0" multipleItemSelectionAllowed="1" showAll="0" sortType="ascending" defaultSubtotal="0">
      <items>
        <item x="105"/>
        <item x="85"/>
        <item x="70"/>
        <item x="69"/>
        <item x="71"/>
        <item x="68"/>
        <item x="0"/>
        <item x="1"/>
        <item x="2"/>
        <item x="4"/>
        <item x="3"/>
        <item x="9"/>
        <item x="10"/>
        <item x="11"/>
        <item x="12"/>
        <item x="80"/>
        <item x="75"/>
        <item x="33"/>
        <item x="27"/>
        <item x="8"/>
        <item x="17"/>
        <item x="76"/>
        <item x="78"/>
        <item x="26"/>
        <item x="79"/>
        <item x="104"/>
        <item x="39"/>
        <item x="60"/>
        <item x="77"/>
        <item x="102"/>
        <item x="40"/>
        <item x="25"/>
        <item x="65"/>
        <item x="103"/>
        <item x="18"/>
        <item x="19"/>
        <item x="88"/>
        <item x="31"/>
        <item x="89"/>
        <item x="22"/>
        <item x="48"/>
        <item x="47"/>
        <item x="46"/>
        <item x="49"/>
        <item x="98"/>
        <item x="45"/>
        <item x="44"/>
        <item x="43"/>
        <item x="42"/>
        <item x="97"/>
        <item x="53"/>
        <item x="52"/>
        <item x="51"/>
        <item x="50"/>
        <item x="99"/>
        <item x="59"/>
        <item x="16"/>
        <item x="15"/>
        <item x="6"/>
        <item x="37"/>
        <item x="7"/>
        <item x="38"/>
        <item x="66"/>
        <item x="67"/>
        <item x="23"/>
        <item x="54"/>
        <item x="28"/>
        <item x="90"/>
        <item x="74"/>
        <item x="32"/>
        <item x="61"/>
        <item x="30"/>
        <item sd="0" x="35"/>
        <item x="36"/>
        <item x="24"/>
        <item x="101"/>
        <item x="100"/>
        <item x="55"/>
        <item x="56"/>
        <item x="57"/>
        <item x="73"/>
        <item x="72"/>
        <item x="29"/>
        <item x="62"/>
        <item x="63"/>
        <item x="64"/>
        <item x="81"/>
        <item x="58"/>
        <item x="82"/>
        <item x="34"/>
        <item x="96"/>
        <item x="93"/>
        <item x="94"/>
        <item x="95"/>
        <item x="92"/>
        <item x="91"/>
        <item x="41"/>
        <item x="5"/>
        <item x="13"/>
        <item x="14"/>
        <item x="20"/>
        <item x="21"/>
        <item x="83"/>
        <item x="84"/>
        <item x="87"/>
        <item x="86"/>
      </items>
    </pivotField>
    <pivotField name="Real-Time Sto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rice" axis="axisRow" compact="0" numFmtId="2" outline="0" multipleItemSelectionAllowed="1" showAll="0" sortType="ascending" defaultSubtotal="0">
      <items>
        <item x="7"/>
        <item x="21"/>
        <item x="15"/>
        <item x="26"/>
        <item x="35"/>
        <item x="16"/>
        <item x="31"/>
        <item x="23"/>
        <item x="36"/>
        <item x="25"/>
        <item x="29"/>
        <item x="11"/>
        <item x="32"/>
        <item x="30"/>
        <item x="14"/>
        <item x="27"/>
        <item x="17"/>
        <item x="20"/>
        <item x="28"/>
        <item x="38"/>
        <item x="22"/>
        <item x="33"/>
        <item x="37"/>
        <item x="34"/>
        <item x="6"/>
        <item x="12"/>
        <item x="24"/>
        <item x="3"/>
        <item x="19"/>
        <item x="4"/>
        <item x="13"/>
        <item x="18"/>
        <item x="1"/>
        <item x="2"/>
        <item x="39"/>
        <item x="0"/>
        <item x="5"/>
        <item x="9"/>
        <item x="10"/>
        <item x="8"/>
      </items>
    </pivotField>
    <pivotField name="Total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Total Outgoing Sto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December 2025" axis="axisRow" compact="0" outline="0" multipleItemSelectionAllowed="1" showAll="0" sortType="ascending">
      <items>
        <item x="21"/>
        <item x="6"/>
        <item x="14"/>
        <item x="12"/>
        <item x="11"/>
        <item x="18"/>
        <item x="1"/>
        <item x="25"/>
        <item x="20"/>
        <item x="3"/>
        <item x="19"/>
        <item x="30"/>
        <item x="15"/>
        <item x="26"/>
        <item x="27"/>
        <item x="4"/>
        <item x="2"/>
        <item x="10"/>
        <item x="16"/>
        <item x="23"/>
        <item x="29"/>
        <item x="0"/>
        <item x="24"/>
        <item x="7"/>
        <item x="17"/>
        <item x="13"/>
        <item x="8"/>
        <item x="22"/>
        <item x="9"/>
        <item x="5"/>
        <item x="28"/>
        <item t="default"/>
      </items>
    </pivotField>
    <pivotField name="1/8/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6/11/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  <pivotField name=" 23" compact="0" outline="0" multipleItemSelectionAllowed="1" showAll="0">
      <items>
        <item x="0"/>
        <item t="default"/>
      </items>
    </pivotField>
    <pivotField name=" 24" compact="0" outline="0" multipleItemSelectionAllowed="1" showAll="0">
      <items>
        <item x="0"/>
        <item t="default"/>
      </items>
    </pivotField>
    <pivotField name=" 25" compact="0" outline="0" multipleItemSelectionAllowed="1" showAll="0">
      <items>
        <item x="0"/>
        <item t="default"/>
      </items>
    </pivotField>
    <pivotField name=" 26" compact="0" outline="0" multipleItemSelectionAllowed="1" showAll="0">
      <items>
        <item x="0"/>
        <item t="default"/>
      </items>
    </pivotField>
    <pivotField name=" 27" compact="0" outline="0" multipleItemSelectionAllowed="1" showAll="0">
      <items>
        <item x="0"/>
        <item t="default"/>
      </items>
    </pivotField>
    <pivotField name=" 28" compact="0" outline="0" multipleItemSelectionAllowed="1" showAll="0">
      <items>
        <item x="0"/>
        <item t="default"/>
      </items>
    </pivotField>
    <pivotField name=" 29" compact="0" outline="0" multipleItemSelectionAllowed="1" showAll="0">
      <items>
        <item x="0"/>
        <item t="default"/>
      </items>
    </pivotField>
    <pivotField name=" 30" compact="0" outline="0" multipleItemSelectionAllowed="1" showAll="0">
      <items>
        <item x="0"/>
        <item t="default"/>
      </items>
    </pivotField>
    <pivotField name=" 31" compact="0" outline="0" multipleItemSelectionAllowed="1" showAll="0">
      <items>
        <item x="0"/>
        <item t="default"/>
      </items>
    </pivotField>
    <pivotField name=" 32" compact="0" outline="0" multipleItemSelectionAllowed="1" showAll="0">
      <items>
        <item x="0"/>
        <item t="default"/>
      </items>
    </pivotField>
    <pivotField name=" 33" compact="0" outline="0" multipleItemSelectionAllowed="1" showAll="0">
      <items>
        <item x="0"/>
        <item t="default"/>
      </items>
    </pivotField>
    <pivotField name=" 34" compact="0" outline="0" multipleItemSelectionAllowed="1" showAll="0">
      <items>
        <item x="0"/>
        <item t="default"/>
      </items>
    </pivotField>
    <pivotField name=" 35" compact="0" outline="0" multipleItemSelectionAllowed="1" showAll="0">
      <items>
        <item x="0"/>
        <item t="default"/>
      </items>
    </pivotField>
    <pivotField name=" 36" compact="0" outline="0" multipleItemSelectionAllowed="1" showAll="0">
      <items>
        <item x="0"/>
        <item t="default"/>
      </items>
    </pivotField>
    <pivotField name=" 37" compact="0" outline="0" multipleItemSelectionAllowed="1" showAll="0">
      <items>
        <item x="0"/>
        <item t="default"/>
      </items>
    </pivotField>
    <pivotField name=" 38" compact="0" outline="0" multipleItemSelectionAllowed="1" showAll="0">
      <items>
        <item x="0"/>
        <item t="default"/>
      </items>
    </pivotField>
    <pivotField name=" 39" compact="0" outline="0" multipleItemSelectionAllowed="1" showAll="0">
      <items>
        <item x="0"/>
        <item t="default"/>
      </items>
    </pivotField>
    <pivotField name=" 40" compact="0" outline="0" multipleItemSelectionAllowed="1" showAll="0">
      <items>
        <item x="0"/>
        <item t="default"/>
      </items>
    </pivotField>
    <pivotField name=" 41" compact="0" outline="0" multipleItemSelectionAllowed="1" showAll="0">
      <items>
        <item x="0"/>
        <item t="default"/>
      </items>
    </pivotField>
    <pivotField name=" 42" compact="0" outline="0" multipleItemSelectionAllowed="1" showAll="0">
      <items>
        <item x="0"/>
        <item t="default"/>
      </items>
    </pivotField>
    <pivotField name=" 43" compact="0" outline="0" multipleItemSelectionAllowed="1" showAll="0">
      <items>
        <item x="0"/>
        <item t="default"/>
      </items>
    </pivotField>
    <pivotField name=" 44" compact="0" outline="0" multipleItemSelectionAllowed="1" showAll="0">
      <items>
        <item x="0"/>
        <item t="default"/>
      </items>
    </pivotField>
    <pivotField name=" 45" compact="0" outline="0" multipleItemSelectionAllowed="1" showAll="0">
      <items>
        <item x="0"/>
        <item t="default"/>
      </items>
    </pivotField>
    <pivotField name=" 46" compact="0" outline="0" multipleItemSelectionAllowed="1" showAll="0">
      <items>
        <item x="0"/>
        <item t="default"/>
      </items>
    </pivotField>
  </pivotFields>
  <rowFields>
    <field x="1"/>
    <field x="4"/>
    <field x="8"/>
  </rowFields>
</pivotTableDefinition>
</file>

<file path=xl/pivotTables/pivotTable4.xml><?xml version="1.0" encoding="utf-8"?>
<pivotTableDefinition xmlns="http://schemas.openxmlformats.org/spreadsheetml/2006/main" name="PRINT STOCKS" cacheId="1" dataCaption="" compact="0" compactData="0">
  <location ref="A3:B28" firstHeaderRow="0" firstDataRow="1" firstDataCol="0" rowPageCount="1" colPageCount="1"/>
  <pivotFields>
    <pivotField name="It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No Stocks Table" axis="axisRow" compact="0" outline="0" multipleItemSelectionAllowed="1" showAll="0" sortType="ascending">
      <items>
        <item x="105"/>
        <item x="85"/>
        <item x="70"/>
        <item x="69"/>
        <item x="71"/>
        <item x="68"/>
        <item x="0"/>
        <item x="1"/>
        <item x="2"/>
        <item x="4"/>
        <item x="3"/>
        <item x="9"/>
        <item x="10"/>
        <item x="11"/>
        <item x="12"/>
        <item x="80"/>
        <item x="75"/>
        <item x="33"/>
        <item x="27"/>
        <item x="8"/>
        <item x="17"/>
        <item x="76"/>
        <item x="78"/>
        <item x="26"/>
        <item x="79"/>
        <item h="1" x="104"/>
        <item x="39"/>
        <item x="60"/>
        <item x="77"/>
        <item x="102"/>
        <item x="40"/>
        <item x="25"/>
        <item x="65"/>
        <item x="103"/>
        <item x="18"/>
        <item x="19"/>
        <item x="88"/>
        <item x="31"/>
        <item x="89"/>
        <item x="22"/>
        <item h="1" x="48"/>
        <item h="1" x="47"/>
        <item h="1" x="46"/>
        <item h="1" x="49"/>
        <item h="1" x="98"/>
        <item h="1" x="45"/>
        <item h="1" x="44"/>
        <item h="1" x="43"/>
        <item h="1" x="42"/>
        <item h="1" x="97"/>
        <item h="1" x="53"/>
        <item h="1" x="52"/>
        <item h="1" x="51"/>
        <item h="1" x="50"/>
        <item h="1" x="99"/>
        <item x="59"/>
        <item x="16"/>
        <item x="15"/>
        <item x="6"/>
        <item x="37"/>
        <item x="7"/>
        <item x="38"/>
        <item x="66"/>
        <item x="67"/>
        <item x="23"/>
        <item x="54"/>
        <item x="28"/>
        <item x="90"/>
        <item x="74"/>
        <item x="32"/>
        <item x="61"/>
        <item x="30"/>
        <item x="35"/>
        <item x="36"/>
        <item x="24"/>
        <item x="101"/>
        <item x="100"/>
        <item x="55"/>
        <item x="56"/>
        <item x="57"/>
        <item x="73"/>
        <item x="72"/>
        <item x="29"/>
        <item x="62"/>
        <item x="63"/>
        <item x="64"/>
        <item x="81"/>
        <item x="58"/>
        <item x="82"/>
        <item x="34"/>
        <item x="96"/>
        <item x="93"/>
        <item x="94"/>
        <item x="95"/>
        <item x="92"/>
        <item x="91"/>
        <item x="41"/>
        <item x="5"/>
        <item x="13"/>
        <item x="14"/>
        <item x="20"/>
        <item x="21"/>
        <item x="83"/>
        <item x="84"/>
        <item x="87"/>
        <item x="86"/>
        <item t="default"/>
      </items>
    </pivotField>
    <pivotField name="Real-Time Stocks" axis="axisPage" dataField="1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h="1" x="17"/>
        <item h="1" x="18"/>
        <item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t="default"/>
      </items>
    </pivotField>
    <pivotField name="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ric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tal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Total Outgoing Sto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Decembe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1/8/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6/11/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  <pivotField name=" 23" compact="0" outline="0" multipleItemSelectionAllowed="1" showAll="0">
      <items>
        <item x="0"/>
        <item t="default"/>
      </items>
    </pivotField>
    <pivotField name=" 24" compact="0" outline="0" multipleItemSelectionAllowed="1" showAll="0">
      <items>
        <item x="0"/>
        <item t="default"/>
      </items>
    </pivotField>
    <pivotField name=" 25" compact="0" outline="0" multipleItemSelectionAllowed="1" showAll="0">
      <items>
        <item x="0"/>
        <item t="default"/>
      </items>
    </pivotField>
    <pivotField name=" 26" compact="0" outline="0" multipleItemSelectionAllowed="1" showAll="0">
      <items>
        <item x="0"/>
        <item t="default"/>
      </items>
    </pivotField>
    <pivotField name=" 27" compact="0" outline="0" multipleItemSelectionAllowed="1" showAll="0">
      <items>
        <item x="0"/>
        <item t="default"/>
      </items>
    </pivotField>
    <pivotField name=" 28" compact="0" outline="0" multipleItemSelectionAllowed="1" showAll="0">
      <items>
        <item x="0"/>
        <item t="default"/>
      </items>
    </pivotField>
    <pivotField name=" 29" compact="0" outline="0" multipleItemSelectionAllowed="1" showAll="0">
      <items>
        <item x="0"/>
        <item t="default"/>
      </items>
    </pivotField>
    <pivotField name=" 30" compact="0" outline="0" multipleItemSelectionAllowed="1" showAll="0">
      <items>
        <item x="0"/>
        <item t="default"/>
      </items>
    </pivotField>
    <pivotField name=" 31" compact="0" outline="0" multipleItemSelectionAllowed="1" showAll="0">
      <items>
        <item x="0"/>
        <item t="default"/>
      </items>
    </pivotField>
    <pivotField name=" 32" compact="0" outline="0" multipleItemSelectionAllowed="1" showAll="0">
      <items>
        <item x="0"/>
        <item t="default"/>
      </items>
    </pivotField>
    <pivotField name=" 33" compact="0" outline="0" multipleItemSelectionAllowed="1" showAll="0">
      <items>
        <item x="0"/>
        <item t="default"/>
      </items>
    </pivotField>
    <pivotField name=" 34" compact="0" outline="0" multipleItemSelectionAllowed="1" showAll="0">
      <items>
        <item x="0"/>
        <item t="default"/>
      </items>
    </pivotField>
    <pivotField name=" 35" compact="0" outline="0" multipleItemSelectionAllowed="1" showAll="0">
      <items>
        <item x="0"/>
        <item t="default"/>
      </items>
    </pivotField>
    <pivotField name=" 36" compact="0" outline="0" multipleItemSelectionAllowed="1" showAll="0">
      <items>
        <item x="0"/>
        <item t="default"/>
      </items>
    </pivotField>
    <pivotField name=" 37" compact="0" outline="0" multipleItemSelectionAllowed="1" showAll="0">
      <items>
        <item x="0"/>
        <item t="default"/>
      </items>
    </pivotField>
    <pivotField name=" 38" compact="0" outline="0" multipleItemSelectionAllowed="1" showAll="0">
      <items>
        <item x="0"/>
        <item t="default"/>
      </items>
    </pivotField>
    <pivotField name=" 39" compact="0" outline="0" multipleItemSelectionAllowed="1" showAll="0">
      <items>
        <item x="0"/>
        <item t="default"/>
      </items>
    </pivotField>
    <pivotField name=" 40" compact="0" outline="0" multipleItemSelectionAllowed="1" showAll="0">
      <items>
        <item x="0"/>
        <item t="default"/>
      </items>
    </pivotField>
    <pivotField name=" 41" compact="0" outline="0" multipleItemSelectionAllowed="1" showAll="0">
      <items>
        <item x="0"/>
        <item t="default"/>
      </items>
    </pivotField>
    <pivotField name=" 42" compact="0" outline="0" multipleItemSelectionAllowed="1" showAll="0">
      <items>
        <item x="0"/>
        <item t="default"/>
      </items>
    </pivotField>
    <pivotField name=" 43" compact="0" outline="0" multipleItemSelectionAllowed="1" showAll="0">
      <items>
        <item x="0"/>
        <item t="default"/>
      </items>
    </pivotField>
    <pivotField name=" 44" compact="0" outline="0" multipleItemSelectionAllowed="1" showAll="0">
      <items>
        <item x="0"/>
        <item t="default"/>
      </items>
    </pivotField>
    <pivotField name=" 45" compact="0" outline="0" multipleItemSelectionAllowed="1" showAll="0">
      <items>
        <item x="0"/>
        <item t="default"/>
      </items>
    </pivotField>
    <pivotField name=" 46" compact="0" outline="0" multipleItemSelectionAllowed="1" showAll="0">
      <items>
        <item x="0"/>
        <item t="default"/>
      </items>
    </pivotField>
  </pivotFields>
  <rowFields>
    <field x="1"/>
  </rowFields>
  <pageFields>
    <pageField fld="2"/>
  </pageFields>
  <dataFields>
    <dataField name="No Stocks" fld="2" baseField="0"/>
  </dataFields>
</pivotTableDefinition>
</file>

<file path=xl/pivotTables/pivotTable5.xml><?xml version="1.0" encoding="utf-8"?>
<pivotTableDefinition xmlns="http://schemas.openxmlformats.org/spreadsheetml/2006/main" name="PRINT STOCKS 2" cacheId="1" dataCaption="" compact="0" compactData="0">
  <location ref="C3:D27" firstHeaderRow="0" firstDataRow="1" firstDataCol="0" rowPageCount="1" colPageCount="1"/>
  <pivotFields>
    <pivotField name="It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Critical Stocks Table" axis="axisRow" compact="0" outline="0" multipleItemSelectionAllowed="1" showAll="0" sortType="ascending">
      <items>
        <item x="105"/>
        <item x="85"/>
        <item x="70"/>
        <item x="69"/>
        <item x="71"/>
        <item x="68"/>
        <item x="0"/>
        <item x="1"/>
        <item x="2"/>
        <item x="4"/>
        <item x="3"/>
        <item x="9"/>
        <item x="10"/>
        <item x="11"/>
        <item x="12"/>
        <item x="80"/>
        <item x="75"/>
        <item x="33"/>
        <item x="27"/>
        <item x="8"/>
        <item x="17"/>
        <item x="76"/>
        <item x="78"/>
        <item x="26"/>
        <item x="79"/>
        <item x="104"/>
        <item x="39"/>
        <item x="60"/>
        <item x="77"/>
        <item x="102"/>
        <item x="40"/>
        <item x="25"/>
        <item x="65"/>
        <item x="103"/>
        <item x="18"/>
        <item x="19"/>
        <item x="88"/>
        <item x="31"/>
        <item x="89"/>
        <item x="22"/>
        <item x="48"/>
        <item x="47"/>
        <item x="46"/>
        <item x="49"/>
        <item x="98"/>
        <item x="45"/>
        <item x="44"/>
        <item x="43"/>
        <item x="42"/>
        <item x="97"/>
        <item x="53"/>
        <item x="52"/>
        <item x="51"/>
        <item x="50"/>
        <item x="99"/>
        <item x="59"/>
        <item x="16"/>
        <item x="15"/>
        <item x="6"/>
        <item x="37"/>
        <item x="7"/>
        <item x="38"/>
        <item x="66"/>
        <item x="67"/>
        <item x="23"/>
        <item x="54"/>
        <item x="28"/>
        <item x="90"/>
        <item x="74"/>
        <item x="32"/>
        <item x="61"/>
        <item x="30"/>
        <item x="35"/>
        <item x="36"/>
        <item x="24"/>
        <item x="101"/>
        <item x="100"/>
        <item x="55"/>
        <item x="56"/>
        <item x="57"/>
        <item x="73"/>
        <item x="72"/>
        <item x="29"/>
        <item x="62"/>
        <item x="63"/>
        <item x="64"/>
        <item x="81"/>
        <item x="58"/>
        <item x="82"/>
        <item x="34"/>
        <item x="96"/>
        <item x="93"/>
        <item x="94"/>
        <item x="95"/>
        <item x="92"/>
        <item x="91"/>
        <item x="41"/>
        <item x="5"/>
        <item x="13"/>
        <item x="14"/>
        <item x="20"/>
        <item x="21"/>
        <item x="83"/>
        <item x="84"/>
        <item x="87"/>
        <item x="86"/>
        <item t="default"/>
      </items>
    </pivotField>
    <pivotField name="Real-Time Stocks" axis="axisPage" dataField="1" compact="0" outline="0" multipleItemSelectionAllowed="1" showAll="0">
      <items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h="1" x="17"/>
        <item h="1" x="18"/>
        <item h="1" x="19"/>
        <item h="1" x="20"/>
        <item h="1" x="21"/>
        <item h="1" x="22"/>
        <item x="23"/>
        <item h="1" x="24"/>
        <item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t="default"/>
      </items>
    </pivotField>
    <pivotField name="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ric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tal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Total Outgoing Sto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Decembe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1/8/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6/11/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  <pivotField name=" 23" compact="0" outline="0" multipleItemSelectionAllowed="1" showAll="0">
      <items>
        <item x="0"/>
        <item t="default"/>
      </items>
    </pivotField>
    <pivotField name=" 24" compact="0" outline="0" multipleItemSelectionAllowed="1" showAll="0">
      <items>
        <item x="0"/>
        <item t="default"/>
      </items>
    </pivotField>
    <pivotField name=" 25" compact="0" outline="0" multipleItemSelectionAllowed="1" showAll="0">
      <items>
        <item x="0"/>
        <item t="default"/>
      </items>
    </pivotField>
    <pivotField name=" 26" compact="0" outline="0" multipleItemSelectionAllowed="1" showAll="0">
      <items>
        <item x="0"/>
        <item t="default"/>
      </items>
    </pivotField>
    <pivotField name=" 27" compact="0" outline="0" multipleItemSelectionAllowed="1" showAll="0">
      <items>
        <item x="0"/>
        <item t="default"/>
      </items>
    </pivotField>
    <pivotField name=" 28" compact="0" outline="0" multipleItemSelectionAllowed="1" showAll="0">
      <items>
        <item x="0"/>
        <item t="default"/>
      </items>
    </pivotField>
    <pivotField name=" 29" compact="0" outline="0" multipleItemSelectionAllowed="1" showAll="0">
      <items>
        <item x="0"/>
        <item t="default"/>
      </items>
    </pivotField>
    <pivotField name=" 30" compact="0" outline="0" multipleItemSelectionAllowed="1" showAll="0">
      <items>
        <item x="0"/>
        <item t="default"/>
      </items>
    </pivotField>
    <pivotField name=" 31" compact="0" outline="0" multipleItemSelectionAllowed="1" showAll="0">
      <items>
        <item x="0"/>
        <item t="default"/>
      </items>
    </pivotField>
    <pivotField name=" 32" compact="0" outline="0" multipleItemSelectionAllowed="1" showAll="0">
      <items>
        <item x="0"/>
        <item t="default"/>
      </items>
    </pivotField>
    <pivotField name=" 33" compact="0" outline="0" multipleItemSelectionAllowed="1" showAll="0">
      <items>
        <item x="0"/>
        <item t="default"/>
      </items>
    </pivotField>
    <pivotField name=" 34" compact="0" outline="0" multipleItemSelectionAllowed="1" showAll="0">
      <items>
        <item x="0"/>
        <item t="default"/>
      </items>
    </pivotField>
    <pivotField name=" 35" compact="0" outline="0" multipleItemSelectionAllowed="1" showAll="0">
      <items>
        <item x="0"/>
        <item t="default"/>
      </items>
    </pivotField>
    <pivotField name=" 36" compact="0" outline="0" multipleItemSelectionAllowed="1" showAll="0">
      <items>
        <item x="0"/>
        <item t="default"/>
      </items>
    </pivotField>
    <pivotField name=" 37" compact="0" outline="0" multipleItemSelectionAllowed="1" showAll="0">
      <items>
        <item x="0"/>
        <item t="default"/>
      </items>
    </pivotField>
    <pivotField name=" 38" compact="0" outline="0" multipleItemSelectionAllowed="1" showAll="0">
      <items>
        <item x="0"/>
        <item t="default"/>
      </items>
    </pivotField>
    <pivotField name=" 39" compact="0" outline="0" multipleItemSelectionAllowed="1" showAll="0">
      <items>
        <item x="0"/>
        <item t="default"/>
      </items>
    </pivotField>
    <pivotField name=" 40" compact="0" outline="0" multipleItemSelectionAllowed="1" showAll="0">
      <items>
        <item x="0"/>
        <item t="default"/>
      </items>
    </pivotField>
    <pivotField name=" 41" compact="0" outline="0" multipleItemSelectionAllowed="1" showAll="0">
      <items>
        <item x="0"/>
        <item t="default"/>
      </items>
    </pivotField>
    <pivotField name=" 42" compact="0" outline="0" multipleItemSelectionAllowed="1" showAll="0">
      <items>
        <item x="0"/>
        <item t="default"/>
      </items>
    </pivotField>
    <pivotField name=" 43" compact="0" outline="0" multipleItemSelectionAllowed="1" showAll="0">
      <items>
        <item x="0"/>
        <item t="default"/>
      </items>
    </pivotField>
    <pivotField name=" 44" compact="0" outline="0" multipleItemSelectionAllowed="1" showAll="0">
      <items>
        <item x="0"/>
        <item t="default"/>
      </items>
    </pivotField>
    <pivotField name=" 45" compact="0" outline="0" multipleItemSelectionAllowed="1" showAll="0">
      <items>
        <item x="0"/>
        <item t="default"/>
      </items>
    </pivotField>
    <pivotField name=" 46" compact="0" outline="0" multipleItemSelectionAllowed="1" showAll="0">
      <items>
        <item x="0"/>
        <item t="default"/>
      </items>
    </pivotField>
  </pivotFields>
  <rowFields>
    <field x="1"/>
  </rowFields>
  <pageFields>
    <pageField fld="2"/>
  </pageFields>
  <dataFields>
    <dataField name="Critical Stocks" fld="2" baseField="0"/>
  </dataFields>
</pivotTableDefinition>
</file>

<file path=xl/pivotTables/pivotTable6.xml><?xml version="1.0" encoding="utf-8"?>
<pivotTableDefinition xmlns="http://schemas.openxmlformats.org/spreadsheetml/2006/main" name="PRINT STOCKS 3" cacheId="1" dataCaption="" compact="0" compactData="0">
  <location ref="E3:F29" firstHeaderRow="0" firstDataRow="1" firstDataCol="0" rowPageCount="1" colPageCount="1"/>
  <pivotFields>
    <pivotField name="It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Warning Stocks Table" axis="axisRow" compact="0" outline="0" multipleItemSelectionAllowed="1" showAll="0" sortType="ascending">
      <items>
        <item x="105"/>
        <item x="85"/>
        <item x="70"/>
        <item x="69"/>
        <item x="71"/>
        <item x="68"/>
        <item x="0"/>
        <item x="1"/>
        <item x="2"/>
        <item x="4"/>
        <item x="3"/>
        <item x="9"/>
        <item x="10"/>
        <item x="11"/>
        <item x="12"/>
        <item x="80"/>
        <item x="75"/>
        <item x="33"/>
        <item x="27"/>
        <item x="8"/>
        <item x="17"/>
        <item x="76"/>
        <item x="78"/>
        <item x="26"/>
        <item x="79"/>
        <item x="104"/>
        <item x="39"/>
        <item x="60"/>
        <item x="77"/>
        <item x="102"/>
        <item x="40"/>
        <item x="25"/>
        <item x="65"/>
        <item x="103"/>
        <item x="18"/>
        <item x="19"/>
        <item x="88"/>
        <item x="31"/>
        <item x="89"/>
        <item x="22"/>
        <item x="48"/>
        <item x="47"/>
        <item x="46"/>
        <item x="49"/>
        <item x="98"/>
        <item x="45"/>
        <item x="44"/>
        <item x="43"/>
        <item x="42"/>
        <item x="97"/>
        <item x="53"/>
        <item x="52"/>
        <item x="51"/>
        <item x="50"/>
        <item x="99"/>
        <item x="59"/>
        <item x="16"/>
        <item x="15"/>
        <item x="6"/>
        <item x="37"/>
        <item x="7"/>
        <item x="38"/>
        <item x="66"/>
        <item x="67"/>
        <item x="23"/>
        <item x="54"/>
        <item x="28"/>
        <item x="90"/>
        <item x="74"/>
        <item x="32"/>
        <item x="61"/>
        <item x="30"/>
        <item x="35"/>
        <item x="36"/>
        <item x="24"/>
        <item x="101"/>
        <item x="100"/>
        <item x="55"/>
        <item x="56"/>
        <item x="57"/>
        <item x="73"/>
        <item x="72"/>
        <item x="29"/>
        <item x="62"/>
        <item x="63"/>
        <item x="64"/>
        <item x="81"/>
        <item x="58"/>
        <item x="82"/>
        <item x="34"/>
        <item x="96"/>
        <item x="93"/>
        <item x="94"/>
        <item x="95"/>
        <item x="92"/>
        <item x="91"/>
        <item x="41"/>
        <item x="5"/>
        <item x="13"/>
        <item x="14"/>
        <item x="20"/>
        <item x="21"/>
        <item x="83"/>
        <item x="84"/>
        <item x="87"/>
        <item x="86"/>
        <item t="default"/>
      </items>
    </pivotField>
    <pivotField name="Real-Time Stocks" axis="axisPage" dataField="1" compact="0" outline="0" multipleItemSelectionAllowed="1" showAll="0">
      <items>
        <item h="1" x="0"/>
        <item x="1"/>
        <item x="2"/>
        <item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x="24"/>
        <item h="1" x="25"/>
        <item h="1" x="26"/>
        <item h="1" x="27"/>
        <item x="28"/>
        <item h="1" x="29"/>
        <item x="30"/>
        <item h="1" x="31"/>
        <item h="1" x="32"/>
        <item h="1" x="33"/>
        <item h="1" x="34"/>
        <item h="1" x="35"/>
        <item h="1" x="36"/>
        <item h="1" x="37"/>
        <item t="default"/>
      </items>
    </pivotField>
    <pivotField name="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ric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tal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Total Outgoing Sto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Decembe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1/8/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6/11/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  <pivotField name=" 23" compact="0" outline="0" multipleItemSelectionAllowed="1" showAll="0">
      <items>
        <item x="0"/>
        <item t="default"/>
      </items>
    </pivotField>
    <pivotField name=" 24" compact="0" outline="0" multipleItemSelectionAllowed="1" showAll="0">
      <items>
        <item x="0"/>
        <item t="default"/>
      </items>
    </pivotField>
    <pivotField name=" 25" compact="0" outline="0" multipleItemSelectionAllowed="1" showAll="0">
      <items>
        <item x="0"/>
        <item t="default"/>
      </items>
    </pivotField>
    <pivotField name=" 26" compact="0" outline="0" multipleItemSelectionAllowed="1" showAll="0">
      <items>
        <item x="0"/>
        <item t="default"/>
      </items>
    </pivotField>
    <pivotField name=" 27" compact="0" outline="0" multipleItemSelectionAllowed="1" showAll="0">
      <items>
        <item x="0"/>
        <item t="default"/>
      </items>
    </pivotField>
    <pivotField name=" 28" compact="0" outline="0" multipleItemSelectionAllowed="1" showAll="0">
      <items>
        <item x="0"/>
        <item t="default"/>
      </items>
    </pivotField>
    <pivotField name=" 29" compact="0" outline="0" multipleItemSelectionAllowed="1" showAll="0">
      <items>
        <item x="0"/>
        <item t="default"/>
      </items>
    </pivotField>
    <pivotField name=" 30" compact="0" outline="0" multipleItemSelectionAllowed="1" showAll="0">
      <items>
        <item x="0"/>
        <item t="default"/>
      </items>
    </pivotField>
    <pivotField name=" 31" compact="0" outline="0" multipleItemSelectionAllowed="1" showAll="0">
      <items>
        <item x="0"/>
        <item t="default"/>
      </items>
    </pivotField>
    <pivotField name=" 32" compact="0" outline="0" multipleItemSelectionAllowed="1" showAll="0">
      <items>
        <item x="0"/>
        <item t="default"/>
      </items>
    </pivotField>
    <pivotField name=" 33" compact="0" outline="0" multipleItemSelectionAllowed="1" showAll="0">
      <items>
        <item x="0"/>
        <item t="default"/>
      </items>
    </pivotField>
    <pivotField name=" 34" compact="0" outline="0" multipleItemSelectionAllowed="1" showAll="0">
      <items>
        <item x="0"/>
        <item t="default"/>
      </items>
    </pivotField>
    <pivotField name=" 35" compact="0" outline="0" multipleItemSelectionAllowed="1" showAll="0">
      <items>
        <item x="0"/>
        <item t="default"/>
      </items>
    </pivotField>
    <pivotField name=" 36" compact="0" outline="0" multipleItemSelectionAllowed="1" showAll="0">
      <items>
        <item x="0"/>
        <item t="default"/>
      </items>
    </pivotField>
    <pivotField name=" 37" compact="0" outline="0" multipleItemSelectionAllowed="1" showAll="0">
      <items>
        <item x="0"/>
        <item t="default"/>
      </items>
    </pivotField>
    <pivotField name=" 38" compact="0" outline="0" multipleItemSelectionAllowed="1" showAll="0">
      <items>
        <item x="0"/>
        <item t="default"/>
      </items>
    </pivotField>
    <pivotField name=" 39" compact="0" outline="0" multipleItemSelectionAllowed="1" showAll="0">
      <items>
        <item x="0"/>
        <item t="default"/>
      </items>
    </pivotField>
    <pivotField name=" 40" compact="0" outline="0" multipleItemSelectionAllowed="1" showAll="0">
      <items>
        <item x="0"/>
        <item t="default"/>
      </items>
    </pivotField>
    <pivotField name=" 41" compact="0" outline="0" multipleItemSelectionAllowed="1" showAll="0">
      <items>
        <item x="0"/>
        <item t="default"/>
      </items>
    </pivotField>
    <pivotField name=" 42" compact="0" outline="0" multipleItemSelectionAllowed="1" showAll="0">
      <items>
        <item x="0"/>
        <item t="default"/>
      </items>
    </pivotField>
    <pivotField name=" 43" compact="0" outline="0" multipleItemSelectionAllowed="1" showAll="0">
      <items>
        <item x="0"/>
        <item t="default"/>
      </items>
    </pivotField>
    <pivotField name=" 44" compact="0" outline="0" multipleItemSelectionAllowed="1" showAll="0">
      <items>
        <item x="0"/>
        <item t="default"/>
      </items>
    </pivotField>
    <pivotField name=" 45" compact="0" outline="0" multipleItemSelectionAllowed="1" showAll="0">
      <items>
        <item x="0"/>
        <item t="default"/>
      </items>
    </pivotField>
    <pivotField name=" 46" compact="0" outline="0" multipleItemSelectionAllowed="1" showAll="0">
      <items>
        <item x="0"/>
        <item t="default"/>
      </items>
    </pivotField>
  </pivotFields>
  <rowFields>
    <field x="1"/>
  </rowFields>
  <pageFields>
    <pageField fld="2"/>
  </pageFields>
  <dataFields>
    <dataField name="Warning Stocks" fld="2" baseField="0"/>
  </dataFields>
</pivotTableDefinition>
</file>

<file path=xl/pivotTables/pivotTable7.xml><?xml version="1.0" encoding="utf-8"?>
<pivotTableDefinition xmlns="http://schemas.openxmlformats.org/spreadsheetml/2006/main" name="PRINT STOCKS 4" cacheId="1" dataCaption="" compact="0" compactData="0">
  <location ref="G3:H8" firstHeaderRow="0" firstDataRow="1" firstDataCol="0" rowPageCount="1" colPageCount="1"/>
  <pivotFields>
    <pivotField name="It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Normal Stocks Table" axis="axisRow" compact="0" outline="0" multipleItemSelectionAllowed="1" showAll="0" sortType="ascending">
      <items>
        <item x="105"/>
        <item x="85"/>
        <item x="70"/>
        <item x="69"/>
        <item x="71"/>
        <item x="68"/>
        <item x="0"/>
        <item x="1"/>
        <item x="2"/>
        <item x="4"/>
        <item x="3"/>
        <item x="9"/>
        <item x="10"/>
        <item x="11"/>
        <item x="12"/>
        <item x="80"/>
        <item x="75"/>
        <item x="33"/>
        <item x="27"/>
        <item x="8"/>
        <item x="17"/>
        <item x="76"/>
        <item x="78"/>
        <item x="26"/>
        <item x="79"/>
        <item x="104"/>
        <item x="39"/>
        <item x="60"/>
        <item x="77"/>
        <item x="102"/>
        <item x="40"/>
        <item x="25"/>
        <item x="65"/>
        <item x="103"/>
        <item x="18"/>
        <item x="19"/>
        <item x="88"/>
        <item x="31"/>
        <item x="89"/>
        <item x="22"/>
        <item x="48"/>
        <item x="47"/>
        <item x="46"/>
        <item x="49"/>
        <item x="98"/>
        <item x="45"/>
        <item x="44"/>
        <item x="43"/>
        <item x="42"/>
        <item x="97"/>
        <item x="53"/>
        <item x="52"/>
        <item x="51"/>
        <item x="50"/>
        <item x="99"/>
        <item x="59"/>
        <item x="16"/>
        <item x="15"/>
        <item x="6"/>
        <item x="37"/>
        <item x="7"/>
        <item x="38"/>
        <item x="66"/>
        <item x="67"/>
        <item x="23"/>
        <item x="54"/>
        <item x="28"/>
        <item x="90"/>
        <item x="74"/>
        <item x="32"/>
        <item x="61"/>
        <item x="30"/>
        <item x="35"/>
        <item x="36"/>
        <item x="24"/>
        <item x="101"/>
        <item x="100"/>
        <item x="55"/>
        <item x="56"/>
        <item x="57"/>
        <item x="73"/>
        <item x="72"/>
        <item x="29"/>
        <item x="62"/>
        <item x="63"/>
        <item x="64"/>
        <item x="81"/>
        <item x="58"/>
        <item x="82"/>
        <item x="34"/>
        <item x="96"/>
        <item x="93"/>
        <item x="94"/>
        <item x="95"/>
        <item x="92"/>
        <item x="91"/>
        <item x="41"/>
        <item x="5"/>
        <item x="13"/>
        <item x="14"/>
        <item x="20"/>
        <item x="21"/>
        <item x="83"/>
        <item x="84"/>
        <item x="87"/>
        <item x="86"/>
        <item t="default"/>
      </items>
    </pivotField>
    <pivotField name="Real-Time Stocks" axis="axisPage" dataField="1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h="1" x="33"/>
        <item h="1" x="34"/>
        <item h="1" x="35"/>
        <item h="1" x="36"/>
        <item h="1" x="37"/>
        <item t="default"/>
      </items>
    </pivotField>
    <pivotField name="Un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price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otal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Total Outgoing Sto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December 202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1/8/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026/11/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  <pivotField name=" 23" compact="0" outline="0" multipleItemSelectionAllowed="1" showAll="0">
      <items>
        <item x="0"/>
        <item t="default"/>
      </items>
    </pivotField>
    <pivotField name=" 24" compact="0" outline="0" multipleItemSelectionAllowed="1" showAll="0">
      <items>
        <item x="0"/>
        <item t="default"/>
      </items>
    </pivotField>
    <pivotField name=" 25" compact="0" outline="0" multipleItemSelectionAllowed="1" showAll="0">
      <items>
        <item x="0"/>
        <item t="default"/>
      </items>
    </pivotField>
    <pivotField name=" 26" compact="0" outline="0" multipleItemSelectionAllowed="1" showAll="0">
      <items>
        <item x="0"/>
        <item t="default"/>
      </items>
    </pivotField>
    <pivotField name=" 27" compact="0" outline="0" multipleItemSelectionAllowed="1" showAll="0">
      <items>
        <item x="0"/>
        <item t="default"/>
      </items>
    </pivotField>
    <pivotField name=" 28" compact="0" outline="0" multipleItemSelectionAllowed="1" showAll="0">
      <items>
        <item x="0"/>
        <item t="default"/>
      </items>
    </pivotField>
    <pivotField name=" 29" compact="0" outline="0" multipleItemSelectionAllowed="1" showAll="0">
      <items>
        <item x="0"/>
        <item t="default"/>
      </items>
    </pivotField>
    <pivotField name=" 30" compact="0" outline="0" multipleItemSelectionAllowed="1" showAll="0">
      <items>
        <item x="0"/>
        <item t="default"/>
      </items>
    </pivotField>
    <pivotField name=" 31" compact="0" outline="0" multipleItemSelectionAllowed="1" showAll="0">
      <items>
        <item x="0"/>
        <item t="default"/>
      </items>
    </pivotField>
    <pivotField name=" 32" compact="0" outline="0" multipleItemSelectionAllowed="1" showAll="0">
      <items>
        <item x="0"/>
        <item t="default"/>
      </items>
    </pivotField>
    <pivotField name=" 33" compact="0" outline="0" multipleItemSelectionAllowed="1" showAll="0">
      <items>
        <item x="0"/>
        <item t="default"/>
      </items>
    </pivotField>
    <pivotField name=" 34" compact="0" outline="0" multipleItemSelectionAllowed="1" showAll="0">
      <items>
        <item x="0"/>
        <item t="default"/>
      </items>
    </pivotField>
    <pivotField name=" 35" compact="0" outline="0" multipleItemSelectionAllowed="1" showAll="0">
      <items>
        <item x="0"/>
        <item t="default"/>
      </items>
    </pivotField>
    <pivotField name=" 36" compact="0" outline="0" multipleItemSelectionAllowed="1" showAll="0">
      <items>
        <item x="0"/>
        <item t="default"/>
      </items>
    </pivotField>
    <pivotField name=" 37" compact="0" outline="0" multipleItemSelectionAllowed="1" showAll="0">
      <items>
        <item x="0"/>
        <item t="default"/>
      </items>
    </pivotField>
    <pivotField name=" 38" compact="0" outline="0" multipleItemSelectionAllowed="1" showAll="0">
      <items>
        <item x="0"/>
        <item t="default"/>
      </items>
    </pivotField>
    <pivotField name=" 39" compact="0" outline="0" multipleItemSelectionAllowed="1" showAll="0">
      <items>
        <item x="0"/>
        <item t="default"/>
      </items>
    </pivotField>
    <pivotField name=" 40" compact="0" outline="0" multipleItemSelectionAllowed="1" showAll="0">
      <items>
        <item x="0"/>
        <item t="default"/>
      </items>
    </pivotField>
    <pivotField name=" 41" compact="0" outline="0" multipleItemSelectionAllowed="1" showAll="0">
      <items>
        <item x="0"/>
        <item t="default"/>
      </items>
    </pivotField>
    <pivotField name=" 42" compact="0" outline="0" multipleItemSelectionAllowed="1" showAll="0">
      <items>
        <item x="0"/>
        <item t="default"/>
      </items>
    </pivotField>
    <pivotField name=" 43" compact="0" outline="0" multipleItemSelectionAllowed="1" showAll="0">
      <items>
        <item x="0"/>
        <item t="default"/>
      </items>
    </pivotField>
    <pivotField name=" 44" compact="0" outline="0" multipleItemSelectionAllowed="1" showAll="0">
      <items>
        <item x="0"/>
        <item t="default"/>
      </items>
    </pivotField>
    <pivotField name=" 45" compact="0" outline="0" multipleItemSelectionAllowed="1" showAll="0">
      <items>
        <item x="0"/>
        <item t="default"/>
      </items>
    </pivotField>
    <pivotField name=" 46" compact="0" outline="0" multipleItemSelectionAllowed="1" showAll="0">
      <items>
        <item x="0"/>
        <item t="default"/>
      </items>
    </pivotField>
  </pivotFields>
  <rowFields>
    <field x="1"/>
  </rowFields>
  <pageFields>
    <pageField fld="2"/>
  </pageFields>
  <dataFields>
    <dataField name="Normal Stocks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2-26T07:27:35.00" personId="{3330a9b0-0146-4cfd-8fc5-b9c126c3a8a2}" id="{0d5f2163-07c3-49dd-baa6-ad2f1fbf49c8}" done="0">
    <x18tc:text xml:space="preserve">5 pcs ang stocks</x18tc:text>
  </x18tc:threadedComment>
  <x18tc:threadedComment ref="A1" dT="2025-12-26T07:09:28.00" personId="{3330a9b0-0146-4cfd-8fc5-b9c126c3a8a2}" id="{8d1be093-bb20-46a0-a0be-4b977060223a}" done="0">
    <x18tc:text xml:space="preserve">kulang ug 6 pcs</x18tc:text>
  </x18tc:threadedComment>
  <x18tc:threadedComment ref="A1" dT="2025-12-26T07:28:22.00" personId="{3330a9b0-0146-4cfd-8fc5-b9c126c3a8a2}" id="{7972df05-4e22-47d7-9b90-e4530ff21f86}" done="0">
    <x18tc:text xml:space="preserve">naa pay 15 ka packs</x18tc:text>
  </x18tc:threadedComment>
  <x18tc:threadedComment ref="L39" dT="2026-01-12T08:15:18.00" personId="{3330a9b0-0146-4cfd-8fc5-b9c126c3a8a2}" id="{25937875-5286-4f45-8647-1eaff666ec97}" done="0">
    <x18tc:text xml:space="preserve">5 received  from LOU</x18tc:text>
  </x18tc:threadedComment>
  <x18tc:threadedComment ref="A1" dT="2025-12-26T07:22:07.00" personId="{3330a9b0-0146-4cfd-8fc5-b9c126c3a8a2}" id="{1a68d766-3cee-4d9d-9194-178ee28eb536}" done="0">
    <x18tc:text xml:space="preserve">Subra 125 pcs</x18tc:text>
  </x18tc:threadedComment>
  <x18tc:threadedComment ref="A1" dT="2025-11-14T06:52:31.00" personId="{3330a9b0-0146-4cfd-8fc5-b9c126c3a8a2}" id="{e56978f5-9930-4cda-8849-c5d074dd89c1}" done="0">
    <x18tc:text xml:space="preserve">Erase this</x18tc:text>
  </x18tc:threadedComment>
  <x18tc:threadedComment ref="A1" dT="2025-12-26T07:43:10.00" personId="{3330a9b0-0146-4cfd-8fc5-b9c126c3a8a2}" id="{7ccda8e3-e9e9-472d-8df5-2b3600b5fb9f}" done="0">
    <x18tc:text xml:space="preserve">12/26/25
subra sa Party</x18tc:text>
  </x18tc:threadedComment>
  <x18tc:threadedComment ref="A1" dT="2025-12-26T07:24:22.00" personId="{3330a9b0-0146-4cfd-8fc5-b9c126c3a8a2}" id="{2e5f73bd-12ae-48a0-9e10-752c2f311b97}" done="0">
    <x18tc:text xml:space="preserve">naa pay 19 pcs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1ABwdJLv9fCMtGJ86xl75X8FblG3LE_B/view?usp=drivesdk" TargetMode="External"/><Relationship Id="rId190" Type="http://schemas.openxmlformats.org/officeDocument/2006/relationships/hyperlink" Target="https://drive.google.com/file/d/18Rfc3GXnWeUSLo15oOA3JBecA1q7P2xX/view?usp=drivesdk" TargetMode="External"/><Relationship Id="rId42" Type="http://schemas.openxmlformats.org/officeDocument/2006/relationships/hyperlink" Target="https://drive.google.com/file/d/11ABwdJLv9fCMtGJ86xl75X8FblG3LE_B/view?usp=drivesdk" TargetMode="External"/><Relationship Id="rId41" Type="http://schemas.openxmlformats.org/officeDocument/2006/relationships/hyperlink" Target="https://drive.google.com/file/d/11ABwdJLv9fCMtGJ86xl75X8FblG3LE_B/view?usp=drivesdk" TargetMode="External"/><Relationship Id="rId44" Type="http://schemas.openxmlformats.org/officeDocument/2006/relationships/hyperlink" Target="https://drive.google.com/file/d/1LLYIWJU3zQAGSEHVu29spoWOOqnI9gFI/view?usp=drivesdk" TargetMode="External"/><Relationship Id="rId194" Type="http://schemas.openxmlformats.org/officeDocument/2006/relationships/hyperlink" Target="https://drive.google.com/file/d/1_F3T-zg5V8OElECISeA9Qn8HbNMnMUP7/view?usp=drivesdk" TargetMode="External"/><Relationship Id="rId43" Type="http://schemas.openxmlformats.org/officeDocument/2006/relationships/hyperlink" Target="https://drive.google.com/file/d/1LLYIWJU3zQAGSEHVu29spoWOOqnI9gFI/view?usp=drivesdk" TargetMode="External"/><Relationship Id="rId193" Type="http://schemas.openxmlformats.org/officeDocument/2006/relationships/hyperlink" Target="https://drive.google.com/file/d/1Ij5zK9qIL-pL7Jtkz5jOatQRlJ78vMXE/view?usp=drivesdk" TargetMode="External"/><Relationship Id="rId46" Type="http://schemas.openxmlformats.org/officeDocument/2006/relationships/hyperlink" Target="https://drive.google.com/file/d/1gErGJFhTBLGKcQqGWVvcs7h_5ccXJIqi/view?usp=drivesdk" TargetMode="External"/><Relationship Id="rId192" Type="http://schemas.openxmlformats.org/officeDocument/2006/relationships/hyperlink" Target="https://drive.google.com/file/d/1jaMnZKk9hR4Is4IZQrXQx2wgcpvPUXes/view?usp=drivesdk" TargetMode="External"/><Relationship Id="rId45" Type="http://schemas.openxmlformats.org/officeDocument/2006/relationships/hyperlink" Target="https://drive.google.com/file/d/1gErGJFhTBLGKcQqGWVvcs7h_5ccXJIqi/view?usp=drivesdk" TargetMode="External"/><Relationship Id="rId191" Type="http://schemas.openxmlformats.org/officeDocument/2006/relationships/hyperlink" Target="https://drive.google.com/file/d/1JxLGMnD0XnndDYSqPS-ElbQsjkq_t-d5/view?usp=drivesdk" TargetMode="External"/><Relationship Id="rId48" Type="http://schemas.openxmlformats.org/officeDocument/2006/relationships/hyperlink" Target="https://drive.google.com/file/d/1TFdyfaSO46J8L_tfe0vDVW7Ebd5FR9_F/view?usp=drivesdk" TargetMode="External"/><Relationship Id="rId187" Type="http://schemas.openxmlformats.org/officeDocument/2006/relationships/hyperlink" Target="https://drive.google.com/file/d/1E1oiv7c5j6g4nFPNqWFzDY5xRuz5K5VP/view?usp=drivesdk" TargetMode="External"/><Relationship Id="rId47" Type="http://schemas.openxmlformats.org/officeDocument/2006/relationships/hyperlink" Target="https://drive.google.com/file/d/1GBYpk7c5Xz3KjGNmiuS8N9iMKNkVkvC_/view?usp=drivesdk" TargetMode="External"/><Relationship Id="rId186" Type="http://schemas.openxmlformats.org/officeDocument/2006/relationships/hyperlink" Target="https://drive.google.com/file/d/1k0seJcl4Tvi3Cy9HlH77e1FzgF7W2xf7/view?usp=drivesdk" TargetMode="External"/><Relationship Id="rId185" Type="http://schemas.openxmlformats.org/officeDocument/2006/relationships/hyperlink" Target="https://drive.google.com/file/d/1ZxVI5UBzMRiK2zVoCmi0HyyS5K-YYkUG/view?usp=drivesdk" TargetMode="External"/><Relationship Id="rId49" Type="http://schemas.openxmlformats.org/officeDocument/2006/relationships/hyperlink" Target="https://drive.google.com/file/d/1TFdyfaSO46J8L_tfe0vDVW7Ebd5FR9_F/view?usp=drivesdk" TargetMode="External"/><Relationship Id="rId184" Type="http://schemas.openxmlformats.org/officeDocument/2006/relationships/hyperlink" Target="https://drive.google.com/file/d/14Rvg6I4qGWwimIgeQ7XfA2jtfexPj5xm/view?usp=drivesdk" TargetMode="External"/><Relationship Id="rId189" Type="http://schemas.openxmlformats.org/officeDocument/2006/relationships/hyperlink" Target="https://drive.google.com/file/d/18Rfc3GXnWeUSLo15oOA3JBecA1q7P2xX/view?usp=drivesdk" TargetMode="External"/><Relationship Id="rId188" Type="http://schemas.openxmlformats.org/officeDocument/2006/relationships/hyperlink" Target="https://drive.google.com/file/d/1usOgrzNQnSeCZ-yX_L-4A2gUa171Rcjs/view?usp=drivesdk" TargetMode="External"/><Relationship Id="rId31" Type="http://schemas.openxmlformats.org/officeDocument/2006/relationships/hyperlink" Target="https://drive.google.com/file/d/15no4SHnYFGy2LYz6Pic5G_7QhFeLaiNI/view?usp=drivesdk" TargetMode="External"/><Relationship Id="rId30" Type="http://schemas.openxmlformats.org/officeDocument/2006/relationships/hyperlink" Target="https://drive.google.com/file/d/1P773IJ2I_380ZtYCWyqQI7NCobLYatBl/view?usp=drivesdk" TargetMode="External"/><Relationship Id="rId33" Type="http://schemas.openxmlformats.org/officeDocument/2006/relationships/hyperlink" Target="https://drive.google.com/file/d/1pp8v9AvTu6gueoFvoHWD7JMV6snoIUf2/view?usp=drivesdk" TargetMode="External"/><Relationship Id="rId183" Type="http://schemas.openxmlformats.org/officeDocument/2006/relationships/hyperlink" Target="https://drive.google.com/file/d/14Rvg6I4qGWwimIgeQ7XfA2jtfexPj5xm/view?usp=drivesdk" TargetMode="External"/><Relationship Id="rId32" Type="http://schemas.openxmlformats.org/officeDocument/2006/relationships/hyperlink" Target="https://drive.google.com/file/d/1pp8v9AvTu6gueoFvoHWD7JMV6snoIUf2/view?usp=drivesdk" TargetMode="External"/><Relationship Id="rId182" Type="http://schemas.openxmlformats.org/officeDocument/2006/relationships/hyperlink" Target="https://drive.google.com/file/d/14Rvg6I4qGWwimIgeQ7XfA2jtfexPj5xm/view?usp=drivesdk" TargetMode="External"/><Relationship Id="rId35" Type="http://schemas.openxmlformats.org/officeDocument/2006/relationships/hyperlink" Target="https://drive.google.com/file/d/1BNSnqcMFzBXSYQV_kzMp2EQces3ZrNFd/view?usp=drivesdk" TargetMode="External"/><Relationship Id="rId181" Type="http://schemas.openxmlformats.org/officeDocument/2006/relationships/hyperlink" Target="https://drive.google.com/file/d/1CBoGwsDUHrJOYT44sCDztMLLT778Eu4U/view?usp=drivesdk" TargetMode="External"/><Relationship Id="rId34" Type="http://schemas.openxmlformats.org/officeDocument/2006/relationships/hyperlink" Target="https://drive.google.com/file/d/1jQ6ugMZPD2NH47jGd-rn1YVNNAm-IMVl/view?usp=drivesdk" TargetMode="External"/><Relationship Id="rId180" Type="http://schemas.openxmlformats.org/officeDocument/2006/relationships/hyperlink" Target="https://drive.google.com/file/d/1CBoGwsDUHrJOYT44sCDztMLLT778Eu4U/view?usp=drivesdk" TargetMode="External"/><Relationship Id="rId37" Type="http://schemas.openxmlformats.org/officeDocument/2006/relationships/hyperlink" Target="https://drive.google.com/file/d/1MnFokygosY1ZTiVGl2k2GWNwT-Y52XY0/view?usp=drivesdk" TargetMode="External"/><Relationship Id="rId176" Type="http://schemas.openxmlformats.org/officeDocument/2006/relationships/hyperlink" Target="https://drive.google.com/file/d/1TxjHGPlBdzA_j6tG8Ay15o9vZ5vXzmvm/view?usp=drivesdk" TargetMode="External"/><Relationship Id="rId36" Type="http://schemas.openxmlformats.org/officeDocument/2006/relationships/hyperlink" Target="https://drive.google.com/file/d/19wrXXlCRUWOU345j087vlu2tvyCQbSQh/view?usp=drivesdk" TargetMode="External"/><Relationship Id="rId175" Type="http://schemas.openxmlformats.org/officeDocument/2006/relationships/hyperlink" Target="https://drive.google.com/file/d/1S7ZFQrTmqwbc1MEumhFduZG4VfwqZeQE/view?usp=drivesdk" TargetMode="External"/><Relationship Id="rId39" Type="http://schemas.openxmlformats.org/officeDocument/2006/relationships/hyperlink" Target="https://drive.google.com/file/d/11ABwdJLv9fCMtGJ86xl75X8FblG3LE_B/view?usp=drivesdk" TargetMode="External"/><Relationship Id="rId174" Type="http://schemas.openxmlformats.org/officeDocument/2006/relationships/hyperlink" Target="https://drive.google.com/file/d/1S7ZFQrTmqwbc1MEumhFduZG4VfwqZeQE/view?usp=drivesdk" TargetMode="External"/><Relationship Id="rId38" Type="http://schemas.openxmlformats.org/officeDocument/2006/relationships/hyperlink" Target="https://drive.google.com/file/d/1Ra0vvLkIPyiJHYnNqTKyaHHI6z5d2zfS/view?usp=drivesdk" TargetMode="External"/><Relationship Id="rId173" Type="http://schemas.openxmlformats.org/officeDocument/2006/relationships/hyperlink" Target="https://drive.google.com/file/d/1Gpi0ATPX6vWfWufkDIGDgJPgG6spjbXb/view?usp=drivesdk" TargetMode="External"/><Relationship Id="rId179" Type="http://schemas.openxmlformats.org/officeDocument/2006/relationships/hyperlink" Target="https://drive.google.com/file/d/1CBoGwsDUHrJOYT44sCDztMLLT778Eu4U/view?usp=drivesdk" TargetMode="External"/><Relationship Id="rId178" Type="http://schemas.openxmlformats.org/officeDocument/2006/relationships/hyperlink" Target="https://drive.google.com/file/d/1CBoGwsDUHrJOYT44sCDztMLLT778Eu4U/view?usp=drivesdk" TargetMode="External"/><Relationship Id="rId177" Type="http://schemas.openxmlformats.org/officeDocument/2006/relationships/hyperlink" Target="https://drive.google.com/file/d/1yjPy5AYu4MaTodWAYzW_WhRCBiEEInKX/view?usp=drivesdk" TargetMode="External"/><Relationship Id="rId20" Type="http://schemas.openxmlformats.org/officeDocument/2006/relationships/hyperlink" Target="https://drive.google.com/file/d/1ixSV3oaVwGkGFgjhyqR3EI9gwu3yGblo/view?usp=drivesdk" TargetMode="External"/><Relationship Id="rId22" Type="http://schemas.openxmlformats.org/officeDocument/2006/relationships/hyperlink" Target="https://drive.google.com/file/d/1xLAWybpV80_o0tMQWMA3dwa3b1YgAmgO/view?usp=drivesdk" TargetMode="External"/><Relationship Id="rId21" Type="http://schemas.openxmlformats.org/officeDocument/2006/relationships/hyperlink" Target="https://drive.google.com/file/d/15zAF_9NPmyEz0XHjsK3m-9Hh1_8NMQwd/view?usp=drivesdk" TargetMode="External"/><Relationship Id="rId24" Type="http://schemas.openxmlformats.org/officeDocument/2006/relationships/hyperlink" Target="https://drive.google.com/file/d/1G80ZMCQF6ddiM6DjUhkwJOwCB0IqYwVe/view?usp=drivesdk" TargetMode="External"/><Relationship Id="rId23" Type="http://schemas.openxmlformats.org/officeDocument/2006/relationships/hyperlink" Target="https://drive.google.com/file/d/1xLAWybpV80_o0tMQWMA3dwa3b1YgAmgO/view?usp=drivesdk" TargetMode="External"/><Relationship Id="rId26" Type="http://schemas.openxmlformats.org/officeDocument/2006/relationships/hyperlink" Target="https://drive.google.com/file/d/1Dq22D_ecXUxnQi7dZZM2j57VfO7Xhh0b/view?usp=drivesdk" TargetMode="External"/><Relationship Id="rId25" Type="http://schemas.openxmlformats.org/officeDocument/2006/relationships/hyperlink" Target="https://drive.google.com/file/d/1Dq22D_ecXUxnQi7dZZM2j57VfO7Xhh0b/view?usp=drivesdk" TargetMode="External"/><Relationship Id="rId28" Type="http://schemas.openxmlformats.org/officeDocument/2006/relationships/hyperlink" Target="https://drive.google.com/file/d/16uNShiAtLgdAoZqCCg4PIOf31sCV3SMQ/view?usp=drivesdk" TargetMode="External"/><Relationship Id="rId27" Type="http://schemas.openxmlformats.org/officeDocument/2006/relationships/hyperlink" Target="https://drive.google.com/file/d/1EOv7iZoRSC_RdGptl65i3v_NHv-1l7fZ/view?usp=drivesdk" TargetMode="External"/><Relationship Id="rId29" Type="http://schemas.openxmlformats.org/officeDocument/2006/relationships/hyperlink" Target="https://drive.google.com/file/d/1AU9A20MU8m_jfanAGO1iHt41W_Ij16OR/view?usp=drivesdk" TargetMode="External"/><Relationship Id="rId11" Type="http://schemas.openxmlformats.org/officeDocument/2006/relationships/hyperlink" Target="https://drive.google.com/file/d/1wZAH1FJD3vE4KRJMmSrNbjuWAYsm8BBn/view?usp=drivesdk" TargetMode="External"/><Relationship Id="rId10" Type="http://schemas.openxmlformats.org/officeDocument/2006/relationships/hyperlink" Target="https://drive.google.com/file/d/1OC9cwNA3u5G8sDESN8z-KVBqWeZzLCeS/view?usp=drivesdk" TargetMode="External"/><Relationship Id="rId13" Type="http://schemas.openxmlformats.org/officeDocument/2006/relationships/hyperlink" Target="https://drive.google.com/file/d/1vhjqe399oMgU19G7wyqoqeRaxjM3Dk90/view?usp=drivesdk" TargetMode="External"/><Relationship Id="rId12" Type="http://schemas.openxmlformats.org/officeDocument/2006/relationships/hyperlink" Target="https://drive.google.com/file/d/1nbSNHmGkihPWapA0MUiuJpX3KiA-4YCy/view?usp=drivesdk" TargetMode="External"/><Relationship Id="rId15" Type="http://schemas.openxmlformats.org/officeDocument/2006/relationships/hyperlink" Target="https://drive.google.com/file/d/1hR2FUKT3dZGNRViReU7Y_vDjhyDQVh_u/view?usp=drivesdk" TargetMode="External"/><Relationship Id="rId198" Type="http://schemas.openxmlformats.org/officeDocument/2006/relationships/hyperlink" Target="https://drive.google.com/file/d/1w_BCfiz_Eu6-4Ya037XHZooIRwXXHncW/view?usp=drivesdk" TargetMode="External"/><Relationship Id="rId14" Type="http://schemas.openxmlformats.org/officeDocument/2006/relationships/hyperlink" Target="https://drive.google.com/file/d/1hR2FUKT3dZGNRViReU7Y_vDjhyDQVh_u/view?usp=drivesdk" TargetMode="External"/><Relationship Id="rId197" Type="http://schemas.openxmlformats.org/officeDocument/2006/relationships/hyperlink" Target="https://drive.google.com/file/d/1w_BCfiz_Eu6-4Ya037XHZooIRwXXHncW/view?usp=drivesdk" TargetMode="External"/><Relationship Id="rId17" Type="http://schemas.openxmlformats.org/officeDocument/2006/relationships/hyperlink" Target="https://drive.google.com/file/d/1WR-TKZI0MRvQgcBp4u2UJVGfFTytW8A7/view?usp=drivesdk" TargetMode="External"/><Relationship Id="rId196" Type="http://schemas.openxmlformats.org/officeDocument/2006/relationships/hyperlink" Target="https://drive.google.com/file/d/1tP9bliQ2D5Mtf4-P3jveWKrCoa4_2-6r/view?usp=drivesdk" TargetMode="External"/><Relationship Id="rId16" Type="http://schemas.openxmlformats.org/officeDocument/2006/relationships/hyperlink" Target="https://drive.google.com/file/d/1NfsJh15vZlG7cXylBUF7_QQIkWC2VKVR/view?usp=drivesdk" TargetMode="External"/><Relationship Id="rId195" Type="http://schemas.openxmlformats.org/officeDocument/2006/relationships/hyperlink" Target="https://drive.google.com/file/d/1tP9bliQ2D5Mtf4-P3jveWKrCoa4_2-6r/view?usp=drivesdk" TargetMode="External"/><Relationship Id="rId19" Type="http://schemas.openxmlformats.org/officeDocument/2006/relationships/hyperlink" Target="https://drive.google.com/file/d/1ixSV3oaVwGkGFgjhyqR3EI9gwu3yGblo/view?usp=drivesdk" TargetMode="External"/><Relationship Id="rId18" Type="http://schemas.openxmlformats.org/officeDocument/2006/relationships/hyperlink" Target="https://drive.google.com/file/d/1a0m0GQBXvzGjTO9cXZ54nspGK9BJeeHA/view?usp=drivesdk" TargetMode="External"/><Relationship Id="rId199" Type="http://schemas.openxmlformats.org/officeDocument/2006/relationships/hyperlink" Target="https://drive.google.com/file/d/1w_BCfiz_Eu6-4Ya037XHZooIRwXXHncW/view?usp=drivesdk" TargetMode="External"/><Relationship Id="rId84" Type="http://schemas.openxmlformats.org/officeDocument/2006/relationships/hyperlink" Target="https://drive.google.com/file/d/1hR0two_oi-yhQN7OTduno2CfRgkh6Bnc/view?usp=drivesdk" TargetMode="External"/><Relationship Id="rId83" Type="http://schemas.openxmlformats.org/officeDocument/2006/relationships/hyperlink" Target="https://drive.google.com/file/d/1pIoyxNdcW4lPF4UUqm_JYQNjRmYww7jh/view?usp=drivesdk" TargetMode="External"/><Relationship Id="rId86" Type="http://schemas.openxmlformats.org/officeDocument/2006/relationships/hyperlink" Target="https://drive.google.com/file/d/1ZYe5-6wO7FzaxyEMmgn5vbSKxv4_gPVg/view?usp=drivesdk" TargetMode="External"/><Relationship Id="rId85" Type="http://schemas.openxmlformats.org/officeDocument/2006/relationships/hyperlink" Target="https://drive.google.com/file/d/1ZYe5-6wO7FzaxyEMmgn5vbSKxv4_gPVg/view?usp=drivesdk" TargetMode="External"/><Relationship Id="rId88" Type="http://schemas.openxmlformats.org/officeDocument/2006/relationships/hyperlink" Target="https://drive.google.com/file/d/1uOo6OyThdqMWLlut5ihdsotmRfLvfbEc/view?usp=drivesdk" TargetMode="External"/><Relationship Id="rId150" Type="http://schemas.openxmlformats.org/officeDocument/2006/relationships/hyperlink" Target="https://drive.google.com/file/d/1P5eXRYbWtxcPmZPcPaUPBM7yfoR3O1IU/view?usp=drivesdk" TargetMode="External"/><Relationship Id="rId87" Type="http://schemas.openxmlformats.org/officeDocument/2006/relationships/hyperlink" Target="https://drive.google.com/file/d/123TKmqp2xeZ-WQclIyLPeaAP2z-q4PQq/view?usp=drivesdk" TargetMode="External"/><Relationship Id="rId89" Type="http://schemas.openxmlformats.org/officeDocument/2006/relationships/hyperlink" Target="https://drive.google.com/file/d/1Yld_qqQpktlt8uwdO9eTWaX-jChXDCzv/view?usp=drivesdk" TargetMode="External"/><Relationship Id="rId80" Type="http://schemas.openxmlformats.org/officeDocument/2006/relationships/hyperlink" Target="https://drive.google.com/file/d/1BumVHrd7nT5npbDrEQDYyQcIYD1x2kjY/view?usp=drivesdk" TargetMode="External"/><Relationship Id="rId82" Type="http://schemas.openxmlformats.org/officeDocument/2006/relationships/hyperlink" Target="https://drive.google.com/file/d/1pIoyxNdcW4lPF4UUqm_JYQNjRmYww7jh/view?usp=drivesdk" TargetMode="External"/><Relationship Id="rId81" Type="http://schemas.openxmlformats.org/officeDocument/2006/relationships/hyperlink" Target="https://drive.google.com/file/d/1xg67yXEqbXXsgmzYlTg_Mn4k68qjsSu3/view?usp=drivesd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drive.google.com/file/d/16svY8TfG4WcznCX2ohB3wxWq6nO_KDz6/view?usp=drivesdk" TargetMode="External"/><Relationship Id="rId4" Type="http://schemas.openxmlformats.org/officeDocument/2006/relationships/hyperlink" Target="https://drive.google.com/file/d/1n1A1UTzNz-20b75jH0Y5AdjgSiagG7tA/view?usp=drivesdk" TargetMode="External"/><Relationship Id="rId148" Type="http://schemas.openxmlformats.org/officeDocument/2006/relationships/hyperlink" Target="https://drive.google.com/file/d/1Dlxje8ugH1yl6NZn4M2sSReDBd_3M0Fw/view?usp=drivesdk" TargetMode="External"/><Relationship Id="rId9" Type="http://schemas.openxmlformats.org/officeDocument/2006/relationships/hyperlink" Target="https://drive.google.com/file/d/1C6cKHFFpTBofptivHQJo2g_KGtCnLZpm/view?usp=drivesdk" TargetMode="External"/><Relationship Id="rId143" Type="http://schemas.openxmlformats.org/officeDocument/2006/relationships/hyperlink" Target="https://drive.google.com/file/d/1Dlxje8ugH1yl6NZn4M2sSReDBd_3M0Fw/view?usp=drivesdk" TargetMode="External"/><Relationship Id="rId142" Type="http://schemas.openxmlformats.org/officeDocument/2006/relationships/hyperlink" Target="https://drive.google.com/file/d/1Dlxje8ugH1yl6NZn4M2sSReDBd_3M0Fw/view?usp=drivesdk" TargetMode="External"/><Relationship Id="rId141" Type="http://schemas.openxmlformats.org/officeDocument/2006/relationships/hyperlink" Target="https://drive.google.com/file/d/1DW0FN9jn6Y1Cetr6AdcrDX6t6Mrtnk4d/view?usp=drivesdk" TargetMode="External"/><Relationship Id="rId140" Type="http://schemas.openxmlformats.org/officeDocument/2006/relationships/hyperlink" Target="https://drive.google.com/file/d/1S7puDcZcwe4lTxHUPc85s3wwvvzP57oW/view?usp=drivesdk" TargetMode="External"/><Relationship Id="rId5" Type="http://schemas.openxmlformats.org/officeDocument/2006/relationships/hyperlink" Target="https://drive.google.com/file/d/1hVy_a7MG8tjKZxKT0hb4MrFaxe_EXCMS/view?usp=drivesdk" TargetMode="External"/><Relationship Id="rId147" Type="http://schemas.openxmlformats.org/officeDocument/2006/relationships/hyperlink" Target="https://drive.google.com/file/d/1Dlxje8ugH1yl6NZn4M2sSReDBd_3M0Fw/view?usp=drivesdk" TargetMode="External"/><Relationship Id="rId6" Type="http://schemas.openxmlformats.org/officeDocument/2006/relationships/hyperlink" Target="https://drive.google.com/file/d/1UNkQa3s5U0xyq5xQJ8yCGuy1kqd0pxh4/view?usp=drivesdk" TargetMode="External"/><Relationship Id="rId146" Type="http://schemas.openxmlformats.org/officeDocument/2006/relationships/hyperlink" Target="https://drive.google.com/file/d/1Dlxje8ugH1yl6NZn4M2sSReDBd_3M0Fw/view?usp=drivesdk" TargetMode="External"/><Relationship Id="rId7" Type="http://schemas.openxmlformats.org/officeDocument/2006/relationships/hyperlink" Target="https://drive.google.com/file/d/1t6hSLMHJHJ3EI9D7qXWaq3WoO8QkeAFN/view?usp=drivesdk" TargetMode="External"/><Relationship Id="rId145" Type="http://schemas.openxmlformats.org/officeDocument/2006/relationships/hyperlink" Target="https://drive.google.com/file/d/1Dlxje8ugH1yl6NZn4M2sSReDBd_3M0Fw/view?usp=drivesdk" TargetMode="External"/><Relationship Id="rId8" Type="http://schemas.openxmlformats.org/officeDocument/2006/relationships/hyperlink" Target="https://drive.google.com/file/d/1Zs7O_1RMhToXNZgm5Fkzv0sn2-ZMRiqe/view?usp=drivesdk" TargetMode="External"/><Relationship Id="rId144" Type="http://schemas.openxmlformats.org/officeDocument/2006/relationships/hyperlink" Target="https://drive.google.com/file/d/1Dlxje8ugH1yl6NZn4M2sSReDBd_3M0Fw/view?usp=drivesdk" TargetMode="External"/><Relationship Id="rId73" Type="http://schemas.openxmlformats.org/officeDocument/2006/relationships/hyperlink" Target="https://drive.google.com/file/d/1fqMlnfyIxt0w0fQaBG-F62tJIVgVnswt/view?usp=drivesdk" TargetMode="External"/><Relationship Id="rId72" Type="http://schemas.openxmlformats.org/officeDocument/2006/relationships/hyperlink" Target="https://drive.google.com/file/d/1A4q6vgivmIC-0lE9o0U37bLrRsF8QshJ/view?usp=drivesdk" TargetMode="External"/><Relationship Id="rId75" Type="http://schemas.openxmlformats.org/officeDocument/2006/relationships/hyperlink" Target="https://drive.google.com/file/d/1fqMlnfyIxt0w0fQaBG-F62tJIVgVnswt/view?usp=drivesdk" TargetMode="External"/><Relationship Id="rId74" Type="http://schemas.openxmlformats.org/officeDocument/2006/relationships/hyperlink" Target="https://drive.google.com/file/d/1fqMlnfyIxt0w0fQaBG-F62tJIVgVnswt/view?usp=drivesdk" TargetMode="External"/><Relationship Id="rId77" Type="http://schemas.openxmlformats.org/officeDocument/2006/relationships/hyperlink" Target="https://drive.google.com/file/d/1HRzDvtRVCzoKL_g8lE9z1gSFeBqwDrWy/view?usp=drivesdk" TargetMode="External"/><Relationship Id="rId76" Type="http://schemas.openxmlformats.org/officeDocument/2006/relationships/hyperlink" Target="https://drive.google.com/file/d/10MxLKcf_L26uQWjenmftQAvwAiU9jmB4/view?usp=drivesdk" TargetMode="External"/><Relationship Id="rId79" Type="http://schemas.openxmlformats.org/officeDocument/2006/relationships/hyperlink" Target="https://drive.google.com/file/d/1C9S5uf0-oJ2ig4KaW8WQpQOY4ID4dsnF/view?usp=drivesdk" TargetMode="External"/><Relationship Id="rId78" Type="http://schemas.openxmlformats.org/officeDocument/2006/relationships/hyperlink" Target="https://drive.google.com/file/d/1HRzDvtRVCzoKL_g8lE9z1gSFeBqwDrWy/view?usp=drivesdk" TargetMode="External"/><Relationship Id="rId71" Type="http://schemas.openxmlformats.org/officeDocument/2006/relationships/hyperlink" Target="https://drive.google.com/file/d/12eLHreIoXawl3pOrji-zdEMyIKs6v36X/view?usp=drivesdk" TargetMode="External"/><Relationship Id="rId70" Type="http://schemas.openxmlformats.org/officeDocument/2006/relationships/hyperlink" Target="https://drive.google.com/file/d/12eLHreIoXawl3pOrji-zdEMyIKs6v36X/view?usp=drivesdk" TargetMode="External"/><Relationship Id="rId139" Type="http://schemas.openxmlformats.org/officeDocument/2006/relationships/hyperlink" Target="https://drive.google.com/file/d/1QrpCC-ZhWwsQOt1pX8zjqrtIqIPccfjk/view?usp=drivesdk" TargetMode="External"/><Relationship Id="rId138" Type="http://schemas.openxmlformats.org/officeDocument/2006/relationships/hyperlink" Target="https://drive.google.com/file/d/1wnlQCE2WLgHWCUNwuNGicZLJ3XmXLZQ9/view?usp=drivesdk" TargetMode="External"/><Relationship Id="rId137" Type="http://schemas.openxmlformats.org/officeDocument/2006/relationships/hyperlink" Target="https://drive.google.com/file/d/1EJqGx8VIWcKXWHTEM4YBK2IMFigEgekT/view?usp=drivesdk" TargetMode="External"/><Relationship Id="rId132" Type="http://schemas.openxmlformats.org/officeDocument/2006/relationships/hyperlink" Target="https://drive.google.com/file/d/12JsdflvNkgWNNP_xOo3_uVc1JaVUkAyY/view?usp=drivesdk" TargetMode="External"/><Relationship Id="rId131" Type="http://schemas.openxmlformats.org/officeDocument/2006/relationships/hyperlink" Target="https://drive.google.com/file/d/1QQreyPfxRbXA39oBSlkEKXBK3IgrlWb1/view?usp=drivesdk" TargetMode="External"/><Relationship Id="rId130" Type="http://schemas.openxmlformats.org/officeDocument/2006/relationships/hyperlink" Target="https://drive.google.com/file/d/1QAqhHBv9DOF73RGj78Qo8fUWQetIlJKW/view?usp=drivesdk" TargetMode="External"/><Relationship Id="rId136" Type="http://schemas.openxmlformats.org/officeDocument/2006/relationships/hyperlink" Target="https://drive.google.com/file/d/1VGScwchtHEvNfPClcbdnYSNF_8xvpm92/view?usp=drivesdk" TargetMode="External"/><Relationship Id="rId135" Type="http://schemas.openxmlformats.org/officeDocument/2006/relationships/hyperlink" Target="https://drive.google.com/file/d/1AI6ofaGVv-IQzhDpDiLXnLRO1x0PsILV/view?usp=drivesdk" TargetMode="External"/><Relationship Id="rId134" Type="http://schemas.openxmlformats.org/officeDocument/2006/relationships/hyperlink" Target="https://drive.google.com/file/d/1duZ6GTt3NZgDl0gC-JHUZXt18v8DDGJ-/view?usp=drivesdk" TargetMode="External"/><Relationship Id="rId133" Type="http://schemas.openxmlformats.org/officeDocument/2006/relationships/hyperlink" Target="https://drive.google.com/file/d/1kP6pbVthDiLOnG6lG-0QV5T5oPHDgD5L/view?usp=drivesdk" TargetMode="External"/><Relationship Id="rId62" Type="http://schemas.openxmlformats.org/officeDocument/2006/relationships/hyperlink" Target="https://drive.google.com/file/d/1YGemKsdtirZ7OLf5sHg7HRp-b7FfuTzx/view?usp=drivesdk" TargetMode="External"/><Relationship Id="rId61" Type="http://schemas.openxmlformats.org/officeDocument/2006/relationships/hyperlink" Target="https://drive.google.com/file/d/17hSrl9t6gDeCpteYUYsL4jCszeW7f5Te/view?usp=drivesdk" TargetMode="External"/><Relationship Id="rId64" Type="http://schemas.openxmlformats.org/officeDocument/2006/relationships/hyperlink" Target="https://drive.google.com/file/d/12obOOVDuuq_5MUoTmMacPSdrqkKKzLXX/view?usp=drivesdk" TargetMode="External"/><Relationship Id="rId63" Type="http://schemas.openxmlformats.org/officeDocument/2006/relationships/hyperlink" Target="https://drive.google.com/file/d/15r0yGo1Q6Db5kH0aaAa3NlUsLpYgJdZV/view?usp=drivesdk" TargetMode="External"/><Relationship Id="rId66" Type="http://schemas.openxmlformats.org/officeDocument/2006/relationships/hyperlink" Target="https://drive.google.com/file/d/1624Xjau33nTf1kbh3grBYjM1GpbxwF9p/view?usp=drivesdk" TargetMode="External"/><Relationship Id="rId172" Type="http://schemas.openxmlformats.org/officeDocument/2006/relationships/hyperlink" Target="https://drive.google.com/file/d/179YBfog8hSfv0ERbzX1zsvjHm2WiWhFy/view?usp=drivesdk" TargetMode="External"/><Relationship Id="rId65" Type="http://schemas.openxmlformats.org/officeDocument/2006/relationships/hyperlink" Target="https://drive.google.com/file/d/1t7BpztNV6Vgs9BBOoHNpWnvIlA9_9Hx9/view?usp=drivesdk" TargetMode="External"/><Relationship Id="rId171" Type="http://schemas.openxmlformats.org/officeDocument/2006/relationships/hyperlink" Target="https://drive.google.com/file/d/1DcJI7KjUzemZmE-yKwiTUg7GfsImBh98/view?usp=drivesdk" TargetMode="External"/><Relationship Id="rId68" Type="http://schemas.openxmlformats.org/officeDocument/2006/relationships/hyperlink" Target="https://drive.google.com/file/d/1Sxdx4WDDxdtbn67qJlT9HS5Y0VfbxEsg/view?usp=drivesdk" TargetMode="External"/><Relationship Id="rId170" Type="http://schemas.openxmlformats.org/officeDocument/2006/relationships/hyperlink" Target="https://drive.google.com/file/d/1rEeYAc7NEXEsT3O6C1JjhBLgLMZ4JlUG/view?usp=drivesdk" TargetMode="External"/><Relationship Id="rId67" Type="http://schemas.openxmlformats.org/officeDocument/2006/relationships/hyperlink" Target="https://drive.google.com/file/d/1Iozj6Vnu5er2rXvRAnfNXlUoJ-hgs3hM/view?usp=drivesdk" TargetMode="External"/><Relationship Id="rId60" Type="http://schemas.openxmlformats.org/officeDocument/2006/relationships/hyperlink" Target="https://drive.google.com/file/d/1I7lNXY6NUJiC0ypWwb5t6ZmHoJZ6OAAW/view?usp=drivesdk" TargetMode="External"/><Relationship Id="rId165" Type="http://schemas.openxmlformats.org/officeDocument/2006/relationships/hyperlink" Target="https://drive.google.com/file/d/1Izuj3cxu50h4l-EYZ0CawyBTRLAL38cY/view?usp=drivesdk" TargetMode="External"/><Relationship Id="rId69" Type="http://schemas.openxmlformats.org/officeDocument/2006/relationships/hyperlink" Target="https://drive.google.com/file/d/1btuT-Tc_KM99AndkViCVCxzZvf4chwsm/view?usp=drivesdk" TargetMode="External"/><Relationship Id="rId164" Type="http://schemas.openxmlformats.org/officeDocument/2006/relationships/hyperlink" Target="https://drive.google.com/file/d/150D2_T-b3anhoMG92-Ni5V5zQ0IMIbK6/view?usp=drivesdk" TargetMode="External"/><Relationship Id="rId163" Type="http://schemas.openxmlformats.org/officeDocument/2006/relationships/hyperlink" Target="https://drive.google.com/file/d/17xEDfIuy_3PIzrBq16a6HlYjlbOgd1oE/view?usp=drivesdk" TargetMode="External"/><Relationship Id="rId162" Type="http://schemas.openxmlformats.org/officeDocument/2006/relationships/hyperlink" Target="https://drive.google.com/file/d/1mzCRZVh108oAljtvbipXAAyqCGnFjs61/view?usp=drivesdk" TargetMode="External"/><Relationship Id="rId169" Type="http://schemas.openxmlformats.org/officeDocument/2006/relationships/hyperlink" Target="https://drive.google.com/file/d/1rEeYAc7NEXEsT3O6C1JjhBLgLMZ4JlUG/view?usp=drivesdk" TargetMode="External"/><Relationship Id="rId168" Type="http://schemas.openxmlformats.org/officeDocument/2006/relationships/hyperlink" Target="https://drive.google.com/file/d/11PMeeSURUqRC7B1xbeW98ClBu5gqu-_i/view?usp=drivesdk" TargetMode="External"/><Relationship Id="rId167" Type="http://schemas.openxmlformats.org/officeDocument/2006/relationships/hyperlink" Target="https://drive.google.com/file/d/15Hyd3HztgmiprXLlh0oDP_SuX8o57cHI/view?usp=drivesdk" TargetMode="External"/><Relationship Id="rId166" Type="http://schemas.openxmlformats.org/officeDocument/2006/relationships/hyperlink" Target="https://drive.google.com/file/d/15Hyd3HztgmiprXLlh0oDP_SuX8o57cHI/view?usp=drivesdk" TargetMode="External"/><Relationship Id="rId51" Type="http://schemas.openxmlformats.org/officeDocument/2006/relationships/hyperlink" Target="https://drive.google.com/file/d/1887rqH4UyW6D6zKZU724OtTbOTFa-EM8/view?usp=drivesdk" TargetMode="External"/><Relationship Id="rId50" Type="http://schemas.openxmlformats.org/officeDocument/2006/relationships/hyperlink" Target="https://drive.google.com/file/d/1T9q1d4yrYqkIkVgZLXe9MJCw_OEt9V_q/view?usp=drivesdk" TargetMode="External"/><Relationship Id="rId53" Type="http://schemas.openxmlformats.org/officeDocument/2006/relationships/hyperlink" Target="https://drive.google.com/file/d/1ZxVG3ZbhESqGXf6ZTWAAXpkR_bTlBPT9/view?usp=drivesdk" TargetMode="External"/><Relationship Id="rId52" Type="http://schemas.openxmlformats.org/officeDocument/2006/relationships/hyperlink" Target="https://drive.google.com/file/d/1PxqmGTvPDjCBfAecPkdUDMC9qXTRBa_p/view?usp=drivesdk" TargetMode="External"/><Relationship Id="rId55" Type="http://schemas.openxmlformats.org/officeDocument/2006/relationships/hyperlink" Target="https://drive.google.com/file/d/1g0L7_UiFY03MIaC42syCFU_rn0_MuchH/view?usp=drivesdk" TargetMode="External"/><Relationship Id="rId161" Type="http://schemas.openxmlformats.org/officeDocument/2006/relationships/hyperlink" Target="https://drive.google.com/file/d/1mzCRZVh108oAljtvbipXAAyqCGnFjs61/view?usp=drivesdk" TargetMode="External"/><Relationship Id="rId54" Type="http://schemas.openxmlformats.org/officeDocument/2006/relationships/hyperlink" Target="https://drive.google.com/file/d/1g0L7_UiFY03MIaC42syCFU_rn0_MuchH/view?usp=drivesdk" TargetMode="External"/><Relationship Id="rId160" Type="http://schemas.openxmlformats.org/officeDocument/2006/relationships/hyperlink" Target="https://drive.google.com/file/d/1mzCRZVh108oAljtvbipXAAyqCGnFjs61/view?usp=drivesdk" TargetMode="External"/><Relationship Id="rId57" Type="http://schemas.openxmlformats.org/officeDocument/2006/relationships/hyperlink" Target="https://drive.google.com/file/d/1G1ADw31iAdZf_bccIh-A6ayWVbfD0ZPf/view?usp=drivesdk" TargetMode="External"/><Relationship Id="rId56" Type="http://schemas.openxmlformats.org/officeDocument/2006/relationships/hyperlink" Target="https://drive.google.com/file/d/1amA9wWHm4833h2bYKIPRPC467QbpE3yG/view?usp=drivesdk" TargetMode="External"/><Relationship Id="rId159" Type="http://schemas.openxmlformats.org/officeDocument/2006/relationships/hyperlink" Target="https://drive.google.com/file/d/1mzCRZVh108oAljtvbipXAAyqCGnFjs61/view?usp=drivesdk" TargetMode="External"/><Relationship Id="rId59" Type="http://schemas.openxmlformats.org/officeDocument/2006/relationships/hyperlink" Target="https://drive.google.com/file/d/1nE-geVIfe5CsuqZ_GlX-kkKgTidCUHqS/view?usp=drivesdk" TargetMode="External"/><Relationship Id="rId154" Type="http://schemas.openxmlformats.org/officeDocument/2006/relationships/hyperlink" Target="https://drive.google.com/file/d/12YHEEUCg_THYzPp3FMZSHdHP4YAZNQuf/view?usp=drivesdk" TargetMode="External"/><Relationship Id="rId58" Type="http://schemas.openxmlformats.org/officeDocument/2006/relationships/hyperlink" Target="https://drive.google.com/file/d/1HD8KLZnSYEFG3I5R825l0lB3F0QBwCGk/view?usp=drivesdk" TargetMode="External"/><Relationship Id="rId153" Type="http://schemas.openxmlformats.org/officeDocument/2006/relationships/hyperlink" Target="https://drive.google.com/file/d/1FvxHWMHuFv28j-tLwyOrGKefHKWzVm7n/view?usp=drivesdk" TargetMode="External"/><Relationship Id="rId152" Type="http://schemas.openxmlformats.org/officeDocument/2006/relationships/hyperlink" Target="https://drive.google.com/file/d/11HtloNM3_6XXx0mqsYvkg8pRpxp2_kU5/view?usp=drivesdk" TargetMode="External"/><Relationship Id="rId151" Type="http://schemas.openxmlformats.org/officeDocument/2006/relationships/hyperlink" Target="https://drive.google.com/file/d/1mGEQQ0rC3zcAf1-IMztoNvX5Dbo1oGzz/view?usp=drivesdk" TargetMode="External"/><Relationship Id="rId158" Type="http://schemas.openxmlformats.org/officeDocument/2006/relationships/hyperlink" Target="https://drive.google.com/file/d/1FrYk5J719T3wfb52bXgdptvpMHl-JYsh/view?usp=drivesdk" TargetMode="External"/><Relationship Id="rId157" Type="http://schemas.openxmlformats.org/officeDocument/2006/relationships/hyperlink" Target="https://drive.google.com/file/d/1AyTUzE4My-sJg92xFzuc5ZlMa1FeOLiS/view?usp=drivesdk" TargetMode="External"/><Relationship Id="rId156" Type="http://schemas.openxmlformats.org/officeDocument/2006/relationships/hyperlink" Target="https://drive.google.com/file/d/1qD5vFY2s0ogyBR9M7Ki_c1NAP4SN0RUp/view?usp=drivesdk" TargetMode="External"/><Relationship Id="rId155" Type="http://schemas.openxmlformats.org/officeDocument/2006/relationships/hyperlink" Target="https://drive.google.com/file/d/1AxwAHnGwujj8FWwJ3e6CQAWk-M-xpiOz/view?usp=drivesdk" TargetMode="External"/><Relationship Id="rId107" Type="http://schemas.openxmlformats.org/officeDocument/2006/relationships/hyperlink" Target="https://drive.google.com/file/d/1sV6F5ribxZhfszL6Ge5rVi3en8KehCWa/view?usp=drivesdk" TargetMode="External"/><Relationship Id="rId228" Type="http://schemas.openxmlformats.org/officeDocument/2006/relationships/hyperlink" Target="https://drive.google.com/file/d/13e7VeGx_8JYlfr-wfIm7DiV0kNTgL-cO/view?usp=drivesdk" TargetMode="External"/><Relationship Id="rId106" Type="http://schemas.openxmlformats.org/officeDocument/2006/relationships/hyperlink" Target="https://drive.google.com/file/d/1IMNkcIm7TdjeCEysJCMhaSFQi83eJRKN/view?usp=drivesdk" TargetMode="External"/><Relationship Id="rId227" Type="http://schemas.openxmlformats.org/officeDocument/2006/relationships/hyperlink" Target="https://drive.google.com/file/d/1cGMLyxhlxiCRCSc-yxumGmCnonrfRCJC/view?usp=drivesdk" TargetMode="External"/><Relationship Id="rId105" Type="http://schemas.openxmlformats.org/officeDocument/2006/relationships/hyperlink" Target="https://drive.google.com/file/d/1OefUVUY3BylL1qB3zk63iZR3gYAIgiBf/view?usp=drivesdk" TargetMode="External"/><Relationship Id="rId226" Type="http://schemas.openxmlformats.org/officeDocument/2006/relationships/hyperlink" Target="https://drive.google.com/file/d/1Ji0S8z3oKK6iQllCi_qsxEqL-txDoY96/view?usp=drivesdk" TargetMode="External"/><Relationship Id="rId104" Type="http://schemas.openxmlformats.org/officeDocument/2006/relationships/hyperlink" Target="https://drive.google.com/file/d/1OefUVUY3BylL1qB3zk63iZR3gYAIgiBf/view?usp=drivesdk" TargetMode="External"/><Relationship Id="rId225" Type="http://schemas.openxmlformats.org/officeDocument/2006/relationships/hyperlink" Target="https://drive.google.com/file/d/1Ji0S8z3oKK6iQllCi_qsxEqL-txDoY96/view?usp=drivesdk" TargetMode="External"/><Relationship Id="rId109" Type="http://schemas.openxmlformats.org/officeDocument/2006/relationships/hyperlink" Target="https://drive.google.com/file/d/1qZO0_vepdngBjRcXsreKCdJDkRFhmKZa/view?usp=drivesdk" TargetMode="External"/><Relationship Id="rId108" Type="http://schemas.openxmlformats.org/officeDocument/2006/relationships/hyperlink" Target="https://drive.google.com/file/d/1NtOFgZvBIxtw4lVYn8YbeX82HbOKqZJu/view?usp=drivesdk" TargetMode="External"/><Relationship Id="rId229" Type="http://schemas.openxmlformats.org/officeDocument/2006/relationships/drawing" Target="../drawings/drawing1.xml"/><Relationship Id="rId220" Type="http://schemas.openxmlformats.org/officeDocument/2006/relationships/hyperlink" Target="https://drive.google.com/file/d/10_ohPgzWMqJM8AfB34RJ7U0XhX5vDc7h/view?usp=drivesdk" TargetMode="External"/><Relationship Id="rId103" Type="http://schemas.openxmlformats.org/officeDocument/2006/relationships/hyperlink" Target="https://drive.google.com/file/d/1OefUVUY3BylL1qB3zk63iZR3gYAIgiBf/view?usp=drivesdk" TargetMode="External"/><Relationship Id="rId224" Type="http://schemas.openxmlformats.org/officeDocument/2006/relationships/hyperlink" Target="https://drive.google.com/file/d/11o7q4rr4w5coIcXHsvTbwDPPfkxxkNoU/view?usp=drivesdk" TargetMode="External"/><Relationship Id="rId102" Type="http://schemas.openxmlformats.org/officeDocument/2006/relationships/hyperlink" Target="https://drive.google.com/file/d/1OefUVUY3BylL1qB3zk63iZR3gYAIgiBf/view?usp=drivesdk" TargetMode="External"/><Relationship Id="rId223" Type="http://schemas.openxmlformats.org/officeDocument/2006/relationships/hyperlink" Target="https://drive.google.com/file/d/165qd4n6EM1xJvV_FNDcVLxM6na3T6Vgz/view?usp=drivesdk" TargetMode="External"/><Relationship Id="rId101" Type="http://schemas.openxmlformats.org/officeDocument/2006/relationships/hyperlink" Target="https://drive.google.com/file/d/1OefUVUY3BylL1qB3zk63iZR3gYAIgiBf/view?usp=drivesdk" TargetMode="External"/><Relationship Id="rId222" Type="http://schemas.openxmlformats.org/officeDocument/2006/relationships/hyperlink" Target="https://drive.google.com/file/d/1hP5vJYD4hGvyTKfuanE-6JJshnL0F75P/view?usp=drivesdk" TargetMode="External"/><Relationship Id="rId100" Type="http://schemas.openxmlformats.org/officeDocument/2006/relationships/hyperlink" Target="https://drive.google.com/file/d/1OefUVUY3BylL1qB3zk63iZR3gYAIgiBf/view?usp=drivesdk" TargetMode="External"/><Relationship Id="rId221" Type="http://schemas.openxmlformats.org/officeDocument/2006/relationships/hyperlink" Target="https://drive.google.com/file/d/1hP5vJYD4hGvyTKfuanE-6JJshnL0F75P/view?usp=drivesdk" TargetMode="External"/><Relationship Id="rId217" Type="http://schemas.openxmlformats.org/officeDocument/2006/relationships/hyperlink" Target="https://drive.google.com/file/d/1vkFUmkNzi6JQ6LUuFCwpkYwI1e3uj3l_/view?usp=drivesdk" TargetMode="External"/><Relationship Id="rId216" Type="http://schemas.openxmlformats.org/officeDocument/2006/relationships/hyperlink" Target="https://drive.google.com/file/d/1vkFUmkNzi6JQ6LUuFCwpkYwI1e3uj3l_/view?usp=drivesdk" TargetMode="External"/><Relationship Id="rId215" Type="http://schemas.openxmlformats.org/officeDocument/2006/relationships/hyperlink" Target="https://drive.google.com/file/d/1vkFUmkNzi6JQ6LUuFCwpkYwI1e3uj3l_/view?usp=drivesdk" TargetMode="External"/><Relationship Id="rId214" Type="http://schemas.openxmlformats.org/officeDocument/2006/relationships/hyperlink" Target="https://drive.google.com/file/d/1vkFUmkNzi6JQ6LUuFCwpkYwI1e3uj3l_/view?usp=drivesdk" TargetMode="External"/><Relationship Id="rId219" Type="http://schemas.openxmlformats.org/officeDocument/2006/relationships/hyperlink" Target="https://drive.google.com/file/d/1WevFMQkF1wDJ2juhjkt13JhiSlwAnsq0/view?usp=drivesdk" TargetMode="External"/><Relationship Id="rId218" Type="http://schemas.openxmlformats.org/officeDocument/2006/relationships/hyperlink" Target="https://drive.google.com/file/d/1cA4MChTASQ1S7tPHll1fY_KyTMAhx2BL/view?usp=drivesdk" TargetMode="External"/><Relationship Id="rId213" Type="http://schemas.openxmlformats.org/officeDocument/2006/relationships/hyperlink" Target="https://drive.google.com/file/d/1vkFUmkNzi6JQ6LUuFCwpkYwI1e3uj3l_/view?usp=drivesdk" TargetMode="External"/><Relationship Id="rId212" Type="http://schemas.openxmlformats.org/officeDocument/2006/relationships/hyperlink" Target="https://drive.google.com/file/d/1vkFUmkNzi6JQ6LUuFCwpkYwI1e3uj3l_/view?usp=drivesdk" TargetMode="External"/><Relationship Id="rId211" Type="http://schemas.openxmlformats.org/officeDocument/2006/relationships/hyperlink" Target="https://drive.google.com/file/d/1vkFUmkNzi6JQ6LUuFCwpkYwI1e3uj3l_/view?usp=drivesdk" TargetMode="External"/><Relationship Id="rId210" Type="http://schemas.openxmlformats.org/officeDocument/2006/relationships/hyperlink" Target="https://drive.google.com/file/d/1iOZW80Bp4Vr83QSTs0TW_KWlwEKPpF0N/view?usp=drivesdk" TargetMode="External"/><Relationship Id="rId129" Type="http://schemas.openxmlformats.org/officeDocument/2006/relationships/hyperlink" Target="https://drive.google.com/file/d/1iJiGqqJHLl8ofOjMT5kbefFe-TUZmUbL/view?usp=drivesdk" TargetMode="External"/><Relationship Id="rId128" Type="http://schemas.openxmlformats.org/officeDocument/2006/relationships/hyperlink" Target="https://drive.google.com/file/d/1iJiGqqJHLl8ofOjMT5kbefFe-TUZmUbL/view?usp=drivesdk" TargetMode="External"/><Relationship Id="rId127" Type="http://schemas.openxmlformats.org/officeDocument/2006/relationships/hyperlink" Target="https://drive.google.com/file/d/1iJiGqqJHLl8ofOjMT5kbefFe-TUZmUbL/view?usp=drivesdk" TargetMode="External"/><Relationship Id="rId126" Type="http://schemas.openxmlformats.org/officeDocument/2006/relationships/hyperlink" Target="https://drive.google.com/file/d/1IoFZptjb7UzWjDzbLinaQHcA0j6mNdzY/view?usp=drivesdk" TargetMode="External"/><Relationship Id="rId121" Type="http://schemas.openxmlformats.org/officeDocument/2006/relationships/hyperlink" Target="https://drive.google.com/file/d/1JorlAdwEeLWP9U270Yg2juqAnzDdxgol/view?usp=drivesdk" TargetMode="External"/><Relationship Id="rId120" Type="http://schemas.openxmlformats.org/officeDocument/2006/relationships/hyperlink" Target="https://drive.google.com/file/d/12vb3IcU1RNM2yqPgCNACB7W9kTqAj6Jy/view?usp=drivesdk" TargetMode="External"/><Relationship Id="rId125" Type="http://schemas.openxmlformats.org/officeDocument/2006/relationships/hyperlink" Target="https://drive.google.com/file/d/1IoFZptjb7UzWjDzbLinaQHcA0j6mNdzY/view?usp=drivesdk" TargetMode="External"/><Relationship Id="rId124" Type="http://schemas.openxmlformats.org/officeDocument/2006/relationships/hyperlink" Target="https://drive.google.com/file/d/1A4i9RJrf79-XtChbSLHCKtrmDcMQitO9/view?usp=drivesdk" TargetMode="External"/><Relationship Id="rId123" Type="http://schemas.openxmlformats.org/officeDocument/2006/relationships/hyperlink" Target="https://drive.google.com/file/d/1JorlAdwEeLWP9U270Yg2juqAnzDdxgol/view?usp=drivesdk" TargetMode="External"/><Relationship Id="rId122" Type="http://schemas.openxmlformats.org/officeDocument/2006/relationships/hyperlink" Target="https://drive.google.com/file/d/1JorlAdwEeLWP9U270Yg2juqAnzDdxgol/view?usp=drivesdk" TargetMode="External"/><Relationship Id="rId95" Type="http://schemas.openxmlformats.org/officeDocument/2006/relationships/hyperlink" Target="https://drive.google.com/file/d/1Y68g1TIYfWRik7XyPEKsQz1EFu8JSuqu/view?usp=drivesdk" TargetMode="External"/><Relationship Id="rId94" Type="http://schemas.openxmlformats.org/officeDocument/2006/relationships/hyperlink" Target="https://drive.google.com/file/d/1Y68g1TIYfWRik7XyPEKsQz1EFu8JSuqu/view?usp=drivesdk" TargetMode="External"/><Relationship Id="rId97" Type="http://schemas.openxmlformats.org/officeDocument/2006/relationships/hyperlink" Target="https://drive.google.com/file/d/1dD3U7HeIk7Db_3A2q7lxwfYT6Mz1DYXX/view?usp=drivesdk" TargetMode="External"/><Relationship Id="rId96" Type="http://schemas.openxmlformats.org/officeDocument/2006/relationships/hyperlink" Target="https://drive.google.com/file/d/1dD3U7HeIk7Db_3A2q7lxwfYT6Mz1DYXX/view?usp=drivesdk" TargetMode="External"/><Relationship Id="rId99" Type="http://schemas.openxmlformats.org/officeDocument/2006/relationships/hyperlink" Target="https://drive.google.com/file/d/1dD3U7HeIk7Db_3A2q7lxwfYT6Mz1DYXX/view?usp=drivesdk" TargetMode="External"/><Relationship Id="rId98" Type="http://schemas.openxmlformats.org/officeDocument/2006/relationships/hyperlink" Target="https://drive.google.com/file/d/1dD3U7HeIk7Db_3A2q7lxwfYT6Mz1DYXX/view?usp=drivesdk" TargetMode="External"/><Relationship Id="rId91" Type="http://schemas.openxmlformats.org/officeDocument/2006/relationships/hyperlink" Target="https://drive.google.com/file/d/1UWjX79xM0MXNd2f86TbSqg525MobFS9d/view?usp=drivesdk" TargetMode="External"/><Relationship Id="rId90" Type="http://schemas.openxmlformats.org/officeDocument/2006/relationships/hyperlink" Target="https://drive.google.com/file/d/16iE4rysY5LSL0qz_ke3z9t7QFWE9t4Cr/view?usp=drivesdk" TargetMode="External"/><Relationship Id="rId93" Type="http://schemas.openxmlformats.org/officeDocument/2006/relationships/hyperlink" Target="https://drive.google.com/file/d/1Y68g1TIYfWRik7XyPEKsQz1EFu8JSuqu/view?usp=drivesdk" TargetMode="External"/><Relationship Id="rId92" Type="http://schemas.openxmlformats.org/officeDocument/2006/relationships/hyperlink" Target="https://drive.google.com/file/d/1h5nz6Zvf-n020t-4gWyWIUkuWudNvqH-/view?usp=drivesdk" TargetMode="External"/><Relationship Id="rId118" Type="http://schemas.openxmlformats.org/officeDocument/2006/relationships/hyperlink" Target="https://drive.google.com/file/d/12vb3IcU1RNM2yqPgCNACB7W9kTqAj6Jy/view?usp=drivesdk" TargetMode="External"/><Relationship Id="rId117" Type="http://schemas.openxmlformats.org/officeDocument/2006/relationships/hyperlink" Target="https://drive.google.com/file/d/1VBfaD-_8CCtv3s6Z5-cT4XPCdgLGxwjQ/view?usp=drivesdk" TargetMode="External"/><Relationship Id="rId116" Type="http://schemas.openxmlformats.org/officeDocument/2006/relationships/hyperlink" Target="https://drive.google.com/file/d/1N16UriizFYCQ2eIQKaoZfzzlIY6J4Qxu/view?usp=drivesdk" TargetMode="External"/><Relationship Id="rId115" Type="http://schemas.openxmlformats.org/officeDocument/2006/relationships/hyperlink" Target="https://drive.google.com/file/d/1ntJmQnUAHETWWM72v4-tP22po6i-Cbj9/view?usp=drivesdk" TargetMode="External"/><Relationship Id="rId119" Type="http://schemas.openxmlformats.org/officeDocument/2006/relationships/hyperlink" Target="https://drive.google.com/file/d/12vb3IcU1RNM2yqPgCNACB7W9kTqAj6Jy/view?usp=drivesdk" TargetMode="External"/><Relationship Id="rId110" Type="http://schemas.openxmlformats.org/officeDocument/2006/relationships/hyperlink" Target="https://drive.google.com/file/d/1soA4U5qFwf9rsEXVQAluVVfHRZczENT0/view?usp=drivesdk" TargetMode="External"/><Relationship Id="rId230" Type="http://schemas.openxmlformats.org/officeDocument/2006/relationships/vmlDrawing" Target="../drawings/vmlDrawing1.vml"/><Relationship Id="rId114" Type="http://schemas.openxmlformats.org/officeDocument/2006/relationships/hyperlink" Target="https://drive.google.com/file/d/1vCCbZRWD1iy_XHne6Fskb7ZVZabbAqwe/view?usp=drivesdk" TargetMode="External"/><Relationship Id="rId113" Type="http://schemas.openxmlformats.org/officeDocument/2006/relationships/hyperlink" Target="https://drive.google.com/file/d/1aqrta0jMsPiYBs03sgdy_ayrPOOHWhkv/view?usp=drivesdk" TargetMode="External"/><Relationship Id="rId112" Type="http://schemas.openxmlformats.org/officeDocument/2006/relationships/hyperlink" Target="https://drive.google.com/file/d/160Cjn9lZK9ljV25RAo3XnuMDNhdKEWef/view?usp=drivesdk" TargetMode="External"/><Relationship Id="rId111" Type="http://schemas.openxmlformats.org/officeDocument/2006/relationships/hyperlink" Target="https://drive.google.com/file/d/112lgNy-aRhsWa0zoyWCK-aVevK-s7_TY/view?usp=drivesdk" TargetMode="External"/><Relationship Id="rId206" Type="http://schemas.openxmlformats.org/officeDocument/2006/relationships/hyperlink" Target="https://drive.google.com/file/d/1LZwN41kljau1vySuIH1oqccX4QlbO4Ry/view?usp=drivesdk" TargetMode="External"/><Relationship Id="rId205" Type="http://schemas.openxmlformats.org/officeDocument/2006/relationships/hyperlink" Target="https://drive.google.com/file/d/1qSU1ymzZ9GL85EkTz1dF5Tf6jg2Eh0iq/view?usp=drivesdk" TargetMode="External"/><Relationship Id="rId204" Type="http://schemas.openxmlformats.org/officeDocument/2006/relationships/hyperlink" Target="https://drive.google.com/file/d/1qSU1ymzZ9GL85EkTz1dF5Tf6jg2Eh0iq/view?usp=drivesdk" TargetMode="External"/><Relationship Id="rId203" Type="http://schemas.openxmlformats.org/officeDocument/2006/relationships/hyperlink" Target="https://drive.google.com/file/d/1l4hB91XPq6KjFfAUt8xdq2_YKAl5ehFW/view?usp=drivesdk" TargetMode="External"/><Relationship Id="rId209" Type="http://schemas.openxmlformats.org/officeDocument/2006/relationships/hyperlink" Target="https://drive.google.com/file/d/1iOZW80Bp4Vr83QSTs0TW_KWlwEKPpF0N/view?usp=drivesdk" TargetMode="External"/><Relationship Id="rId208" Type="http://schemas.openxmlformats.org/officeDocument/2006/relationships/hyperlink" Target="https://drive.google.com/file/d/1DKnN0_fZFOEXkHxsW-OpEuAUUxk2lxEE/view?usp=drivesdk" TargetMode="External"/><Relationship Id="rId207" Type="http://schemas.openxmlformats.org/officeDocument/2006/relationships/hyperlink" Target="https://drive.google.com/file/d/1LZwN41kljau1vySuIH1oqccX4QlbO4Ry/view?usp=drivesdk" TargetMode="External"/><Relationship Id="rId202" Type="http://schemas.openxmlformats.org/officeDocument/2006/relationships/hyperlink" Target="https://drive.google.com/file/d/1AKQRg7M9EB3Q9e2Ij2oaK8Z2-wMOpDx2/view?usp=drivesdk" TargetMode="External"/><Relationship Id="rId201" Type="http://schemas.openxmlformats.org/officeDocument/2006/relationships/hyperlink" Target="https://drive.google.com/file/d/13McMKbD_W1OM7AdZIPJSeSnFiaIHzujA/view?usp=drivesdk" TargetMode="External"/><Relationship Id="rId200" Type="http://schemas.openxmlformats.org/officeDocument/2006/relationships/hyperlink" Target="https://drive.google.com/file/d/1w_BCfiz_Eu6-4Ya037XHZooIRwXXHncW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<Relationship Id="rId3" Type="http://schemas.openxmlformats.org/officeDocument/2006/relationships/pivotTable" Target="../pivotTables/pivotTable6.xml"/><Relationship Id="rId4" Type="http://schemas.openxmlformats.org/officeDocument/2006/relationships/pivotTable" Target="../pivotTables/pivotTable7.xm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bYjh7C1tRC8nqxEZ8M9nxV8gIObbASlN/view?usp=drivesdk" TargetMode="External"/><Relationship Id="rId10" Type="http://schemas.openxmlformats.org/officeDocument/2006/relationships/hyperlink" Target="https://drive.google.com/file/d/1wiJ7UbibpVcnBp3gaik-iX72p3SuTufH/view?usp=drivesdk" TargetMode="External"/><Relationship Id="rId13" Type="http://schemas.openxmlformats.org/officeDocument/2006/relationships/hyperlink" Target="https://drive.google.com/file/d/1bYjh7C1tRC8nqxEZ8M9nxV8gIObbASlN/view?usp=drivesdk" TargetMode="External"/><Relationship Id="rId12" Type="http://schemas.openxmlformats.org/officeDocument/2006/relationships/hyperlink" Target="https://drive.google.com/file/d/1bYjh7C1tRC8nqxEZ8M9nxV8gIObbASlN/view?usp=drivesdk" TargetMode="External"/><Relationship Id="rId15" Type="http://schemas.openxmlformats.org/officeDocument/2006/relationships/hyperlink" Target="https://drive.google.com/file/d/1xfz3q4lD7C_FbgkQPhMNWJ7eXgn0Fioc/view?usp=drivesdk" TargetMode="External"/><Relationship Id="rId14" Type="http://schemas.openxmlformats.org/officeDocument/2006/relationships/hyperlink" Target="https://drive.google.com/file/d/1xfz3q4lD7C_FbgkQPhMNWJ7eXgn0Fioc/view?usp=drivesdk" TargetMode="External"/><Relationship Id="rId17" Type="http://schemas.openxmlformats.org/officeDocument/2006/relationships/hyperlink" Target="https://drive.google.com/file/d/1vIeIzBmkcDS7KkQgbSdT5taZC1lFivrh/view?usp=drivesdk" TargetMode="External"/><Relationship Id="rId16" Type="http://schemas.openxmlformats.org/officeDocument/2006/relationships/hyperlink" Target="https://drive.google.com/file/d/1vIeIzBmkcDS7KkQgbSdT5taZC1lFivrh/view?usp=drivesdk" TargetMode="External"/><Relationship Id="rId19" Type="http://schemas.openxmlformats.org/officeDocument/2006/relationships/drawing" Target="../drawings/drawing12.xml"/><Relationship Id="rId18" Type="http://schemas.openxmlformats.org/officeDocument/2006/relationships/hyperlink" Target="https://drive.google.com/file/d/1RBMfhNHwe35lHXtUpI1pDKYc4ZKoa8wQ/view?usp=drivesdk" TargetMode="External"/><Relationship Id="rId1" Type="http://schemas.openxmlformats.org/officeDocument/2006/relationships/hyperlink" Target="https://drive.google.com/file/d/1mkBvAQ_o9bmC8OjE9brLOI1HABpiLPRg/view?usp=drivesdk" TargetMode="External"/><Relationship Id="rId2" Type="http://schemas.openxmlformats.org/officeDocument/2006/relationships/hyperlink" Target="https://drive.google.com/file/d/18dZdLGRdHBaO0CUJoQKWNwbjJZmCmKP_/view?usp=drivesdk" TargetMode="External"/><Relationship Id="rId3" Type="http://schemas.openxmlformats.org/officeDocument/2006/relationships/hyperlink" Target="https://drive.google.com/file/d/1Ab0YvVeDXzOQD96sx4CsypHQw2BKfFew/view?usp=drivesdk" TargetMode="External"/><Relationship Id="rId4" Type="http://schemas.openxmlformats.org/officeDocument/2006/relationships/hyperlink" Target="https://drive.google.com/file/d/1Ab0YvVeDXzOQD96sx4CsypHQw2BKfFew/view?usp=drivesdk" TargetMode="External"/><Relationship Id="rId9" Type="http://schemas.openxmlformats.org/officeDocument/2006/relationships/hyperlink" Target="https://drive.google.com/file/d/1wiJ7UbibpVcnBp3gaik-iX72p3SuTufH/view?usp=drivesdk" TargetMode="External"/><Relationship Id="rId5" Type="http://schemas.openxmlformats.org/officeDocument/2006/relationships/hyperlink" Target="https://drive.google.com/file/d/1xjzFeAPUUzdY_mjCQq7TEIU9BYk6dWj8/view?usp=drivesdk" TargetMode="External"/><Relationship Id="rId6" Type="http://schemas.openxmlformats.org/officeDocument/2006/relationships/hyperlink" Target="https://drive.google.com/file/d/1-B5mzUQ2bdBrlxSA7lUX8Ty13MVwxN6S/view?usp=drivesdk" TargetMode="External"/><Relationship Id="rId7" Type="http://schemas.openxmlformats.org/officeDocument/2006/relationships/hyperlink" Target="https://drive.google.com/file/d/1wiJ7UbibpVcnBp3gaik-iX72p3SuTufH/view?usp=drivesdk" TargetMode="External"/><Relationship Id="rId8" Type="http://schemas.openxmlformats.org/officeDocument/2006/relationships/hyperlink" Target="https://drive.google.com/file/d/1wiJ7UbibpVcnBp3gaik-iX72p3SuTufH/view?usp=drivesdk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qerNjb33IlnGS9RUKG3rbnNEb_rQxyT/view?usp=drivesdk" TargetMode="External"/><Relationship Id="rId2" Type="http://schemas.openxmlformats.org/officeDocument/2006/relationships/hyperlink" Target="https://drive.google.com/file/d/1gqerNjb33IlnGS9RUKG3rbnNEb_rQxyT/view?usp=drivesdk" TargetMode="External"/><Relationship Id="rId3" Type="http://schemas.openxmlformats.org/officeDocument/2006/relationships/hyperlink" Target="https://drive.google.com/file/d/1gqerNjb33IlnGS9RUKG3rbnNEb_rQxyT/view?usp=drivesdk" TargetMode="External"/><Relationship Id="rId4" Type="http://schemas.openxmlformats.org/officeDocument/2006/relationships/hyperlink" Target="https://drive.google.com/file/d/1gqerNjb33IlnGS9RUKG3rbnNEb_rQxyT/view?usp=drivesdk" TargetMode="External"/><Relationship Id="rId5" Type="http://schemas.openxmlformats.org/officeDocument/2006/relationships/hyperlink" Target="https://drive.google.com/file/d/1gqerNjb33IlnGS9RUKG3rbnNEb_rQxyT/view?usp=drivesdk" TargetMode="External"/><Relationship Id="rId6" Type="http://schemas.openxmlformats.org/officeDocument/2006/relationships/hyperlink" Target="https://drive.google.com/file/d/1L3s7AhsuRV75CtQ7A7gIzEryNeO1U2Px/view?usp=drivesdk" TargetMode="External"/><Relationship Id="rId7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0HOVVzsHBl9a5f0sMLZrrVtKPHhLV_hz/view?usp=drivesdk" TargetMode="External"/><Relationship Id="rId22" Type="http://schemas.openxmlformats.org/officeDocument/2006/relationships/drawing" Target="../drawings/drawing14.xml"/><Relationship Id="rId21" Type="http://schemas.openxmlformats.org/officeDocument/2006/relationships/hyperlink" Target="https://drive.google.com/file/d/1ZYysj228v6_ora3XiqlHp9QeMPQK5s-6/view?usp=drivesdk" TargetMode="External"/><Relationship Id="rId11" Type="http://schemas.openxmlformats.org/officeDocument/2006/relationships/hyperlink" Target="https://drive.google.com/file/d/1NxVOGYg83D1jEFEAUgDSPC5BM_ieYkFu/view?usp=drivesdk" TargetMode="External"/><Relationship Id="rId10" Type="http://schemas.openxmlformats.org/officeDocument/2006/relationships/hyperlink" Target="https://drive.google.com/file/d/1NxVOGYg83D1jEFEAUgDSPC5BM_ieYkFu/view?usp=drivesdk" TargetMode="External"/><Relationship Id="rId13" Type="http://schemas.openxmlformats.org/officeDocument/2006/relationships/hyperlink" Target="https://drive.google.com/file/d/1NxVOGYg83D1jEFEAUgDSPC5BM_ieYkFu/view?usp=drivesdk" TargetMode="External"/><Relationship Id="rId12" Type="http://schemas.openxmlformats.org/officeDocument/2006/relationships/hyperlink" Target="https://drive.google.com/file/d/1NxVOGYg83D1jEFEAUgDSPC5BM_ieYkFu/view?usp=drivesdk" TargetMode="External"/><Relationship Id="rId15" Type="http://schemas.openxmlformats.org/officeDocument/2006/relationships/hyperlink" Target="https://drive.google.com/file/d/10HOVVzsHBl9a5f0sMLZrrVtKPHhLV_hz/view?usp=drivesdk" TargetMode="External"/><Relationship Id="rId14" Type="http://schemas.openxmlformats.org/officeDocument/2006/relationships/hyperlink" Target="https://drive.google.com/file/d/1NxVOGYg83D1jEFEAUgDSPC5BM_ieYkFu/view?usp=drivesdk" TargetMode="External"/><Relationship Id="rId17" Type="http://schemas.openxmlformats.org/officeDocument/2006/relationships/hyperlink" Target="https://drive.google.com/file/d/10HOVVzsHBl9a5f0sMLZrrVtKPHhLV_hz/view?usp=drivesdk" TargetMode="External"/><Relationship Id="rId16" Type="http://schemas.openxmlformats.org/officeDocument/2006/relationships/hyperlink" Target="https://drive.google.com/file/d/10HOVVzsHBl9a5f0sMLZrrVtKPHhLV_hz/view?usp=drivesdk" TargetMode="External"/><Relationship Id="rId19" Type="http://schemas.openxmlformats.org/officeDocument/2006/relationships/hyperlink" Target="https://drive.google.com/file/d/10HOVVzsHBl9a5f0sMLZrrVtKPHhLV_hz/view?usp=drivesdk" TargetMode="External"/><Relationship Id="rId18" Type="http://schemas.openxmlformats.org/officeDocument/2006/relationships/hyperlink" Target="https://drive.google.com/file/d/10HOVVzsHBl9a5f0sMLZrrVtKPHhLV_hz/view?usp=drivesdk" TargetMode="External"/><Relationship Id="rId1" Type="http://schemas.openxmlformats.org/officeDocument/2006/relationships/hyperlink" Target="https://drive.google.com/file/d/1NxVOGYg83D1jEFEAUgDSPC5BM_ieYkFu/view?usp=drivesdk" TargetMode="External"/><Relationship Id="rId2" Type="http://schemas.openxmlformats.org/officeDocument/2006/relationships/hyperlink" Target="https://drive.google.com/file/d/1NxVOGYg83D1jEFEAUgDSPC5BM_ieYkFu/view?usp=drivesdk" TargetMode="External"/><Relationship Id="rId3" Type="http://schemas.openxmlformats.org/officeDocument/2006/relationships/hyperlink" Target="https://drive.google.com/file/d/1NxVOGYg83D1jEFEAUgDSPC5BM_ieYkFu/view?usp=drivesdk" TargetMode="External"/><Relationship Id="rId4" Type="http://schemas.openxmlformats.org/officeDocument/2006/relationships/hyperlink" Target="https://drive.google.com/file/d/1NxVOGYg83D1jEFEAUgDSPC5BM_ieYkFu/view?usp=drivesdk" TargetMode="External"/><Relationship Id="rId9" Type="http://schemas.openxmlformats.org/officeDocument/2006/relationships/hyperlink" Target="https://drive.google.com/file/d/1NxVOGYg83D1jEFEAUgDSPC5BM_ieYkFu/view?usp=drivesdk" TargetMode="External"/><Relationship Id="rId5" Type="http://schemas.openxmlformats.org/officeDocument/2006/relationships/hyperlink" Target="https://drive.google.com/file/d/1NxVOGYg83D1jEFEAUgDSPC5BM_ieYkFu/view?usp=drivesdk" TargetMode="External"/><Relationship Id="rId6" Type="http://schemas.openxmlformats.org/officeDocument/2006/relationships/hyperlink" Target="https://drive.google.com/file/d/1NxVOGYg83D1jEFEAUgDSPC5BM_ieYkFu/view?usp=drivesdk" TargetMode="External"/><Relationship Id="rId7" Type="http://schemas.openxmlformats.org/officeDocument/2006/relationships/hyperlink" Target="https://drive.google.com/file/d/1NxVOGYg83D1jEFEAUgDSPC5BM_ieYkFu/view?usp=drivesdk" TargetMode="External"/><Relationship Id="rId8" Type="http://schemas.openxmlformats.org/officeDocument/2006/relationships/hyperlink" Target="https://drive.google.com/file/d/1NxVOGYg83D1jEFEAUgDSPC5BM_ieYkFu/view?usp=drivesdk" TargetMode="Externa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a2OpzR71Is9KNMZpIi61zDvACu7fD53/view?usp=drivesdk" TargetMode="External"/><Relationship Id="rId10" Type="http://schemas.openxmlformats.org/officeDocument/2006/relationships/hyperlink" Target="https://drive.google.com/file/d/1Ua2OpzR71Is9KNMZpIi61zDvACu7fD53/view?usp=drivesdk" TargetMode="External"/><Relationship Id="rId13" Type="http://schemas.openxmlformats.org/officeDocument/2006/relationships/drawing" Target="../drawings/drawing15.xml"/><Relationship Id="rId12" Type="http://schemas.openxmlformats.org/officeDocument/2006/relationships/hyperlink" Target="https://drive.google.com/file/d/136EUCz5kIa0UsKwbQJjrSrGZTtxYp9zX/view?usp=drivesdk" TargetMode="External"/><Relationship Id="rId1" Type="http://schemas.openxmlformats.org/officeDocument/2006/relationships/hyperlink" Target="https://drive.google.com/file/d/19Bw1ttWp273eOV1yO7Zc5BKzMJCFq_Oj/view?usp=drivesdk" TargetMode="External"/><Relationship Id="rId2" Type="http://schemas.openxmlformats.org/officeDocument/2006/relationships/hyperlink" Target="https://drive.google.com/file/d/19Bw1ttWp273eOV1yO7Zc5BKzMJCFq_Oj/view?usp=drivesdk" TargetMode="External"/><Relationship Id="rId3" Type="http://schemas.openxmlformats.org/officeDocument/2006/relationships/hyperlink" Target="https://drive.google.com/file/d/19Bw1ttWp273eOV1yO7Zc5BKzMJCFq_Oj/view?usp=drivesdk" TargetMode="External"/><Relationship Id="rId4" Type="http://schemas.openxmlformats.org/officeDocument/2006/relationships/hyperlink" Target="https://drive.google.com/file/d/19Bw1ttWp273eOV1yO7Zc5BKzMJCFq_Oj/view?usp=drivesdk" TargetMode="External"/><Relationship Id="rId9" Type="http://schemas.openxmlformats.org/officeDocument/2006/relationships/hyperlink" Target="https://drive.google.com/file/d/1Imgw_KdHyuQc8aB-vRdaP8L7dDYcJNXw/view?usp=drivesdk" TargetMode="External"/><Relationship Id="rId5" Type="http://schemas.openxmlformats.org/officeDocument/2006/relationships/hyperlink" Target="https://drive.google.com/file/d/19Bw1ttWp273eOV1yO7Zc5BKzMJCFq_Oj/view?usp=drivesdk" TargetMode="External"/><Relationship Id="rId6" Type="http://schemas.openxmlformats.org/officeDocument/2006/relationships/hyperlink" Target="https://drive.google.com/file/d/1D50iRG9y4431VEpalVjythwcGqvkeop6/view?usp=drivesdk" TargetMode="External"/><Relationship Id="rId7" Type="http://schemas.openxmlformats.org/officeDocument/2006/relationships/hyperlink" Target="https://drive.google.com/file/d/1Imgw_KdHyuQc8aB-vRdaP8L7dDYcJNXw/view?usp=drivesdk" TargetMode="External"/><Relationship Id="rId8" Type="http://schemas.openxmlformats.org/officeDocument/2006/relationships/hyperlink" Target="https://drive.google.com/file/d/1Imgw_KdHyuQc8aB-vRdaP8L7dDYcJNXw/view?usp=drivesdk" TargetMode="Externa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_2oc1BE3n65bS1X2h_XJWvpcej26FHUz/view?usp=drivesdk" TargetMode="External"/><Relationship Id="rId22" Type="http://schemas.openxmlformats.org/officeDocument/2006/relationships/hyperlink" Target="https://drive.google.com/file/d/1_2oc1BE3n65bS1X2h_XJWvpcej26FHUz/view?usp=drivesdk" TargetMode="External"/><Relationship Id="rId21" Type="http://schemas.openxmlformats.org/officeDocument/2006/relationships/hyperlink" Target="https://drive.google.com/file/d/1_2oc1BE3n65bS1X2h_XJWvpcej26FHUz/view?usp=drivesdk" TargetMode="External"/><Relationship Id="rId24" Type="http://schemas.openxmlformats.org/officeDocument/2006/relationships/hyperlink" Target="https://drive.google.com/file/d/1_2oc1BE3n65bS1X2h_XJWvpcej26FHUz/view?usp=drivesdk" TargetMode="External"/><Relationship Id="rId23" Type="http://schemas.openxmlformats.org/officeDocument/2006/relationships/hyperlink" Target="https://drive.google.com/file/d/1_2oc1BE3n65bS1X2h_XJWvpcej26FHUz/view?usp=drivesdk" TargetMode="External"/><Relationship Id="rId26" Type="http://schemas.openxmlformats.org/officeDocument/2006/relationships/hyperlink" Target="https://drive.google.com/file/d/1_2oc1BE3n65bS1X2h_XJWvpcej26FHUz/view?usp=drivesdk" TargetMode="External"/><Relationship Id="rId25" Type="http://schemas.openxmlformats.org/officeDocument/2006/relationships/hyperlink" Target="https://drive.google.com/file/d/1_2oc1BE3n65bS1X2h_XJWvpcej26FHUz/view?usp=drivesdk" TargetMode="External"/><Relationship Id="rId27" Type="http://schemas.openxmlformats.org/officeDocument/2006/relationships/drawing" Target="../drawings/drawing16.xml"/><Relationship Id="rId11" Type="http://schemas.openxmlformats.org/officeDocument/2006/relationships/hyperlink" Target="https://drive.google.com/file/d/1_2oc1BE3n65bS1X2h_XJWvpcej26FHUz/view?usp=drivesdk" TargetMode="External"/><Relationship Id="rId10" Type="http://schemas.openxmlformats.org/officeDocument/2006/relationships/hyperlink" Target="https://drive.google.com/file/d/1_2oc1BE3n65bS1X2h_XJWvpcej26FHUz/view?usp=drivesdk" TargetMode="External"/><Relationship Id="rId13" Type="http://schemas.openxmlformats.org/officeDocument/2006/relationships/hyperlink" Target="https://drive.google.com/file/d/1_2oc1BE3n65bS1X2h_XJWvpcej26FHUz/view?usp=drivesdk" TargetMode="External"/><Relationship Id="rId12" Type="http://schemas.openxmlformats.org/officeDocument/2006/relationships/hyperlink" Target="https://drive.google.com/file/d/1_2oc1BE3n65bS1X2h_XJWvpcej26FHUz/view?usp=drivesdk" TargetMode="External"/><Relationship Id="rId15" Type="http://schemas.openxmlformats.org/officeDocument/2006/relationships/hyperlink" Target="https://drive.google.com/file/d/1_2oc1BE3n65bS1X2h_XJWvpcej26FHUz/view?usp=drivesdk" TargetMode="External"/><Relationship Id="rId14" Type="http://schemas.openxmlformats.org/officeDocument/2006/relationships/hyperlink" Target="https://drive.google.com/file/d/1_2oc1BE3n65bS1X2h_XJWvpcej26FHUz/view?usp=drivesdk" TargetMode="External"/><Relationship Id="rId17" Type="http://schemas.openxmlformats.org/officeDocument/2006/relationships/hyperlink" Target="https://drive.google.com/file/d/1_2oc1BE3n65bS1X2h_XJWvpcej26FHUz/view?usp=drivesdk" TargetMode="External"/><Relationship Id="rId16" Type="http://schemas.openxmlformats.org/officeDocument/2006/relationships/hyperlink" Target="https://drive.google.com/file/d/1_2oc1BE3n65bS1X2h_XJWvpcej26FHUz/view?usp=drivesdk" TargetMode="External"/><Relationship Id="rId19" Type="http://schemas.openxmlformats.org/officeDocument/2006/relationships/hyperlink" Target="https://drive.google.com/file/d/1_2oc1BE3n65bS1X2h_XJWvpcej26FHUz/view?usp=drivesdk" TargetMode="External"/><Relationship Id="rId18" Type="http://schemas.openxmlformats.org/officeDocument/2006/relationships/hyperlink" Target="https://drive.google.com/file/d/1_2oc1BE3n65bS1X2h_XJWvpcej26FHUz/view?usp=drivesdk" TargetMode="External"/><Relationship Id="rId1" Type="http://schemas.openxmlformats.org/officeDocument/2006/relationships/hyperlink" Target="https://drive.google.com/file/d/1_2oc1BE3n65bS1X2h_XJWvpcej26FHUz/view?usp=drivesdk" TargetMode="External"/><Relationship Id="rId2" Type="http://schemas.openxmlformats.org/officeDocument/2006/relationships/hyperlink" Target="https://drive.google.com/file/d/1_2oc1BE3n65bS1X2h_XJWvpcej26FHUz/view?usp=drivesdk" TargetMode="External"/><Relationship Id="rId3" Type="http://schemas.openxmlformats.org/officeDocument/2006/relationships/hyperlink" Target="https://drive.google.com/file/d/1_2oc1BE3n65bS1X2h_XJWvpcej26FHUz/view?usp=drivesdk" TargetMode="External"/><Relationship Id="rId4" Type="http://schemas.openxmlformats.org/officeDocument/2006/relationships/hyperlink" Target="https://drive.google.com/file/d/1_2oc1BE3n65bS1X2h_XJWvpcej26FHUz/view?usp=drivesdk" TargetMode="External"/><Relationship Id="rId9" Type="http://schemas.openxmlformats.org/officeDocument/2006/relationships/hyperlink" Target="https://drive.google.com/file/d/1_2oc1BE3n65bS1X2h_XJWvpcej26FHUz/view?usp=drivesdk" TargetMode="External"/><Relationship Id="rId5" Type="http://schemas.openxmlformats.org/officeDocument/2006/relationships/hyperlink" Target="https://drive.google.com/file/d/1_2oc1BE3n65bS1X2h_XJWvpcej26FHUz/view?usp=drivesdk" TargetMode="External"/><Relationship Id="rId6" Type="http://schemas.openxmlformats.org/officeDocument/2006/relationships/hyperlink" Target="https://drive.google.com/file/d/1_2oc1BE3n65bS1X2h_XJWvpcej26FHUz/view?usp=drivesdk" TargetMode="External"/><Relationship Id="rId7" Type="http://schemas.openxmlformats.org/officeDocument/2006/relationships/hyperlink" Target="https://drive.google.com/file/d/1_2oc1BE3n65bS1X2h_XJWvpcej26FHUz/view?usp=drivesdk" TargetMode="External"/><Relationship Id="rId8" Type="http://schemas.openxmlformats.org/officeDocument/2006/relationships/hyperlink" Target="https://drive.google.com/file/d/1_2oc1BE3n65bS1X2h_XJWvpcej26FHUz/view?usp=drivesdk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Yt9FDGbvMst5QmOYDkJR-VPBzu6x_Z5d/view?usp=drivesdk" TargetMode="External"/><Relationship Id="rId42" Type="http://schemas.openxmlformats.org/officeDocument/2006/relationships/hyperlink" Target="https://drive.google.com/file/d/1Yt9FDGbvMst5QmOYDkJR-VPBzu6x_Z5d/view?usp=drivesdk" TargetMode="External"/><Relationship Id="rId41" Type="http://schemas.openxmlformats.org/officeDocument/2006/relationships/hyperlink" Target="https://drive.google.com/file/d/1Yt9FDGbvMst5QmOYDkJR-VPBzu6x_Z5d/view?usp=drivesdk" TargetMode="External"/><Relationship Id="rId44" Type="http://schemas.openxmlformats.org/officeDocument/2006/relationships/hyperlink" Target="https://drive.google.com/file/d/1Yt9FDGbvMst5QmOYDkJR-VPBzu6x_Z5d/view?usp=drivesdk" TargetMode="External"/><Relationship Id="rId43" Type="http://schemas.openxmlformats.org/officeDocument/2006/relationships/hyperlink" Target="https://drive.google.com/file/d/1Yt9FDGbvMst5QmOYDkJR-VPBzu6x_Z5d/view?usp=drivesdk" TargetMode="External"/><Relationship Id="rId46" Type="http://schemas.openxmlformats.org/officeDocument/2006/relationships/hyperlink" Target="https://drive.google.com/file/d/1Yt9FDGbvMst5QmOYDkJR-VPBzu6x_Z5d/view?usp=drivesdk" TargetMode="External"/><Relationship Id="rId45" Type="http://schemas.openxmlformats.org/officeDocument/2006/relationships/hyperlink" Target="https://drive.google.com/file/d/1Yt9FDGbvMst5QmOYDkJR-VPBzu6x_Z5d/view?usp=drivesdk" TargetMode="External"/><Relationship Id="rId48" Type="http://schemas.openxmlformats.org/officeDocument/2006/relationships/hyperlink" Target="https://drive.google.com/file/d/1CBYakfFW87w4ET7LecI_QR-1K7ow_l8w/view?usp=drivesdk" TargetMode="External"/><Relationship Id="rId47" Type="http://schemas.openxmlformats.org/officeDocument/2006/relationships/hyperlink" Target="https://drive.google.com/file/d/1Yt9FDGbvMst5QmOYDkJR-VPBzu6x_Z5d/view?usp=drivesdk" TargetMode="External"/><Relationship Id="rId49" Type="http://schemas.openxmlformats.org/officeDocument/2006/relationships/drawing" Target="../drawings/drawing17.xml"/><Relationship Id="rId31" Type="http://schemas.openxmlformats.org/officeDocument/2006/relationships/hyperlink" Target="https://drive.google.com/file/d/1pji7QKNecivNs8CJ0ij7bNaKQB5m-Zw6/view?usp=drivesdk" TargetMode="External"/><Relationship Id="rId30" Type="http://schemas.openxmlformats.org/officeDocument/2006/relationships/hyperlink" Target="https://drive.google.com/file/d/1pji7QKNecivNs8CJ0ij7bNaKQB5m-Zw6/view?usp=drivesdk" TargetMode="External"/><Relationship Id="rId33" Type="http://schemas.openxmlformats.org/officeDocument/2006/relationships/hyperlink" Target="https://drive.google.com/file/d/1pji7QKNecivNs8CJ0ij7bNaKQB5m-Zw6/view?usp=drivesdk" TargetMode="External"/><Relationship Id="rId32" Type="http://schemas.openxmlformats.org/officeDocument/2006/relationships/hyperlink" Target="https://drive.google.com/file/d/1pji7QKNecivNs8CJ0ij7bNaKQB5m-Zw6/view?usp=drivesdk" TargetMode="External"/><Relationship Id="rId35" Type="http://schemas.openxmlformats.org/officeDocument/2006/relationships/hyperlink" Target="https://drive.google.com/file/d/1pji7QKNecivNs8CJ0ij7bNaKQB5m-Zw6/view?usp=drivesdk" TargetMode="External"/><Relationship Id="rId34" Type="http://schemas.openxmlformats.org/officeDocument/2006/relationships/hyperlink" Target="https://drive.google.com/file/d/1pji7QKNecivNs8CJ0ij7bNaKQB5m-Zw6/view?usp=drivesdk" TargetMode="External"/><Relationship Id="rId37" Type="http://schemas.openxmlformats.org/officeDocument/2006/relationships/hyperlink" Target="https://drive.google.com/file/d/1pji7QKNecivNs8CJ0ij7bNaKQB5m-Zw6/view?usp=drivesdk" TargetMode="External"/><Relationship Id="rId36" Type="http://schemas.openxmlformats.org/officeDocument/2006/relationships/hyperlink" Target="https://drive.google.com/file/d/1pji7QKNecivNs8CJ0ij7bNaKQB5m-Zw6/view?usp=drivesdk" TargetMode="External"/><Relationship Id="rId39" Type="http://schemas.openxmlformats.org/officeDocument/2006/relationships/hyperlink" Target="https://drive.google.com/file/d/1Yt9FDGbvMst5QmOYDkJR-VPBzu6x_Z5d/view?usp=drivesdk" TargetMode="External"/><Relationship Id="rId38" Type="http://schemas.openxmlformats.org/officeDocument/2006/relationships/hyperlink" Target="https://drive.google.com/file/d/1pji7QKNecivNs8CJ0ij7bNaKQB5m-Zw6/view?usp=drivesdk" TargetMode="External"/><Relationship Id="rId20" Type="http://schemas.openxmlformats.org/officeDocument/2006/relationships/hyperlink" Target="https://drive.google.com/file/d/1bjVATi8DEtrNbk3gJjPSajkcpF-2RQSz/view?usp=drivesdk" TargetMode="External"/><Relationship Id="rId22" Type="http://schemas.openxmlformats.org/officeDocument/2006/relationships/hyperlink" Target="https://drive.google.com/file/d/1bjVATi8DEtrNbk3gJjPSajkcpF-2RQSz/view?usp=drivesdk" TargetMode="External"/><Relationship Id="rId21" Type="http://schemas.openxmlformats.org/officeDocument/2006/relationships/hyperlink" Target="https://drive.google.com/file/d/1bjVATi8DEtrNbk3gJjPSajkcpF-2RQSz/view?usp=drivesdk" TargetMode="External"/><Relationship Id="rId24" Type="http://schemas.openxmlformats.org/officeDocument/2006/relationships/hyperlink" Target="https://drive.google.com/file/d/1bjVATi8DEtrNbk3gJjPSajkcpF-2RQSz/view?usp=drivesdk" TargetMode="External"/><Relationship Id="rId23" Type="http://schemas.openxmlformats.org/officeDocument/2006/relationships/hyperlink" Target="https://drive.google.com/file/d/1bjVATi8DEtrNbk3gJjPSajkcpF-2RQSz/view?usp=drivesdk" TargetMode="External"/><Relationship Id="rId26" Type="http://schemas.openxmlformats.org/officeDocument/2006/relationships/hyperlink" Target="https://drive.google.com/file/d/1pji7QKNecivNs8CJ0ij7bNaKQB5m-Zw6/view?usp=drivesdk" TargetMode="External"/><Relationship Id="rId25" Type="http://schemas.openxmlformats.org/officeDocument/2006/relationships/hyperlink" Target="https://drive.google.com/file/d/1pji7QKNecivNs8CJ0ij7bNaKQB5m-Zw6/view?usp=drivesdk" TargetMode="External"/><Relationship Id="rId28" Type="http://schemas.openxmlformats.org/officeDocument/2006/relationships/hyperlink" Target="https://drive.google.com/file/d/1pji7QKNecivNs8CJ0ij7bNaKQB5m-Zw6/view?usp=drivesdk" TargetMode="External"/><Relationship Id="rId27" Type="http://schemas.openxmlformats.org/officeDocument/2006/relationships/hyperlink" Target="https://drive.google.com/file/d/1pji7QKNecivNs8CJ0ij7bNaKQB5m-Zw6/view?usp=drivesdk" TargetMode="External"/><Relationship Id="rId29" Type="http://schemas.openxmlformats.org/officeDocument/2006/relationships/hyperlink" Target="https://drive.google.com/file/d/1pji7QKNecivNs8CJ0ij7bNaKQB5m-Zw6/view?usp=drivesdk" TargetMode="External"/><Relationship Id="rId11" Type="http://schemas.openxmlformats.org/officeDocument/2006/relationships/hyperlink" Target="https://drive.google.com/file/d/1ha4QD8p1sD4yvOHXpIe1J-IHqOw4AjfP/view?usp=drivesdk" TargetMode="External"/><Relationship Id="rId10" Type="http://schemas.openxmlformats.org/officeDocument/2006/relationships/hyperlink" Target="https://drive.google.com/file/d/1ha4QD8p1sD4yvOHXpIe1J-IHqOw4AjfP/view?usp=drivesdk" TargetMode="External"/><Relationship Id="rId13" Type="http://schemas.openxmlformats.org/officeDocument/2006/relationships/hyperlink" Target="https://drive.google.com/file/d/1op2Tssp5vPnnH3ke43tjzhP9qh3vAcWn/view?usp=drivesdk" TargetMode="External"/><Relationship Id="rId12" Type="http://schemas.openxmlformats.org/officeDocument/2006/relationships/hyperlink" Target="https://drive.google.com/file/d/1Ua4_SDDL_k9iNk1rI_y6WscJ1vkjVeNX/view?usp=drivesdk" TargetMode="External"/><Relationship Id="rId15" Type="http://schemas.openxmlformats.org/officeDocument/2006/relationships/hyperlink" Target="https://drive.google.com/file/d/1op2Tssp5vPnnH3ke43tjzhP9qh3vAcWn/view?usp=drivesdk" TargetMode="External"/><Relationship Id="rId14" Type="http://schemas.openxmlformats.org/officeDocument/2006/relationships/hyperlink" Target="https://drive.google.com/file/d/1op2Tssp5vPnnH3ke43tjzhP9qh3vAcWn/view?usp=drivesdk" TargetMode="External"/><Relationship Id="rId17" Type="http://schemas.openxmlformats.org/officeDocument/2006/relationships/hyperlink" Target="https://drive.google.com/file/d/1bjVATi8DEtrNbk3gJjPSajkcpF-2RQSz/view?usp=drivesdk" TargetMode="External"/><Relationship Id="rId16" Type="http://schemas.openxmlformats.org/officeDocument/2006/relationships/hyperlink" Target="https://drive.google.com/file/d/1bjVATi8DEtrNbk3gJjPSajkcpF-2RQSz/view?usp=drivesdk" TargetMode="External"/><Relationship Id="rId19" Type="http://schemas.openxmlformats.org/officeDocument/2006/relationships/hyperlink" Target="https://drive.google.com/file/d/1bjVATi8DEtrNbk3gJjPSajkcpF-2RQSz/view?usp=drivesdk" TargetMode="External"/><Relationship Id="rId18" Type="http://schemas.openxmlformats.org/officeDocument/2006/relationships/hyperlink" Target="https://drive.google.com/file/d/1bjVATi8DEtrNbk3gJjPSajkcpF-2RQSz/view?usp=drivesdk" TargetMode="External"/><Relationship Id="rId1" Type="http://schemas.openxmlformats.org/officeDocument/2006/relationships/hyperlink" Target="https://drive.google.com/file/d/1ha4QD8p1sD4yvOHXpIe1J-IHqOw4AjfP/view?usp=drivesdk" TargetMode="External"/><Relationship Id="rId2" Type="http://schemas.openxmlformats.org/officeDocument/2006/relationships/hyperlink" Target="https://drive.google.com/file/d/1ha4QD8p1sD4yvOHXpIe1J-IHqOw4AjfP/view?usp=drivesdk" TargetMode="External"/><Relationship Id="rId3" Type="http://schemas.openxmlformats.org/officeDocument/2006/relationships/hyperlink" Target="https://drive.google.com/file/d/1ha4QD8p1sD4yvOHXpIe1J-IHqOw4AjfP/view?usp=drivesdk" TargetMode="External"/><Relationship Id="rId4" Type="http://schemas.openxmlformats.org/officeDocument/2006/relationships/hyperlink" Target="https://drive.google.com/file/d/1ha4QD8p1sD4yvOHXpIe1J-IHqOw4AjfP/view?usp=drivesdk" TargetMode="External"/><Relationship Id="rId9" Type="http://schemas.openxmlformats.org/officeDocument/2006/relationships/hyperlink" Target="https://drive.google.com/file/d/1ha4QD8p1sD4yvOHXpIe1J-IHqOw4AjfP/view?usp=drivesdk" TargetMode="External"/><Relationship Id="rId5" Type="http://schemas.openxmlformats.org/officeDocument/2006/relationships/hyperlink" Target="https://drive.google.com/file/d/1ha4QD8p1sD4yvOHXpIe1J-IHqOw4AjfP/view?usp=drivesdk" TargetMode="External"/><Relationship Id="rId6" Type="http://schemas.openxmlformats.org/officeDocument/2006/relationships/hyperlink" Target="https://drive.google.com/file/d/1ha4QD8p1sD4yvOHXpIe1J-IHqOw4AjfP/view?usp=drivesdk" TargetMode="External"/><Relationship Id="rId7" Type="http://schemas.openxmlformats.org/officeDocument/2006/relationships/hyperlink" Target="https://drive.google.com/file/d/1ha4QD8p1sD4yvOHXpIe1J-IHqOw4AjfP/view?usp=drivesdk" TargetMode="External"/><Relationship Id="rId8" Type="http://schemas.openxmlformats.org/officeDocument/2006/relationships/hyperlink" Target="https://drive.google.com/file/d/1ha4QD8p1sD4yvOHXpIe1J-IHqOw4AjfP/view?usp=drivesdk" TargetMode="External"/></Relationships>
</file>

<file path=xl/worksheets/_rels/sheet18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JWZhDB1rtpCQOpLxLdo71pL56S2ySFV_/view?usp=drivesdk" TargetMode="External"/><Relationship Id="rId10" Type="http://schemas.openxmlformats.org/officeDocument/2006/relationships/hyperlink" Target="https://drive.google.com/file/d/123_nXOg97m7aWnQB2zIpFVk9QPCoa3Df/view?usp=drivesdk" TargetMode="External"/><Relationship Id="rId13" Type="http://schemas.openxmlformats.org/officeDocument/2006/relationships/hyperlink" Target="https://drive.google.com/file/d/1EQZ9ijdouzLT7k0QS9P3WP9k7sp7_YXE/view?usp=drivesdk" TargetMode="External"/><Relationship Id="rId12" Type="http://schemas.openxmlformats.org/officeDocument/2006/relationships/hyperlink" Target="https://drive.google.com/file/d/1eSILwWsZnqlbjLms94u7VQWjyvWK22qq/view?usp=drivesdk" TargetMode="External"/><Relationship Id="rId15" Type="http://schemas.openxmlformats.org/officeDocument/2006/relationships/hyperlink" Target="https://drive.google.com/file/d/1PywfJpUjsW1Fu57Q_KPvQN7tcJRLqOhJ/view?usp=drivesdk" TargetMode="External"/><Relationship Id="rId14" Type="http://schemas.openxmlformats.org/officeDocument/2006/relationships/hyperlink" Target="https://drive.google.com/file/d/1EQZ9ijdouzLT7k0QS9P3WP9k7sp7_YXE/view?usp=drivesdk" TargetMode="External"/><Relationship Id="rId16" Type="http://schemas.openxmlformats.org/officeDocument/2006/relationships/drawing" Target="../drawings/drawing18.xml"/><Relationship Id="rId1" Type="http://schemas.openxmlformats.org/officeDocument/2006/relationships/hyperlink" Target="https://drive.google.com/file/d/1A2JEJE23q_jNwSr1pr6ENnQ1x9w-0Gcv/view?usp=drivesdk" TargetMode="External"/><Relationship Id="rId2" Type="http://schemas.openxmlformats.org/officeDocument/2006/relationships/hyperlink" Target="https://drive.google.com/file/d/1A2JEJE23q_jNwSr1pr6ENnQ1x9w-0Gcv/view?usp=drivesdk" TargetMode="External"/><Relationship Id="rId3" Type="http://schemas.openxmlformats.org/officeDocument/2006/relationships/hyperlink" Target="https://drive.google.com/file/d/1A2JEJE23q_jNwSr1pr6ENnQ1x9w-0Gcv/view?usp=drivesdk" TargetMode="External"/><Relationship Id="rId4" Type="http://schemas.openxmlformats.org/officeDocument/2006/relationships/hyperlink" Target="https://drive.google.com/file/d/1A2JEJE23q_jNwSr1pr6ENnQ1x9w-0Gcv/view?usp=drivesdk" TargetMode="External"/><Relationship Id="rId9" Type="http://schemas.openxmlformats.org/officeDocument/2006/relationships/hyperlink" Target="https://drive.google.com/file/d/1A2JEJE23q_jNwSr1pr6ENnQ1x9w-0Gcv/view?usp=drivesdk" TargetMode="External"/><Relationship Id="rId5" Type="http://schemas.openxmlformats.org/officeDocument/2006/relationships/hyperlink" Target="https://drive.google.com/file/d/1A2JEJE23q_jNwSr1pr6ENnQ1x9w-0Gcv/view?usp=drivesdk" TargetMode="External"/><Relationship Id="rId6" Type="http://schemas.openxmlformats.org/officeDocument/2006/relationships/hyperlink" Target="https://drive.google.com/file/d/1A2JEJE23q_jNwSr1pr6ENnQ1x9w-0Gcv/view?usp=drivesdk" TargetMode="External"/><Relationship Id="rId7" Type="http://schemas.openxmlformats.org/officeDocument/2006/relationships/hyperlink" Target="https://drive.google.com/file/d/1A2JEJE23q_jNwSr1pr6ENnQ1x9w-0Gcv/view?usp=drivesdk" TargetMode="External"/><Relationship Id="rId8" Type="http://schemas.openxmlformats.org/officeDocument/2006/relationships/hyperlink" Target="https://drive.google.com/file/d/1A2JEJE23q_jNwSr1pr6ENnQ1x9w-0Gcv/view?usp=drivesdk" TargetMode="External"/></Relationships>
</file>

<file path=xl/worksheets/_rels/sheet19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oVMhtmbuVHDZXP-MJnidlGBz573MGCNo/view?usp=drivesdk" TargetMode="External"/><Relationship Id="rId22" Type="http://schemas.openxmlformats.org/officeDocument/2006/relationships/hyperlink" Target="https://drive.google.com/file/d/1oVMhtmbuVHDZXP-MJnidlGBz573MGCNo/view?usp=drivesdk" TargetMode="External"/><Relationship Id="rId21" Type="http://schemas.openxmlformats.org/officeDocument/2006/relationships/hyperlink" Target="https://drive.google.com/file/d/1oVMhtmbuVHDZXP-MJnidlGBz573MGCNo/view?usp=drivesdk" TargetMode="External"/><Relationship Id="rId24" Type="http://schemas.openxmlformats.org/officeDocument/2006/relationships/hyperlink" Target="https://drive.google.com/file/d/1oVMhtmbuVHDZXP-MJnidlGBz573MGCNo/view?usp=drivesdk" TargetMode="External"/><Relationship Id="rId23" Type="http://schemas.openxmlformats.org/officeDocument/2006/relationships/hyperlink" Target="https://drive.google.com/file/d/1oVMhtmbuVHDZXP-MJnidlGBz573MGCNo/view?usp=drivesdk" TargetMode="External"/><Relationship Id="rId26" Type="http://schemas.openxmlformats.org/officeDocument/2006/relationships/drawing" Target="../drawings/drawing19.xml"/><Relationship Id="rId25" Type="http://schemas.openxmlformats.org/officeDocument/2006/relationships/hyperlink" Target="https://drive.google.com/file/d/1oVMhtmbuVHDZXP-MJnidlGBz573MGCNo/view?usp=drivesdk" TargetMode="External"/><Relationship Id="rId11" Type="http://schemas.openxmlformats.org/officeDocument/2006/relationships/hyperlink" Target="https://drive.google.com/file/d/1oVMhtmbuVHDZXP-MJnidlGBz573MGCNo/view?usp=drivesdk" TargetMode="External"/><Relationship Id="rId10" Type="http://schemas.openxmlformats.org/officeDocument/2006/relationships/hyperlink" Target="https://drive.google.com/file/d/1nOSQHqV8reMA-gZkIRGm1GiYz25y6wm-/view?usp=drivesdk" TargetMode="External"/><Relationship Id="rId13" Type="http://schemas.openxmlformats.org/officeDocument/2006/relationships/hyperlink" Target="https://drive.google.com/file/d/1oVMhtmbuVHDZXP-MJnidlGBz573MGCNo/view?usp=drivesdk" TargetMode="External"/><Relationship Id="rId12" Type="http://schemas.openxmlformats.org/officeDocument/2006/relationships/hyperlink" Target="https://drive.google.com/file/d/1oVMhtmbuVHDZXP-MJnidlGBz573MGCNo/view?usp=drivesdk" TargetMode="External"/><Relationship Id="rId15" Type="http://schemas.openxmlformats.org/officeDocument/2006/relationships/hyperlink" Target="https://drive.google.com/file/d/1oVMhtmbuVHDZXP-MJnidlGBz573MGCNo/view?usp=drivesdk" TargetMode="External"/><Relationship Id="rId14" Type="http://schemas.openxmlformats.org/officeDocument/2006/relationships/hyperlink" Target="https://drive.google.com/file/d/1oVMhtmbuVHDZXP-MJnidlGBz573MGCNo/view?usp=drivesdk" TargetMode="External"/><Relationship Id="rId17" Type="http://schemas.openxmlformats.org/officeDocument/2006/relationships/hyperlink" Target="https://drive.google.com/file/d/1oVMhtmbuVHDZXP-MJnidlGBz573MGCNo/view?usp=drivesdk" TargetMode="External"/><Relationship Id="rId16" Type="http://schemas.openxmlformats.org/officeDocument/2006/relationships/hyperlink" Target="https://drive.google.com/file/d/1oVMhtmbuVHDZXP-MJnidlGBz573MGCNo/view?usp=drivesdk" TargetMode="External"/><Relationship Id="rId19" Type="http://schemas.openxmlformats.org/officeDocument/2006/relationships/hyperlink" Target="https://drive.google.com/file/d/1oVMhtmbuVHDZXP-MJnidlGBz573MGCNo/view?usp=drivesdk" TargetMode="External"/><Relationship Id="rId18" Type="http://schemas.openxmlformats.org/officeDocument/2006/relationships/hyperlink" Target="https://drive.google.com/file/d/1oVMhtmbuVHDZXP-MJnidlGBz573MGCNo/view?usp=drivesdk" TargetMode="External"/><Relationship Id="rId1" Type="http://schemas.openxmlformats.org/officeDocument/2006/relationships/hyperlink" Target="https://drive.google.com/file/d/1nOSQHqV8reMA-gZkIRGm1GiYz25y6wm-/view?usp=drivesdk" TargetMode="External"/><Relationship Id="rId2" Type="http://schemas.openxmlformats.org/officeDocument/2006/relationships/hyperlink" Target="https://drive.google.com/file/d/1nOSQHqV8reMA-gZkIRGm1GiYz25y6wm-/view?usp=drivesdk" TargetMode="External"/><Relationship Id="rId3" Type="http://schemas.openxmlformats.org/officeDocument/2006/relationships/hyperlink" Target="https://drive.google.com/file/d/1nOSQHqV8reMA-gZkIRGm1GiYz25y6wm-/view?usp=drivesdk" TargetMode="External"/><Relationship Id="rId4" Type="http://schemas.openxmlformats.org/officeDocument/2006/relationships/hyperlink" Target="https://drive.google.com/file/d/1nOSQHqV8reMA-gZkIRGm1GiYz25y6wm-/view?usp=drivesdk" TargetMode="External"/><Relationship Id="rId9" Type="http://schemas.openxmlformats.org/officeDocument/2006/relationships/hyperlink" Target="https://drive.google.com/file/d/1nOSQHqV8reMA-gZkIRGm1GiYz25y6wm-/view?usp=drivesdk" TargetMode="External"/><Relationship Id="rId5" Type="http://schemas.openxmlformats.org/officeDocument/2006/relationships/hyperlink" Target="https://drive.google.com/file/d/1nOSQHqV8reMA-gZkIRGm1GiYz25y6wm-/view?usp=drivesdk" TargetMode="External"/><Relationship Id="rId6" Type="http://schemas.openxmlformats.org/officeDocument/2006/relationships/hyperlink" Target="https://drive.google.com/file/d/1nOSQHqV8reMA-gZkIRGm1GiYz25y6wm-/view?usp=drivesdk" TargetMode="External"/><Relationship Id="rId7" Type="http://schemas.openxmlformats.org/officeDocument/2006/relationships/hyperlink" Target="https://drive.google.com/file/d/1nOSQHqV8reMA-gZkIRGm1GiYz25y6wm-/view?usp=drivesdk" TargetMode="External"/><Relationship Id="rId8" Type="http://schemas.openxmlformats.org/officeDocument/2006/relationships/hyperlink" Target="https://drive.google.com/file/d/1nOSQHqV8reMA-gZkIRGm1GiYz25y6wm-/view?usp=drivesdk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ruFR1s4bUATR3TGpL5WzShpJXSG3USk/view?usp=drivesdk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4PoFVRfr9u2ZGd11_bOqEHv7y_XpngQ-/view?usp=drivesdk" TargetMode="External"/><Relationship Id="rId21" Type="http://schemas.openxmlformats.org/officeDocument/2006/relationships/drawing" Target="../drawings/drawing21.xml"/><Relationship Id="rId11" Type="http://schemas.openxmlformats.org/officeDocument/2006/relationships/hyperlink" Target="https://drive.google.com/file/d/1HSE51E39yDmiVlKwNBEDYgdulZ2nb-d4/view?usp=drivesdk" TargetMode="External"/><Relationship Id="rId10" Type="http://schemas.openxmlformats.org/officeDocument/2006/relationships/hyperlink" Target="https://drive.google.com/file/d/1HSE51E39yDmiVlKwNBEDYgdulZ2nb-d4/view?usp=drivesdk" TargetMode="External"/><Relationship Id="rId13" Type="http://schemas.openxmlformats.org/officeDocument/2006/relationships/hyperlink" Target="https://drive.google.com/file/d/1HSE51E39yDmiVlKwNBEDYgdulZ2nb-d4/view?usp=drivesdk" TargetMode="External"/><Relationship Id="rId12" Type="http://schemas.openxmlformats.org/officeDocument/2006/relationships/hyperlink" Target="https://drive.google.com/file/d/1HSE51E39yDmiVlKwNBEDYgdulZ2nb-d4/view?usp=drivesdk" TargetMode="External"/><Relationship Id="rId15" Type="http://schemas.openxmlformats.org/officeDocument/2006/relationships/hyperlink" Target="https://drive.google.com/file/d/16W37bnCt1f0fYUyfRbiPXIsnJbuE8j9S/view?usp=drivesdk" TargetMode="External"/><Relationship Id="rId14" Type="http://schemas.openxmlformats.org/officeDocument/2006/relationships/hyperlink" Target="https://drive.google.com/file/d/1HSE51E39yDmiVlKwNBEDYgdulZ2nb-d4/view?usp=drivesdk" TargetMode="External"/><Relationship Id="rId17" Type="http://schemas.openxmlformats.org/officeDocument/2006/relationships/hyperlink" Target="https://drive.google.com/file/d/16W37bnCt1f0fYUyfRbiPXIsnJbuE8j9S/view?usp=drivesdk" TargetMode="External"/><Relationship Id="rId16" Type="http://schemas.openxmlformats.org/officeDocument/2006/relationships/hyperlink" Target="https://drive.google.com/file/d/16W37bnCt1f0fYUyfRbiPXIsnJbuE8j9S/view?usp=drivesdk" TargetMode="External"/><Relationship Id="rId19" Type="http://schemas.openxmlformats.org/officeDocument/2006/relationships/hyperlink" Target="https://drive.google.com/file/d/14PoFVRfr9u2ZGd11_bOqEHv7y_XpngQ-/view?usp=drivesdk" TargetMode="External"/><Relationship Id="rId18" Type="http://schemas.openxmlformats.org/officeDocument/2006/relationships/hyperlink" Target="https://drive.google.com/file/d/16W37bnCt1f0fYUyfRbiPXIsnJbuE8j9S/view?usp=drivesdk" TargetMode="External"/><Relationship Id="rId1" Type="http://schemas.openxmlformats.org/officeDocument/2006/relationships/hyperlink" Target="https://drive.google.com/file/d/1dlLPOnmb2qAVFWGXXv5xRV_Ts9WZiCrf/view?usp=drivesdk" TargetMode="External"/><Relationship Id="rId2" Type="http://schemas.openxmlformats.org/officeDocument/2006/relationships/hyperlink" Target="https://drive.google.com/file/d/1dlLPOnmb2qAVFWGXXv5xRV_Ts9WZiCrf/view?usp=drivesdk" TargetMode="External"/><Relationship Id="rId3" Type="http://schemas.openxmlformats.org/officeDocument/2006/relationships/hyperlink" Target="https://drive.google.com/file/d/1dlLPOnmb2qAVFWGXXv5xRV_Ts9WZiCrf/view?usp=drivesdk" TargetMode="External"/><Relationship Id="rId4" Type="http://schemas.openxmlformats.org/officeDocument/2006/relationships/hyperlink" Target="https://drive.google.com/file/d/1dlLPOnmb2qAVFWGXXv5xRV_Ts9WZiCrf/view?usp=drivesdk" TargetMode="External"/><Relationship Id="rId9" Type="http://schemas.openxmlformats.org/officeDocument/2006/relationships/hyperlink" Target="https://drive.google.com/file/d/1HSE51E39yDmiVlKwNBEDYgdulZ2nb-d4/view?usp=drivesdk" TargetMode="External"/><Relationship Id="rId5" Type="http://schemas.openxmlformats.org/officeDocument/2006/relationships/hyperlink" Target="https://drive.google.com/file/d/1dlLPOnmb2qAVFWGXXv5xRV_Ts9WZiCrf/view?usp=drivesdk" TargetMode="External"/><Relationship Id="rId6" Type="http://schemas.openxmlformats.org/officeDocument/2006/relationships/hyperlink" Target="https://drive.google.com/file/d/1dlLPOnmb2qAVFWGXXv5xRV_Ts9WZiCrf/view?usp=drivesdk" TargetMode="External"/><Relationship Id="rId7" Type="http://schemas.openxmlformats.org/officeDocument/2006/relationships/hyperlink" Target="https://drive.google.com/file/d/1dlLPOnmb2qAVFWGXXv5xRV_Ts9WZiCrf/view?usp=drivesdk" TargetMode="External"/><Relationship Id="rId8" Type="http://schemas.openxmlformats.org/officeDocument/2006/relationships/hyperlink" Target="https://drive.google.com/file/d/1dlLPOnmb2qAVFWGXXv5xRV_Ts9WZiCrf/view?usp=drivesdk" TargetMode="External"/></Relationships>
</file>

<file path=xl/worksheets/_rels/sheet2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26etACEYy42kpHOxG-ChQLnece3hRK6o/view?usp=drivesdk" TargetMode="External"/><Relationship Id="rId10" Type="http://schemas.openxmlformats.org/officeDocument/2006/relationships/hyperlink" Target="https://drive.google.com/file/d/126etACEYy42kpHOxG-ChQLnece3hRK6o/view?usp=drivesdk" TargetMode="External"/><Relationship Id="rId12" Type="http://schemas.openxmlformats.org/officeDocument/2006/relationships/drawing" Target="../drawings/drawing22.xml"/><Relationship Id="rId1" Type="http://schemas.openxmlformats.org/officeDocument/2006/relationships/hyperlink" Target="https://drive.google.com/file/d/126etACEYy42kpHOxG-ChQLnece3hRK6o/view?usp=drivesdk" TargetMode="External"/><Relationship Id="rId2" Type="http://schemas.openxmlformats.org/officeDocument/2006/relationships/hyperlink" Target="https://drive.google.com/file/d/126etACEYy42kpHOxG-ChQLnece3hRK6o/view?usp=drivesdk" TargetMode="External"/><Relationship Id="rId3" Type="http://schemas.openxmlformats.org/officeDocument/2006/relationships/hyperlink" Target="https://drive.google.com/file/d/126etACEYy42kpHOxG-ChQLnece3hRK6o/view?usp=drivesdk" TargetMode="External"/><Relationship Id="rId4" Type="http://schemas.openxmlformats.org/officeDocument/2006/relationships/hyperlink" Target="https://drive.google.com/file/d/126etACEYy42kpHOxG-ChQLnece3hRK6o/view?usp=drivesdk" TargetMode="External"/><Relationship Id="rId9" Type="http://schemas.openxmlformats.org/officeDocument/2006/relationships/hyperlink" Target="https://drive.google.com/file/d/126etACEYy42kpHOxG-ChQLnece3hRK6o/view?usp=drivesdk" TargetMode="External"/><Relationship Id="rId5" Type="http://schemas.openxmlformats.org/officeDocument/2006/relationships/hyperlink" Target="https://drive.google.com/file/d/126etACEYy42kpHOxG-ChQLnece3hRK6o/view?usp=drivesdk" TargetMode="External"/><Relationship Id="rId6" Type="http://schemas.openxmlformats.org/officeDocument/2006/relationships/hyperlink" Target="https://drive.google.com/file/d/126etACEYy42kpHOxG-ChQLnece3hRK6o/view?usp=drivesdk" TargetMode="External"/><Relationship Id="rId7" Type="http://schemas.openxmlformats.org/officeDocument/2006/relationships/hyperlink" Target="https://drive.google.com/file/d/126etACEYy42kpHOxG-ChQLnece3hRK6o/view?usp=drivesdk" TargetMode="External"/><Relationship Id="rId8" Type="http://schemas.openxmlformats.org/officeDocument/2006/relationships/hyperlink" Target="https://drive.google.com/file/d/126etACEYy42kpHOxG-ChQLnece3hRK6o/view?usp=drivesdk" TargetMode="External"/></Relationships>
</file>

<file path=xl/worksheets/_rels/sheet2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gFUHyXryT1n2Y_U2-7UJz6JbE4F9qCPP/view?usp=drivesdk" TargetMode="External"/><Relationship Id="rId22" Type="http://schemas.openxmlformats.org/officeDocument/2006/relationships/hyperlink" Target="https://drive.google.com/file/d/1gFUHyXryT1n2Y_U2-7UJz6JbE4F9qCPP/view?usp=drivesdk" TargetMode="External"/><Relationship Id="rId21" Type="http://schemas.openxmlformats.org/officeDocument/2006/relationships/hyperlink" Target="https://drive.google.com/file/d/1gFUHyXryT1n2Y_U2-7UJz6JbE4F9qCPP/view?usp=drivesdk" TargetMode="External"/><Relationship Id="rId24" Type="http://schemas.openxmlformats.org/officeDocument/2006/relationships/hyperlink" Target="https://drive.google.com/file/d/1gFUHyXryT1n2Y_U2-7UJz6JbE4F9qCPP/view?usp=drivesdk" TargetMode="External"/><Relationship Id="rId23" Type="http://schemas.openxmlformats.org/officeDocument/2006/relationships/hyperlink" Target="https://drive.google.com/file/d/1gFUHyXryT1n2Y_U2-7UJz6JbE4F9qCPP/view?usp=drivesdk" TargetMode="External"/><Relationship Id="rId25" Type="http://schemas.openxmlformats.org/officeDocument/2006/relationships/drawing" Target="../drawings/drawing23.xml"/><Relationship Id="rId11" Type="http://schemas.openxmlformats.org/officeDocument/2006/relationships/hyperlink" Target="https://drive.google.com/file/d/1gFUHyXryT1n2Y_U2-7UJz6JbE4F9qCPP/view?usp=drivesdk" TargetMode="External"/><Relationship Id="rId10" Type="http://schemas.openxmlformats.org/officeDocument/2006/relationships/hyperlink" Target="https://drive.google.com/file/d/1gFUHyXryT1n2Y_U2-7UJz6JbE4F9qCPP/view?usp=drivesdk" TargetMode="External"/><Relationship Id="rId13" Type="http://schemas.openxmlformats.org/officeDocument/2006/relationships/hyperlink" Target="https://drive.google.com/file/d/1gFUHyXryT1n2Y_U2-7UJz6JbE4F9qCPP/view?usp=drivesdk" TargetMode="External"/><Relationship Id="rId12" Type="http://schemas.openxmlformats.org/officeDocument/2006/relationships/hyperlink" Target="https://drive.google.com/file/d/1gFUHyXryT1n2Y_U2-7UJz6JbE4F9qCPP/view?usp=drivesdk" TargetMode="External"/><Relationship Id="rId15" Type="http://schemas.openxmlformats.org/officeDocument/2006/relationships/hyperlink" Target="https://drive.google.com/file/d/1gFUHyXryT1n2Y_U2-7UJz6JbE4F9qCPP/view?usp=drivesdk" TargetMode="External"/><Relationship Id="rId14" Type="http://schemas.openxmlformats.org/officeDocument/2006/relationships/hyperlink" Target="https://drive.google.com/file/d/1gFUHyXryT1n2Y_U2-7UJz6JbE4F9qCPP/view?usp=drivesdk" TargetMode="External"/><Relationship Id="rId17" Type="http://schemas.openxmlformats.org/officeDocument/2006/relationships/hyperlink" Target="https://drive.google.com/file/d/1gFUHyXryT1n2Y_U2-7UJz6JbE4F9qCPP/view?usp=drivesdk" TargetMode="External"/><Relationship Id="rId16" Type="http://schemas.openxmlformats.org/officeDocument/2006/relationships/hyperlink" Target="https://drive.google.com/file/d/1gFUHyXryT1n2Y_U2-7UJz6JbE4F9qCPP/view?usp=drivesdk" TargetMode="External"/><Relationship Id="rId19" Type="http://schemas.openxmlformats.org/officeDocument/2006/relationships/hyperlink" Target="https://drive.google.com/file/d/1gFUHyXryT1n2Y_U2-7UJz6JbE4F9qCPP/view?usp=drivesdk" TargetMode="External"/><Relationship Id="rId18" Type="http://schemas.openxmlformats.org/officeDocument/2006/relationships/hyperlink" Target="https://drive.google.com/file/d/1gFUHyXryT1n2Y_U2-7UJz6JbE4F9qCPP/view?usp=drivesdk" TargetMode="External"/><Relationship Id="rId1" Type="http://schemas.openxmlformats.org/officeDocument/2006/relationships/hyperlink" Target="https://drive.google.com/file/d/1gFUHyXryT1n2Y_U2-7UJz6JbE4F9qCPP/view?usp=drivesdk" TargetMode="External"/><Relationship Id="rId2" Type="http://schemas.openxmlformats.org/officeDocument/2006/relationships/hyperlink" Target="https://drive.google.com/file/d/1gFUHyXryT1n2Y_U2-7UJz6JbE4F9qCPP/view?usp=drivesdk" TargetMode="External"/><Relationship Id="rId3" Type="http://schemas.openxmlformats.org/officeDocument/2006/relationships/hyperlink" Target="https://drive.google.com/file/d/1gFUHyXryT1n2Y_U2-7UJz6JbE4F9qCPP/view?usp=drivesdk" TargetMode="External"/><Relationship Id="rId4" Type="http://schemas.openxmlformats.org/officeDocument/2006/relationships/hyperlink" Target="https://drive.google.com/file/d/1gFUHyXryT1n2Y_U2-7UJz6JbE4F9qCPP/view?usp=drivesdk" TargetMode="External"/><Relationship Id="rId9" Type="http://schemas.openxmlformats.org/officeDocument/2006/relationships/hyperlink" Target="https://drive.google.com/file/d/1gFUHyXryT1n2Y_U2-7UJz6JbE4F9qCPP/view?usp=drivesdk" TargetMode="External"/><Relationship Id="rId5" Type="http://schemas.openxmlformats.org/officeDocument/2006/relationships/hyperlink" Target="https://drive.google.com/file/d/1gFUHyXryT1n2Y_U2-7UJz6JbE4F9qCPP/view?usp=drivesdk" TargetMode="External"/><Relationship Id="rId6" Type="http://schemas.openxmlformats.org/officeDocument/2006/relationships/hyperlink" Target="https://drive.google.com/file/d/1gFUHyXryT1n2Y_U2-7UJz6JbE4F9qCPP/view?usp=drivesdk" TargetMode="External"/><Relationship Id="rId7" Type="http://schemas.openxmlformats.org/officeDocument/2006/relationships/hyperlink" Target="https://drive.google.com/file/d/1gFUHyXryT1n2Y_U2-7UJz6JbE4F9qCPP/view?usp=drivesdk" TargetMode="External"/><Relationship Id="rId8" Type="http://schemas.openxmlformats.org/officeDocument/2006/relationships/hyperlink" Target="https://drive.google.com/file/d/1gFUHyXryT1n2Y_U2-7UJz6JbE4F9qCPP/view?usp=drivesdk" TargetMode="External"/></Relationships>
</file>

<file path=xl/worksheets/_rels/sheet2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2MRe0W9WFQOdnJHIbFuh6GzqTPYl0X8G/view?usp=drivesdk" TargetMode="External"/><Relationship Id="rId22" Type="http://schemas.openxmlformats.org/officeDocument/2006/relationships/hyperlink" Target="https://drive.google.com/file/d/12MRe0W9WFQOdnJHIbFuh6GzqTPYl0X8G/view?usp=drivesdk" TargetMode="External"/><Relationship Id="rId21" Type="http://schemas.openxmlformats.org/officeDocument/2006/relationships/hyperlink" Target="https://drive.google.com/file/d/12MRe0W9WFQOdnJHIbFuh6GzqTPYl0X8G/view?usp=drivesdk" TargetMode="External"/><Relationship Id="rId24" Type="http://schemas.openxmlformats.org/officeDocument/2006/relationships/hyperlink" Target="https://drive.google.com/file/d/12MRe0W9WFQOdnJHIbFuh6GzqTPYl0X8G/view?usp=drivesdk" TargetMode="External"/><Relationship Id="rId23" Type="http://schemas.openxmlformats.org/officeDocument/2006/relationships/hyperlink" Target="https://drive.google.com/file/d/12MRe0W9WFQOdnJHIbFuh6GzqTPYl0X8G/view?usp=drivesdk" TargetMode="External"/><Relationship Id="rId26" Type="http://schemas.openxmlformats.org/officeDocument/2006/relationships/hyperlink" Target="https://drive.google.com/file/d/12MRe0W9WFQOdnJHIbFuh6GzqTPYl0X8G/view?usp=drivesdk" TargetMode="External"/><Relationship Id="rId25" Type="http://schemas.openxmlformats.org/officeDocument/2006/relationships/hyperlink" Target="https://drive.google.com/file/d/12MRe0W9WFQOdnJHIbFuh6GzqTPYl0X8G/view?usp=drivesdk" TargetMode="External"/><Relationship Id="rId27" Type="http://schemas.openxmlformats.org/officeDocument/2006/relationships/drawing" Target="../drawings/drawing24.xml"/><Relationship Id="rId11" Type="http://schemas.openxmlformats.org/officeDocument/2006/relationships/hyperlink" Target="https://drive.google.com/file/d/12MRe0W9WFQOdnJHIbFuh6GzqTPYl0X8G/view?usp=drivesdk" TargetMode="External"/><Relationship Id="rId10" Type="http://schemas.openxmlformats.org/officeDocument/2006/relationships/hyperlink" Target="https://drive.google.com/file/d/12MRe0W9WFQOdnJHIbFuh6GzqTPYl0X8G/view?usp=drivesdk" TargetMode="External"/><Relationship Id="rId13" Type="http://schemas.openxmlformats.org/officeDocument/2006/relationships/hyperlink" Target="https://drive.google.com/file/d/12MRe0W9WFQOdnJHIbFuh6GzqTPYl0X8G/view?usp=drivesdk" TargetMode="External"/><Relationship Id="rId12" Type="http://schemas.openxmlformats.org/officeDocument/2006/relationships/hyperlink" Target="https://drive.google.com/file/d/12MRe0W9WFQOdnJHIbFuh6GzqTPYl0X8G/view?usp=drivesdk" TargetMode="External"/><Relationship Id="rId15" Type="http://schemas.openxmlformats.org/officeDocument/2006/relationships/hyperlink" Target="https://drive.google.com/file/d/12MRe0W9WFQOdnJHIbFuh6GzqTPYl0X8G/view?usp=drivesdk" TargetMode="External"/><Relationship Id="rId14" Type="http://schemas.openxmlformats.org/officeDocument/2006/relationships/hyperlink" Target="https://drive.google.com/file/d/12MRe0W9WFQOdnJHIbFuh6GzqTPYl0X8G/view?usp=drivesdk" TargetMode="External"/><Relationship Id="rId17" Type="http://schemas.openxmlformats.org/officeDocument/2006/relationships/hyperlink" Target="https://drive.google.com/file/d/12MRe0W9WFQOdnJHIbFuh6GzqTPYl0X8G/view?usp=drivesdk" TargetMode="External"/><Relationship Id="rId16" Type="http://schemas.openxmlformats.org/officeDocument/2006/relationships/hyperlink" Target="https://drive.google.com/file/d/12MRe0W9WFQOdnJHIbFuh6GzqTPYl0X8G/view?usp=drivesdk" TargetMode="External"/><Relationship Id="rId19" Type="http://schemas.openxmlformats.org/officeDocument/2006/relationships/hyperlink" Target="https://drive.google.com/file/d/12MRe0W9WFQOdnJHIbFuh6GzqTPYl0X8G/view?usp=drivesdk" TargetMode="External"/><Relationship Id="rId18" Type="http://schemas.openxmlformats.org/officeDocument/2006/relationships/hyperlink" Target="https://drive.google.com/file/d/12MRe0W9WFQOdnJHIbFuh6GzqTPYl0X8G/view?usp=drivesdk" TargetMode="External"/><Relationship Id="rId1" Type="http://schemas.openxmlformats.org/officeDocument/2006/relationships/hyperlink" Target="https://drive.google.com/file/d/1KRJ7e5c8zzCjVbWn_9f01YLq3cLKwY6y/view?usp=drivesdk" TargetMode="External"/><Relationship Id="rId2" Type="http://schemas.openxmlformats.org/officeDocument/2006/relationships/hyperlink" Target="https://drive.google.com/file/d/12MRe0W9WFQOdnJHIbFuh6GzqTPYl0X8G/view?usp=drivesdk" TargetMode="External"/><Relationship Id="rId3" Type="http://schemas.openxmlformats.org/officeDocument/2006/relationships/hyperlink" Target="https://drive.google.com/file/d/12MRe0W9WFQOdnJHIbFuh6GzqTPYl0X8G/view?usp=drivesdk" TargetMode="External"/><Relationship Id="rId4" Type="http://schemas.openxmlformats.org/officeDocument/2006/relationships/hyperlink" Target="https://drive.google.com/file/d/12MRe0W9WFQOdnJHIbFuh6GzqTPYl0X8G/view?usp=drivesdk" TargetMode="External"/><Relationship Id="rId9" Type="http://schemas.openxmlformats.org/officeDocument/2006/relationships/hyperlink" Target="https://drive.google.com/file/d/12MRe0W9WFQOdnJHIbFuh6GzqTPYl0X8G/view?usp=drivesdk" TargetMode="External"/><Relationship Id="rId5" Type="http://schemas.openxmlformats.org/officeDocument/2006/relationships/hyperlink" Target="https://drive.google.com/file/d/12MRe0W9WFQOdnJHIbFuh6GzqTPYl0X8G/view?usp=drivesdk" TargetMode="External"/><Relationship Id="rId6" Type="http://schemas.openxmlformats.org/officeDocument/2006/relationships/hyperlink" Target="https://drive.google.com/file/d/12MRe0W9WFQOdnJHIbFuh6GzqTPYl0X8G/view?usp=drivesdk" TargetMode="External"/><Relationship Id="rId7" Type="http://schemas.openxmlformats.org/officeDocument/2006/relationships/hyperlink" Target="https://drive.google.com/file/d/12MRe0W9WFQOdnJHIbFuh6GzqTPYl0X8G/view?usp=drivesdk" TargetMode="External"/><Relationship Id="rId8" Type="http://schemas.openxmlformats.org/officeDocument/2006/relationships/hyperlink" Target="https://drive.google.com/file/d/12MRe0W9WFQOdnJHIbFuh6GzqTPYl0X8G/view?usp=drivesdk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L_aCgb6SvHsA-Z1mrpAq6eqMGFPXfXs/view?usp=drivesdk" TargetMode="External"/><Relationship Id="rId2" Type="http://schemas.openxmlformats.org/officeDocument/2006/relationships/hyperlink" Target="https://drive.google.com/file/d/1ML_aCgb6SvHsA-Z1mrpAq6eqMGFPXfXs/view?usp=drivesdk" TargetMode="External"/><Relationship Id="rId3" Type="http://schemas.openxmlformats.org/officeDocument/2006/relationships/hyperlink" Target="https://drive.google.com/file/d/1ML_aCgb6SvHsA-Z1mrpAq6eqMGFPXfXs/view?usp=drivesdk" TargetMode="External"/><Relationship Id="rId4" Type="http://schemas.openxmlformats.org/officeDocument/2006/relationships/hyperlink" Target="https://drive.google.com/file/d/1qQobbkijO0Tq3WUhrfQ5-0VclZ25ruyJ/view?usp=drivesdk" TargetMode="External"/><Relationship Id="rId5" Type="http://schemas.openxmlformats.org/officeDocument/2006/relationships/hyperlink" Target="https://drive.google.com/file/d/1qQobbkijO0Tq3WUhrfQ5-0VclZ25ruyJ/view?usp=drivesdk" TargetMode="External"/><Relationship Id="rId6" Type="http://schemas.openxmlformats.org/officeDocument/2006/relationships/hyperlink" Target="https://drive.google.com/file/d/1qQobbkijO0Tq3WUhrfQ5-0VclZ25ruyJ/view?usp=drivesdk" TargetMode="External"/><Relationship Id="rId7" Type="http://schemas.openxmlformats.org/officeDocument/2006/relationships/hyperlink" Target="https://drive.google.com/file/d/1qQobbkijO0Tq3WUhrfQ5-0VclZ25ruyJ/view?usp=drivesdk" TargetMode="External"/><Relationship Id="rId8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4msB-uOq6yCbqsUMs8xs7rcoQAQtAjEn/view?usp=drivesdk" TargetMode="External"/><Relationship Id="rId42" Type="http://schemas.openxmlformats.org/officeDocument/2006/relationships/hyperlink" Target="https://drive.google.com/file/d/14msB-uOq6yCbqsUMs8xs7rcoQAQtAjEn/view?usp=drivesdk" TargetMode="External"/><Relationship Id="rId41" Type="http://schemas.openxmlformats.org/officeDocument/2006/relationships/hyperlink" Target="https://drive.google.com/file/d/14msB-uOq6yCbqsUMs8xs7rcoQAQtAjEn/view?usp=drivesdk" TargetMode="External"/><Relationship Id="rId44" Type="http://schemas.openxmlformats.org/officeDocument/2006/relationships/hyperlink" Target="https://drive.google.com/file/d/14msB-uOq6yCbqsUMs8xs7rcoQAQtAjEn/view?usp=drivesdk" TargetMode="External"/><Relationship Id="rId43" Type="http://schemas.openxmlformats.org/officeDocument/2006/relationships/hyperlink" Target="https://drive.google.com/file/d/14msB-uOq6yCbqsUMs8xs7rcoQAQtAjEn/view?usp=drivesdk" TargetMode="External"/><Relationship Id="rId46" Type="http://schemas.openxmlformats.org/officeDocument/2006/relationships/hyperlink" Target="https://drive.google.com/file/d/14msB-uOq6yCbqsUMs8xs7rcoQAQtAjEn/view?usp=drivesdk" TargetMode="External"/><Relationship Id="rId45" Type="http://schemas.openxmlformats.org/officeDocument/2006/relationships/hyperlink" Target="https://drive.google.com/file/d/14msB-uOq6yCbqsUMs8xs7rcoQAQtAjEn/view?usp=drivesdk" TargetMode="External"/><Relationship Id="rId48" Type="http://schemas.openxmlformats.org/officeDocument/2006/relationships/hyperlink" Target="https://drive.google.com/file/d/14msB-uOq6yCbqsUMs8xs7rcoQAQtAjEn/view?usp=drivesdk" TargetMode="External"/><Relationship Id="rId47" Type="http://schemas.openxmlformats.org/officeDocument/2006/relationships/hyperlink" Target="https://drive.google.com/file/d/14msB-uOq6yCbqsUMs8xs7rcoQAQtAjEn/view?usp=drivesdk" TargetMode="External"/><Relationship Id="rId49" Type="http://schemas.openxmlformats.org/officeDocument/2006/relationships/hyperlink" Target="https://drive.google.com/file/d/14msB-uOq6yCbqsUMs8xs7rcoQAQtAjEn/view?usp=drivesdk" TargetMode="External"/><Relationship Id="rId31" Type="http://schemas.openxmlformats.org/officeDocument/2006/relationships/hyperlink" Target="https://drive.google.com/file/d/14msB-uOq6yCbqsUMs8xs7rcoQAQtAjEn/view?usp=drivesdk" TargetMode="External"/><Relationship Id="rId30" Type="http://schemas.openxmlformats.org/officeDocument/2006/relationships/hyperlink" Target="https://drive.google.com/file/d/14msB-uOq6yCbqsUMs8xs7rcoQAQtAjEn/view?usp=drivesdk" TargetMode="External"/><Relationship Id="rId33" Type="http://schemas.openxmlformats.org/officeDocument/2006/relationships/hyperlink" Target="https://drive.google.com/file/d/14msB-uOq6yCbqsUMs8xs7rcoQAQtAjEn/view?usp=drivesdk" TargetMode="External"/><Relationship Id="rId32" Type="http://schemas.openxmlformats.org/officeDocument/2006/relationships/hyperlink" Target="https://drive.google.com/file/d/14msB-uOq6yCbqsUMs8xs7rcoQAQtAjEn/view?usp=drivesdk" TargetMode="External"/><Relationship Id="rId35" Type="http://schemas.openxmlformats.org/officeDocument/2006/relationships/hyperlink" Target="https://drive.google.com/file/d/14msB-uOq6yCbqsUMs8xs7rcoQAQtAjEn/view?usp=drivesdk" TargetMode="External"/><Relationship Id="rId34" Type="http://schemas.openxmlformats.org/officeDocument/2006/relationships/hyperlink" Target="https://drive.google.com/file/d/14msB-uOq6yCbqsUMs8xs7rcoQAQtAjEn/view?usp=drivesdk" TargetMode="External"/><Relationship Id="rId37" Type="http://schemas.openxmlformats.org/officeDocument/2006/relationships/hyperlink" Target="https://drive.google.com/file/d/14msB-uOq6yCbqsUMs8xs7rcoQAQtAjEn/view?usp=drivesdk" TargetMode="External"/><Relationship Id="rId36" Type="http://schemas.openxmlformats.org/officeDocument/2006/relationships/hyperlink" Target="https://drive.google.com/file/d/14msB-uOq6yCbqsUMs8xs7rcoQAQtAjEn/view?usp=drivesdk" TargetMode="External"/><Relationship Id="rId39" Type="http://schemas.openxmlformats.org/officeDocument/2006/relationships/hyperlink" Target="https://drive.google.com/file/d/14msB-uOq6yCbqsUMs8xs7rcoQAQtAjEn/view?usp=drivesdk" TargetMode="External"/><Relationship Id="rId38" Type="http://schemas.openxmlformats.org/officeDocument/2006/relationships/hyperlink" Target="https://drive.google.com/file/d/14msB-uOq6yCbqsUMs8xs7rcoQAQtAjEn/view?usp=drivesdk" TargetMode="External"/><Relationship Id="rId20" Type="http://schemas.openxmlformats.org/officeDocument/2006/relationships/hyperlink" Target="https://drive.google.com/file/d/11X5L76ZayEynkoGymk524J_g-cEX3EXC/view?usp=drivesdk" TargetMode="External"/><Relationship Id="rId22" Type="http://schemas.openxmlformats.org/officeDocument/2006/relationships/hyperlink" Target="https://drive.google.com/file/d/11X5L76ZayEynkoGymk524J_g-cEX3EXC/view?usp=drivesdk" TargetMode="External"/><Relationship Id="rId21" Type="http://schemas.openxmlformats.org/officeDocument/2006/relationships/hyperlink" Target="https://drive.google.com/file/d/11X5L76ZayEynkoGymk524J_g-cEX3EXC/view?usp=drivesdk" TargetMode="External"/><Relationship Id="rId24" Type="http://schemas.openxmlformats.org/officeDocument/2006/relationships/hyperlink" Target="https://drive.google.com/file/d/1hbhgtgyj_f1v8IekgoLNpJfrHG0ETLIb/view?usp=drivesdk" TargetMode="External"/><Relationship Id="rId23" Type="http://schemas.openxmlformats.org/officeDocument/2006/relationships/hyperlink" Target="https://drive.google.com/file/d/11X5L76ZayEynkoGymk524J_g-cEX3EXC/view?usp=drivesdk" TargetMode="External"/><Relationship Id="rId26" Type="http://schemas.openxmlformats.org/officeDocument/2006/relationships/hyperlink" Target="https://drive.google.com/file/d/1MnH8Sd1RK25iI8Y8Up4823BjFLMMsa8m/view?usp=drivesdk" TargetMode="External"/><Relationship Id="rId25" Type="http://schemas.openxmlformats.org/officeDocument/2006/relationships/hyperlink" Target="https://drive.google.com/file/d/1ePSPG9_mmThPVy27hcPkUBbrKYigyDcG/view?usp=drivesdk" TargetMode="External"/><Relationship Id="rId28" Type="http://schemas.openxmlformats.org/officeDocument/2006/relationships/hyperlink" Target="https://drive.google.com/file/d/1MnH8Sd1RK25iI8Y8Up4823BjFLMMsa8m/view?usp=drivesdk" TargetMode="External"/><Relationship Id="rId27" Type="http://schemas.openxmlformats.org/officeDocument/2006/relationships/hyperlink" Target="https://drive.google.com/file/d/1MnH8Sd1RK25iI8Y8Up4823BjFLMMsa8m/view?usp=drivesdk" TargetMode="External"/><Relationship Id="rId29" Type="http://schemas.openxmlformats.org/officeDocument/2006/relationships/hyperlink" Target="https://drive.google.com/file/d/14msB-uOq6yCbqsUMs8xs7rcoQAQtAjEn/view?usp=drivesdk" TargetMode="External"/><Relationship Id="rId11" Type="http://schemas.openxmlformats.org/officeDocument/2006/relationships/hyperlink" Target="https://drive.google.com/file/d/11X5L76ZayEynkoGymk524J_g-cEX3EXC/view?usp=drivesdk" TargetMode="External"/><Relationship Id="rId10" Type="http://schemas.openxmlformats.org/officeDocument/2006/relationships/hyperlink" Target="https://drive.google.com/file/d/11X5L76ZayEynkoGymk524J_g-cEX3EXC/view?usp=drivesdk" TargetMode="External"/><Relationship Id="rId13" Type="http://schemas.openxmlformats.org/officeDocument/2006/relationships/hyperlink" Target="https://drive.google.com/file/d/11X5L76ZayEynkoGymk524J_g-cEX3EXC/view?usp=drivesdk" TargetMode="External"/><Relationship Id="rId12" Type="http://schemas.openxmlformats.org/officeDocument/2006/relationships/hyperlink" Target="https://drive.google.com/file/d/11X5L76ZayEynkoGymk524J_g-cEX3EXC/view?usp=drivesdk" TargetMode="External"/><Relationship Id="rId15" Type="http://schemas.openxmlformats.org/officeDocument/2006/relationships/hyperlink" Target="https://drive.google.com/file/d/11X5L76ZayEynkoGymk524J_g-cEX3EXC/view?usp=drivesdk" TargetMode="External"/><Relationship Id="rId14" Type="http://schemas.openxmlformats.org/officeDocument/2006/relationships/hyperlink" Target="https://drive.google.com/file/d/11X5L76ZayEynkoGymk524J_g-cEX3EXC/view?usp=drivesdk" TargetMode="External"/><Relationship Id="rId17" Type="http://schemas.openxmlformats.org/officeDocument/2006/relationships/hyperlink" Target="https://drive.google.com/file/d/11X5L76ZayEynkoGymk524J_g-cEX3EXC/view?usp=drivesdk" TargetMode="External"/><Relationship Id="rId16" Type="http://schemas.openxmlformats.org/officeDocument/2006/relationships/hyperlink" Target="https://drive.google.com/file/d/11X5L76ZayEynkoGymk524J_g-cEX3EXC/view?usp=drivesdk" TargetMode="External"/><Relationship Id="rId19" Type="http://schemas.openxmlformats.org/officeDocument/2006/relationships/hyperlink" Target="https://drive.google.com/file/d/11X5L76ZayEynkoGymk524J_g-cEX3EXC/view?usp=drivesdk" TargetMode="External"/><Relationship Id="rId18" Type="http://schemas.openxmlformats.org/officeDocument/2006/relationships/hyperlink" Target="https://drive.google.com/file/d/11X5L76ZayEynkoGymk524J_g-cEX3EXC/view?usp=drivesdk" TargetMode="External"/><Relationship Id="rId1" Type="http://schemas.openxmlformats.org/officeDocument/2006/relationships/hyperlink" Target="https://drive.google.com/file/d/11X5L76ZayEynkoGymk524J_g-cEX3EXC/view?usp=drivesdk" TargetMode="External"/><Relationship Id="rId2" Type="http://schemas.openxmlformats.org/officeDocument/2006/relationships/hyperlink" Target="https://drive.google.com/file/d/11X5L76ZayEynkoGymk524J_g-cEX3EXC/view?usp=drivesdk" TargetMode="External"/><Relationship Id="rId3" Type="http://schemas.openxmlformats.org/officeDocument/2006/relationships/hyperlink" Target="https://drive.google.com/file/d/11X5L76ZayEynkoGymk524J_g-cEX3EXC/view?usp=drivesdk" TargetMode="External"/><Relationship Id="rId4" Type="http://schemas.openxmlformats.org/officeDocument/2006/relationships/hyperlink" Target="https://drive.google.com/file/d/11X5L76ZayEynkoGymk524J_g-cEX3EXC/view?usp=drivesdk" TargetMode="External"/><Relationship Id="rId9" Type="http://schemas.openxmlformats.org/officeDocument/2006/relationships/hyperlink" Target="https://drive.google.com/file/d/11X5L76ZayEynkoGymk524J_g-cEX3EXC/view?usp=drivesdk" TargetMode="External"/><Relationship Id="rId5" Type="http://schemas.openxmlformats.org/officeDocument/2006/relationships/hyperlink" Target="https://drive.google.com/file/d/11X5L76ZayEynkoGymk524J_g-cEX3EXC/view?usp=drivesdk" TargetMode="External"/><Relationship Id="rId6" Type="http://schemas.openxmlformats.org/officeDocument/2006/relationships/hyperlink" Target="https://drive.google.com/file/d/11X5L76ZayEynkoGymk524J_g-cEX3EXC/view?usp=drivesdk" TargetMode="External"/><Relationship Id="rId7" Type="http://schemas.openxmlformats.org/officeDocument/2006/relationships/hyperlink" Target="https://drive.google.com/file/d/11X5L76ZayEynkoGymk524J_g-cEX3EXC/view?usp=drivesdk" TargetMode="External"/><Relationship Id="rId8" Type="http://schemas.openxmlformats.org/officeDocument/2006/relationships/hyperlink" Target="https://drive.google.com/file/d/11X5L76ZayEynkoGymk524J_g-cEX3EXC/view?usp=drivesdk" TargetMode="External"/><Relationship Id="rId51" Type="http://schemas.openxmlformats.org/officeDocument/2006/relationships/hyperlink" Target="https://drive.google.com/file/d/14msB-uOq6yCbqsUMs8xs7rcoQAQtAjEn/view?usp=drivesdk" TargetMode="External"/><Relationship Id="rId50" Type="http://schemas.openxmlformats.org/officeDocument/2006/relationships/hyperlink" Target="https://drive.google.com/file/d/14msB-uOq6yCbqsUMs8xs7rcoQAQtAjEn/view?usp=drivesdk" TargetMode="External"/><Relationship Id="rId53" Type="http://schemas.openxmlformats.org/officeDocument/2006/relationships/hyperlink" Target="https://drive.google.com/file/d/14msB-uOq6yCbqsUMs8xs7rcoQAQtAjEn/view?usp=drivesdk" TargetMode="External"/><Relationship Id="rId52" Type="http://schemas.openxmlformats.org/officeDocument/2006/relationships/hyperlink" Target="https://drive.google.com/file/d/14msB-uOq6yCbqsUMs8xs7rcoQAQtAjEn/view?usp=drivesdk" TargetMode="External"/><Relationship Id="rId55" Type="http://schemas.openxmlformats.org/officeDocument/2006/relationships/hyperlink" Target="https://drive.google.com/file/d/14msB-uOq6yCbqsUMs8xs7rcoQAQtAjEn/view?usp=drivesdk" TargetMode="External"/><Relationship Id="rId54" Type="http://schemas.openxmlformats.org/officeDocument/2006/relationships/hyperlink" Target="https://drive.google.com/file/d/14msB-uOq6yCbqsUMs8xs7rcoQAQtAjEn/view?usp=drivesdk" TargetMode="External"/><Relationship Id="rId56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ffNntzODcJTUiDhk_OWdOeM_Hf_gL6vg/view?usp=drivesdk" TargetMode="External"/><Relationship Id="rId22" Type="http://schemas.openxmlformats.org/officeDocument/2006/relationships/hyperlink" Target="https://drive.google.com/file/d/1ffNntzODcJTUiDhk_OWdOeM_Hf_gL6vg/view?usp=drivesdk" TargetMode="External"/><Relationship Id="rId21" Type="http://schemas.openxmlformats.org/officeDocument/2006/relationships/hyperlink" Target="https://drive.google.com/file/d/1ffNntzODcJTUiDhk_OWdOeM_Hf_gL6vg/view?usp=drivesdk" TargetMode="External"/><Relationship Id="rId24" Type="http://schemas.openxmlformats.org/officeDocument/2006/relationships/hyperlink" Target="https://drive.google.com/file/d/1ffNntzODcJTUiDhk_OWdOeM_Hf_gL6vg/view?usp=drivesdk" TargetMode="External"/><Relationship Id="rId23" Type="http://schemas.openxmlformats.org/officeDocument/2006/relationships/hyperlink" Target="https://drive.google.com/file/d/1ffNntzODcJTUiDhk_OWdOeM_Hf_gL6vg/view?usp=drivesdk" TargetMode="External"/><Relationship Id="rId26" Type="http://schemas.openxmlformats.org/officeDocument/2006/relationships/hyperlink" Target="https://drive.google.com/file/d/1VoDa8EaVrgyXXpY1r0qT5qghA5CCMB0u/view?usp=drivesdk" TargetMode="External"/><Relationship Id="rId25" Type="http://schemas.openxmlformats.org/officeDocument/2006/relationships/hyperlink" Target="https://drive.google.com/file/d/1ffNntzODcJTUiDhk_OWdOeM_Hf_gL6vg/view?usp=drivesdk" TargetMode="External"/><Relationship Id="rId27" Type="http://schemas.openxmlformats.org/officeDocument/2006/relationships/drawing" Target="../drawings/drawing27.xml"/><Relationship Id="rId11" Type="http://schemas.openxmlformats.org/officeDocument/2006/relationships/hyperlink" Target="https://drive.google.com/file/d/1ffNntzODcJTUiDhk_OWdOeM_Hf_gL6vg/view?usp=drivesdk" TargetMode="External"/><Relationship Id="rId10" Type="http://schemas.openxmlformats.org/officeDocument/2006/relationships/hyperlink" Target="https://drive.google.com/file/d/1ffNntzODcJTUiDhk_OWdOeM_Hf_gL6vg/view?usp=drivesdk" TargetMode="External"/><Relationship Id="rId13" Type="http://schemas.openxmlformats.org/officeDocument/2006/relationships/hyperlink" Target="https://drive.google.com/file/d/1ffNntzODcJTUiDhk_OWdOeM_Hf_gL6vg/view?usp=drivesdk" TargetMode="External"/><Relationship Id="rId12" Type="http://schemas.openxmlformats.org/officeDocument/2006/relationships/hyperlink" Target="https://drive.google.com/file/d/1ffNntzODcJTUiDhk_OWdOeM_Hf_gL6vg/view?usp=drivesdk" TargetMode="External"/><Relationship Id="rId15" Type="http://schemas.openxmlformats.org/officeDocument/2006/relationships/hyperlink" Target="https://drive.google.com/file/d/1ffNntzODcJTUiDhk_OWdOeM_Hf_gL6vg/view?usp=drivesdk" TargetMode="External"/><Relationship Id="rId14" Type="http://schemas.openxmlformats.org/officeDocument/2006/relationships/hyperlink" Target="https://drive.google.com/file/d/1ffNntzODcJTUiDhk_OWdOeM_Hf_gL6vg/view?usp=drivesdk" TargetMode="External"/><Relationship Id="rId17" Type="http://schemas.openxmlformats.org/officeDocument/2006/relationships/hyperlink" Target="https://drive.google.com/file/d/1ffNntzODcJTUiDhk_OWdOeM_Hf_gL6vg/view?usp=drivesdk" TargetMode="External"/><Relationship Id="rId16" Type="http://schemas.openxmlformats.org/officeDocument/2006/relationships/hyperlink" Target="https://drive.google.com/file/d/1ffNntzODcJTUiDhk_OWdOeM_Hf_gL6vg/view?usp=drivesdk" TargetMode="External"/><Relationship Id="rId19" Type="http://schemas.openxmlformats.org/officeDocument/2006/relationships/hyperlink" Target="https://drive.google.com/file/d/1ffNntzODcJTUiDhk_OWdOeM_Hf_gL6vg/view?usp=drivesdk" TargetMode="External"/><Relationship Id="rId18" Type="http://schemas.openxmlformats.org/officeDocument/2006/relationships/hyperlink" Target="https://drive.google.com/file/d/1ffNntzODcJTUiDhk_OWdOeM_Hf_gL6vg/view?usp=drivesdk" TargetMode="External"/><Relationship Id="rId1" Type="http://schemas.openxmlformats.org/officeDocument/2006/relationships/hyperlink" Target="https://drive.google.com/file/d/1ffNntzODcJTUiDhk_OWdOeM_Hf_gL6vg/view?usp=drivesdk" TargetMode="External"/><Relationship Id="rId2" Type="http://schemas.openxmlformats.org/officeDocument/2006/relationships/hyperlink" Target="https://drive.google.com/file/d/1ffNntzODcJTUiDhk_OWdOeM_Hf_gL6vg/view?usp=drivesdk" TargetMode="External"/><Relationship Id="rId3" Type="http://schemas.openxmlformats.org/officeDocument/2006/relationships/hyperlink" Target="https://drive.google.com/file/d/1ffNntzODcJTUiDhk_OWdOeM_Hf_gL6vg/view?usp=drivesdk" TargetMode="External"/><Relationship Id="rId4" Type="http://schemas.openxmlformats.org/officeDocument/2006/relationships/hyperlink" Target="https://drive.google.com/file/d/1ffNntzODcJTUiDhk_OWdOeM_Hf_gL6vg/view?usp=drivesdk" TargetMode="External"/><Relationship Id="rId9" Type="http://schemas.openxmlformats.org/officeDocument/2006/relationships/hyperlink" Target="https://drive.google.com/file/d/1ffNntzODcJTUiDhk_OWdOeM_Hf_gL6vg/view?usp=drivesdk" TargetMode="External"/><Relationship Id="rId5" Type="http://schemas.openxmlformats.org/officeDocument/2006/relationships/hyperlink" Target="https://drive.google.com/file/d/1ffNntzODcJTUiDhk_OWdOeM_Hf_gL6vg/view?usp=drivesdk" TargetMode="External"/><Relationship Id="rId6" Type="http://schemas.openxmlformats.org/officeDocument/2006/relationships/hyperlink" Target="https://drive.google.com/file/d/1ffNntzODcJTUiDhk_OWdOeM_Hf_gL6vg/view?usp=drivesdk" TargetMode="External"/><Relationship Id="rId7" Type="http://schemas.openxmlformats.org/officeDocument/2006/relationships/hyperlink" Target="https://drive.google.com/file/d/1ffNntzODcJTUiDhk_OWdOeM_Hf_gL6vg/view?usp=drivesdk" TargetMode="External"/><Relationship Id="rId8" Type="http://schemas.openxmlformats.org/officeDocument/2006/relationships/hyperlink" Target="https://drive.google.com/file/d/1ffNntzODcJTUiDhk_OWdOeM_Hf_gL6vg/view?usp=drivesdk" TargetMode="External"/></Relationships>
</file>

<file path=xl/worksheets/_rels/sheet28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28.xml"/><Relationship Id="rId10" Type="http://schemas.openxmlformats.org/officeDocument/2006/relationships/hyperlink" Target="https://drive.google.com/file/d/1-PzSsAaMmBtWf1JQ6MtR3_N10uivzCZ9/view?usp=drivesdk" TargetMode="External"/><Relationship Id="rId1" Type="http://schemas.openxmlformats.org/officeDocument/2006/relationships/hyperlink" Target="https://drive.google.com/file/d/1H6jZs4J_1iEUZfm5NRDMvnWt4LZEwuJl/view?usp=drivesdk" TargetMode="External"/><Relationship Id="rId2" Type="http://schemas.openxmlformats.org/officeDocument/2006/relationships/hyperlink" Target="https://drive.google.com/file/d/1H6jZs4J_1iEUZfm5NRDMvnWt4LZEwuJl/view?usp=drivesdk" TargetMode="External"/><Relationship Id="rId3" Type="http://schemas.openxmlformats.org/officeDocument/2006/relationships/hyperlink" Target="https://drive.google.com/file/d/1-PzSsAaMmBtWf1JQ6MtR3_N10uivzCZ9/view?usp=drivesdk" TargetMode="External"/><Relationship Id="rId4" Type="http://schemas.openxmlformats.org/officeDocument/2006/relationships/hyperlink" Target="https://drive.google.com/file/d/1-PzSsAaMmBtWf1JQ6MtR3_N10uivzCZ9/view?usp=drivesdk" TargetMode="External"/><Relationship Id="rId9" Type="http://schemas.openxmlformats.org/officeDocument/2006/relationships/hyperlink" Target="https://drive.google.com/file/d/1-PzSsAaMmBtWf1JQ6MtR3_N10uivzCZ9/view?usp=drivesdk" TargetMode="External"/><Relationship Id="rId5" Type="http://schemas.openxmlformats.org/officeDocument/2006/relationships/hyperlink" Target="https://drive.google.com/file/d/1-PzSsAaMmBtWf1JQ6MtR3_N10uivzCZ9/view?usp=drivesdk" TargetMode="External"/><Relationship Id="rId6" Type="http://schemas.openxmlformats.org/officeDocument/2006/relationships/hyperlink" Target="https://drive.google.com/file/d/1-PzSsAaMmBtWf1JQ6MtR3_N10uivzCZ9/view?usp=drivesdk" TargetMode="External"/><Relationship Id="rId7" Type="http://schemas.openxmlformats.org/officeDocument/2006/relationships/hyperlink" Target="https://drive.google.com/file/d/1-PzSsAaMmBtWf1JQ6MtR3_N10uivzCZ9/view?usp=drivesdk" TargetMode="External"/><Relationship Id="rId8" Type="http://schemas.openxmlformats.org/officeDocument/2006/relationships/hyperlink" Target="https://drive.google.com/file/d/1-PzSsAaMmBtWf1JQ6MtR3_N10uivzCZ9/view?usp=drivesdk" TargetMode="External"/></Relationships>
</file>

<file path=xl/worksheets/_rels/sheet29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kHtCAYyPvnZZeWaTJGLPm1cC7pO3pZaP/view?usp=drivesdk" TargetMode="External"/><Relationship Id="rId10" Type="http://schemas.openxmlformats.org/officeDocument/2006/relationships/hyperlink" Target="https://drive.google.com/file/d/1kHtCAYyPvnZZeWaTJGLPm1cC7pO3pZaP/view?usp=drivesdk" TargetMode="External"/><Relationship Id="rId13" Type="http://schemas.openxmlformats.org/officeDocument/2006/relationships/hyperlink" Target="https://drive.google.com/file/d/1kHtCAYyPvnZZeWaTJGLPm1cC7pO3pZaP/view?usp=drivesdk" TargetMode="External"/><Relationship Id="rId12" Type="http://schemas.openxmlformats.org/officeDocument/2006/relationships/hyperlink" Target="https://drive.google.com/file/d/1kHtCAYyPvnZZeWaTJGLPm1cC7pO3pZaP/view?usp=drivesdk" TargetMode="External"/><Relationship Id="rId15" Type="http://schemas.openxmlformats.org/officeDocument/2006/relationships/hyperlink" Target="https://drive.google.com/file/d/1tzqgjqRbWKJFq4W4CQPARZFBgFQ7v8AZ/view?usp=drivesdk" TargetMode="External"/><Relationship Id="rId14" Type="http://schemas.openxmlformats.org/officeDocument/2006/relationships/hyperlink" Target="https://drive.google.com/file/d/1kHtCAYyPvnZZeWaTJGLPm1cC7pO3pZaP/view?usp=drivesdk" TargetMode="External"/><Relationship Id="rId17" Type="http://schemas.openxmlformats.org/officeDocument/2006/relationships/drawing" Target="../drawings/drawing29.xml"/><Relationship Id="rId16" Type="http://schemas.openxmlformats.org/officeDocument/2006/relationships/hyperlink" Target="https://drive.google.com/file/d/1tzqgjqRbWKJFq4W4CQPARZFBgFQ7v8AZ/view?usp=drivesdk" TargetMode="External"/><Relationship Id="rId1" Type="http://schemas.openxmlformats.org/officeDocument/2006/relationships/hyperlink" Target="https://drive.google.com/file/d/1kHtCAYyPvnZZeWaTJGLPm1cC7pO3pZaP/view?usp=drivesdk" TargetMode="External"/><Relationship Id="rId2" Type="http://schemas.openxmlformats.org/officeDocument/2006/relationships/hyperlink" Target="https://drive.google.com/file/d/1kHtCAYyPvnZZeWaTJGLPm1cC7pO3pZaP/view?usp=drivesdk" TargetMode="External"/><Relationship Id="rId3" Type="http://schemas.openxmlformats.org/officeDocument/2006/relationships/hyperlink" Target="https://drive.google.com/file/d/1kHtCAYyPvnZZeWaTJGLPm1cC7pO3pZaP/view?usp=drivesdk" TargetMode="External"/><Relationship Id="rId4" Type="http://schemas.openxmlformats.org/officeDocument/2006/relationships/hyperlink" Target="https://drive.google.com/file/d/1kHtCAYyPvnZZeWaTJGLPm1cC7pO3pZaP/view?usp=drivesdk" TargetMode="External"/><Relationship Id="rId9" Type="http://schemas.openxmlformats.org/officeDocument/2006/relationships/hyperlink" Target="https://drive.google.com/file/d/1kHtCAYyPvnZZeWaTJGLPm1cC7pO3pZaP/view?usp=drivesdk" TargetMode="External"/><Relationship Id="rId5" Type="http://schemas.openxmlformats.org/officeDocument/2006/relationships/hyperlink" Target="https://drive.google.com/file/d/1kHtCAYyPvnZZeWaTJGLPm1cC7pO3pZaP/view?usp=drivesdk" TargetMode="External"/><Relationship Id="rId6" Type="http://schemas.openxmlformats.org/officeDocument/2006/relationships/hyperlink" Target="https://drive.google.com/file/d/1kHtCAYyPvnZZeWaTJGLPm1cC7pO3pZaP/view?usp=drivesdk" TargetMode="External"/><Relationship Id="rId7" Type="http://schemas.openxmlformats.org/officeDocument/2006/relationships/hyperlink" Target="https://drive.google.com/file/d/1kHtCAYyPvnZZeWaTJGLPm1cC7pO3pZaP/view?usp=drivesdk" TargetMode="External"/><Relationship Id="rId8" Type="http://schemas.openxmlformats.org/officeDocument/2006/relationships/hyperlink" Target="https://drive.google.com/file/d/1kHtCAYyPvnZZeWaTJGLPm1cC7pO3pZaP/view?usp=drivesdk" TargetMode="External"/></Relationships>
</file>

<file path=xl/worksheets/_rels/sheet30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6nCR_XtRXEEBcRUa1yqz7mvSv6iaNFQF/view?usp=drivesdk" TargetMode="External"/><Relationship Id="rId10" Type="http://schemas.openxmlformats.org/officeDocument/2006/relationships/hyperlink" Target="https://drive.google.com/file/d/16nCR_XtRXEEBcRUa1yqz7mvSv6iaNFQF/view?usp=drivesdk" TargetMode="External"/><Relationship Id="rId13" Type="http://schemas.openxmlformats.org/officeDocument/2006/relationships/hyperlink" Target="https://drive.google.com/file/d/16nCR_XtRXEEBcRUa1yqz7mvSv6iaNFQF/view?usp=drivesdk" TargetMode="External"/><Relationship Id="rId12" Type="http://schemas.openxmlformats.org/officeDocument/2006/relationships/hyperlink" Target="https://drive.google.com/file/d/16nCR_XtRXEEBcRUa1yqz7mvSv6iaNFQF/view?usp=drivesdk" TargetMode="External"/><Relationship Id="rId15" Type="http://schemas.openxmlformats.org/officeDocument/2006/relationships/hyperlink" Target="https://drive.google.com/file/d/16nCR_XtRXEEBcRUa1yqz7mvSv6iaNFQF/view?usp=drivesdk" TargetMode="External"/><Relationship Id="rId14" Type="http://schemas.openxmlformats.org/officeDocument/2006/relationships/hyperlink" Target="https://drive.google.com/file/d/16nCR_XtRXEEBcRUa1yqz7mvSv6iaNFQF/view?usp=drivesdk" TargetMode="External"/><Relationship Id="rId17" Type="http://schemas.openxmlformats.org/officeDocument/2006/relationships/hyperlink" Target="https://drive.google.com/file/d/16nCR_XtRXEEBcRUa1yqz7mvSv6iaNFQF/view?usp=drivesdk" TargetMode="External"/><Relationship Id="rId16" Type="http://schemas.openxmlformats.org/officeDocument/2006/relationships/hyperlink" Target="https://drive.google.com/file/d/16nCR_XtRXEEBcRUa1yqz7mvSv6iaNFQF/view?usp=drivesdk" TargetMode="External"/><Relationship Id="rId19" Type="http://schemas.openxmlformats.org/officeDocument/2006/relationships/drawing" Target="../drawings/drawing30.xml"/><Relationship Id="rId18" Type="http://schemas.openxmlformats.org/officeDocument/2006/relationships/hyperlink" Target="https://drive.google.com/file/d/18e8-Oo5piUSPjD6cQJ8bUpVfxDFtYC0k/view?usp=drivesdk" TargetMode="External"/><Relationship Id="rId1" Type="http://schemas.openxmlformats.org/officeDocument/2006/relationships/hyperlink" Target="https://drive.google.com/file/d/16nCR_XtRXEEBcRUa1yqz7mvSv6iaNFQF/view?usp=drivesdk" TargetMode="External"/><Relationship Id="rId2" Type="http://schemas.openxmlformats.org/officeDocument/2006/relationships/hyperlink" Target="https://drive.google.com/file/d/16nCR_XtRXEEBcRUa1yqz7mvSv6iaNFQF/view?usp=drivesdk" TargetMode="External"/><Relationship Id="rId3" Type="http://schemas.openxmlformats.org/officeDocument/2006/relationships/hyperlink" Target="https://drive.google.com/file/d/16nCR_XtRXEEBcRUa1yqz7mvSv6iaNFQF/view?usp=drivesdk" TargetMode="External"/><Relationship Id="rId4" Type="http://schemas.openxmlformats.org/officeDocument/2006/relationships/hyperlink" Target="https://drive.google.com/file/d/16nCR_XtRXEEBcRUa1yqz7mvSv6iaNFQF/view?usp=drivesdk" TargetMode="External"/><Relationship Id="rId9" Type="http://schemas.openxmlformats.org/officeDocument/2006/relationships/hyperlink" Target="https://drive.google.com/file/d/16nCR_XtRXEEBcRUa1yqz7mvSv6iaNFQF/view?usp=drivesdk" TargetMode="External"/><Relationship Id="rId5" Type="http://schemas.openxmlformats.org/officeDocument/2006/relationships/hyperlink" Target="https://drive.google.com/file/d/16nCR_XtRXEEBcRUa1yqz7mvSv6iaNFQF/view?usp=drivesdk" TargetMode="External"/><Relationship Id="rId6" Type="http://schemas.openxmlformats.org/officeDocument/2006/relationships/hyperlink" Target="https://drive.google.com/file/d/16nCR_XtRXEEBcRUa1yqz7mvSv6iaNFQF/view?usp=drivesdk" TargetMode="External"/><Relationship Id="rId7" Type="http://schemas.openxmlformats.org/officeDocument/2006/relationships/hyperlink" Target="https://drive.google.com/file/d/16nCR_XtRXEEBcRUa1yqz7mvSv6iaNFQF/view?usp=drivesdk" TargetMode="External"/><Relationship Id="rId8" Type="http://schemas.openxmlformats.org/officeDocument/2006/relationships/hyperlink" Target="https://drive.google.com/file/d/16nCR_XtRXEEBcRUa1yqz7mvSv6iaNFQF/view?usp=drivesdk" TargetMode="External"/></Relationships>
</file>

<file path=xl/worksheets/_rels/sheet3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ei5d6nglpMXqoUEGh-kznumcO6KgPXZl/view?usp=drivesdk" TargetMode="External"/><Relationship Id="rId22" Type="http://schemas.openxmlformats.org/officeDocument/2006/relationships/hyperlink" Target="https://drive.google.com/file/d/1ei5d6nglpMXqoUEGh-kznumcO6KgPXZl/view?usp=drivesdk" TargetMode="External"/><Relationship Id="rId21" Type="http://schemas.openxmlformats.org/officeDocument/2006/relationships/hyperlink" Target="https://drive.google.com/file/d/1ei5d6nglpMXqoUEGh-kznumcO6KgPXZl/view?usp=drivesdk" TargetMode="External"/><Relationship Id="rId24" Type="http://schemas.openxmlformats.org/officeDocument/2006/relationships/hyperlink" Target="https://drive.google.com/file/d/1ei5d6nglpMXqoUEGh-kznumcO6KgPXZl/view?usp=drivesdk" TargetMode="External"/><Relationship Id="rId23" Type="http://schemas.openxmlformats.org/officeDocument/2006/relationships/hyperlink" Target="https://drive.google.com/file/d/1ei5d6nglpMXqoUEGh-kznumcO6KgPXZl/view?usp=drivesdk" TargetMode="External"/><Relationship Id="rId26" Type="http://schemas.openxmlformats.org/officeDocument/2006/relationships/hyperlink" Target="https://drive.google.com/file/d/1ei5d6nglpMXqoUEGh-kznumcO6KgPXZl/view?usp=drivesdk" TargetMode="External"/><Relationship Id="rId25" Type="http://schemas.openxmlformats.org/officeDocument/2006/relationships/hyperlink" Target="https://drive.google.com/file/d/1ei5d6nglpMXqoUEGh-kznumcO6KgPXZl/view?usp=drivesdk" TargetMode="External"/><Relationship Id="rId28" Type="http://schemas.openxmlformats.org/officeDocument/2006/relationships/hyperlink" Target="https://drive.google.com/file/d/1ei5d6nglpMXqoUEGh-kznumcO6KgPXZl/view?usp=drivesdk" TargetMode="External"/><Relationship Id="rId27" Type="http://schemas.openxmlformats.org/officeDocument/2006/relationships/hyperlink" Target="https://drive.google.com/file/d/1ei5d6nglpMXqoUEGh-kznumcO6KgPXZl/view?usp=drivesdk" TargetMode="External"/><Relationship Id="rId29" Type="http://schemas.openxmlformats.org/officeDocument/2006/relationships/drawing" Target="../drawings/drawing31.xml"/><Relationship Id="rId11" Type="http://schemas.openxmlformats.org/officeDocument/2006/relationships/hyperlink" Target="https://drive.google.com/file/d/1ei5d6nglpMXqoUEGh-kznumcO6KgPXZl/view?usp=drivesdk" TargetMode="External"/><Relationship Id="rId10" Type="http://schemas.openxmlformats.org/officeDocument/2006/relationships/hyperlink" Target="https://drive.google.com/file/d/1ei5d6nglpMXqoUEGh-kznumcO6KgPXZl/view?usp=drivesdk" TargetMode="External"/><Relationship Id="rId13" Type="http://schemas.openxmlformats.org/officeDocument/2006/relationships/hyperlink" Target="https://drive.google.com/file/d/1ei5d6nglpMXqoUEGh-kznumcO6KgPXZl/view?usp=drivesdk" TargetMode="External"/><Relationship Id="rId12" Type="http://schemas.openxmlformats.org/officeDocument/2006/relationships/hyperlink" Target="https://drive.google.com/file/d/1ei5d6nglpMXqoUEGh-kznumcO6KgPXZl/view?usp=drivesdk" TargetMode="External"/><Relationship Id="rId15" Type="http://schemas.openxmlformats.org/officeDocument/2006/relationships/hyperlink" Target="https://drive.google.com/file/d/1ei5d6nglpMXqoUEGh-kznumcO6KgPXZl/view?usp=drivesdk" TargetMode="External"/><Relationship Id="rId14" Type="http://schemas.openxmlformats.org/officeDocument/2006/relationships/hyperlink" Target="https://drive.google.com/file/d/1ei5d6nglpMXqoUEGh-kznumcO6KgPXZl/view?usp=drivesdk" TargetMode="External"/><Relationship Id="rId17" Type="http://schemas.openxmlformats.org/officeDocument/2006/relationships/hyperlink" Target="https://drive.google.com/file/d/1ei5d6nglpMXqoUEGh-kznumcO6KgPXZl/view?usp=drivesdk" TargetMode="External"/><Relationship Id="rId16" Type="http://schemas.openxmlformats.org/officeDocument/2006/relationships/hyperlink" Target="https://drive.google.com/file/d/1ei5d6nglpMXqoUEGh-kznumcO6KgPXZl/view?usp=drivesdk" TargetMode="External"/><Relationship Id="rId19" Type="http://schemas.openxmlformats.org/officeDocument/2006/relationships/hyperlink" Target="https://drive.google.com/file/d/1ei5d6nglpMXqoUEGh-kznumcO6KgPXZl/view?usp=drivesdk" TargetMode="External"/><Relationship Id="rId18" Type="http://schemas.openxmlformats.org/officeDocument/2006/relationships/hyperlink" Target="https://drive.google.com/file/d/1ei5d6nglpMXqoUEGh-kznumcO6KgPXZl/view?usp=drivesdk" TargetMode="External"/><Relationship Id="rId1" Type="http://schemas.openxmlformats.org/officeDocument/2006/relationships/hyperlink" Target="https://drive.google.com/file/d/1ei5d6nglpMXqoUEGh-kznumcO6KgPXZl/view?usp=drivesdk" TargetMode="External"/><Relationship Id="rId2" Type="http://schemas.openxmlformats.org/officeDocument/2006/relationships/hyperlink" Target="https://drive.google.com/file/d/1ei5d6nglpMXqoUEGh-kznumcO6KgPXZl/view?usp=drivesdk" TargetMode="External"/><Relationship Id="rId3" Type="http://schemas.openxmlformats.org/officeDocument/2006/relationships/hyperlink" Target="https://drive.google.com/file/d/1ei5d6nglpMXqoUEGh-kznumcO6KgPXZl/view?usp=drivesdk" TargetMode="External"/><Relationship Id="rId4" Type="http://schemas.openxmlformats.org/officeDocument/2006/relationships/hyperlink" Target="https://drive.google.com/file/d/1ei5d6nglpMXqoUEGh-kznumcO6KgPXZl/view?usp=drivesdk" TargetMode="External"/><Relationship Id="rId9" Type="http://schemas.openxmlformats.org/officeDocument/2006/relationships/hyperlink" Target="https://drive.google.com/file/d/1ei5d6nglpMXqoUEGh-kznumcO6KgPXZl/view?usp=drivesdk" TargetMode="External"/><Relationship Id="rId5" Type="http://schemas.openxmlformats.org/officeDocument/2006/relationships/hyperlink" Target="https://drive.google.com/file/d/1ei5d6nglpMXqoUEGh-kznumcO6KgPXZl/view?usp=drivesdk" TargetMode="External"/><Relationship Id="rId6" Type="http://schemas.openxmlformats.org/officeDocument/2006/relationships/hyperlink" Target="https://drive.google.com/file/d/1ei5d6nglpMXqoUEGh-kznumcO6KgPXZl/view?usp=drivesdk" TargetMode="External"/><Relationship Id="rId7" Type="http://schemas.openxmlformats.org/officeDocument/2006/relationships/hyperlink" Target="https://drive.google.com/file/d/1ei5d6nglpMXqoUEGh-kznumcO6KgPXZl/view?usp=drivesdk" TargetMode="External"/><Relationship Id="rId8" Type="http://schemas.openxmlformats.org/officeDocument/2006/relationships/hyperlink" Target="https://drive.google.com/file/d/1ei5d6nglpMXqoUEGh-kznumcO6KgPXZl/view?usp=drivesdk" TargetMode="External"/></Relationships>
</file>

<file path=xl/worksheets/_rels/sheet3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OgIsRLs02FAkxFfK80-KwFLRACKw0G7H/view?usp=drivesdk" TargetMode="External"/><Relationship Id="rId10" Type="http://schemas.openxmlformats.org/officeDocument/2006/relationships/hyperlink" Target="https://drive.google.com/file/d/1OgIsRLs02FAkxFfK80-KwFLRACKw0G7H/view?usp=drivesdk" TargetMode="External"/><Relationship Id="rId13" Type="http://schemas.openxmlformats.org/officeDocument/2006/relationships/hyperlink" Target="https://drive.google.com/file/d/1Uh0jhymPT2lAkdoMzCfgRMFF2MrJsECM/view?usp=drivesdk" TargetMode="External"/><Relationship Id="rId12" Type="http://schemas.openxmlformats.org/officeDocument/2006/relationships/hyperlink" Target="https://drive.google.com/file/d/1OgIsRLs02FAkxFfK80-KwFLRACKw0G7H/view?usp=drivesdk" TargetMode="External"/><Relationship Id="rId14" Type="http://schemas.openxmlformats.org/officeDocument/2006/relationships/drawing" Target="../drawings/drawing32.xml"/><Relationship Id="rId1" Type="http://schemas.openxmlformats.org/officeDocument/2006/relationships/hyperlink" Target="https://drive.google.com/file/d/1OgIsRLs02FAkxFfK80-KwFLRACKw0G7H/view?usp=drivesdk" TargetMode="External"/><Relationship Id="rId2" Type="http://schemas.openxmlformats.org/officeDocument/2006/relationships/hyperlink" Target="https://drive.google.com/file/d/1OgIsRLs02FAkxFfK80-KwFLRACKw0G7H/view?usp=drivesdk" TargetMode="External"/><Relationship Id="rId3" Type="http://schemas.openxmlformats.org/officeDocument/2006/relationships/hyperlink" Target="https://drive.google.com/file/d/1OgIsRLs02FAkxFfK80-KwFLRACKw0G7H/view?usp=drivesdk" TargetMode="External"/><Relationship Id="rId4" Type="http://schemas.openxmlformats.org/officeDocument/2006/relationships/hyperlink" Target="https://drive.google.com/file/d/1OgIsRLs02FAkxFfK80-KwFLRACKw0G7H/view?usp=drivesdk" TargetMode="External"/><Relationship Id="rId9" Type="http://schemas.openxmlformats.org/officeDocument/2006/relationships/hyperlink" Target="https://drive.google.com/file/d/1OgIsRLs02FAkxFfK80-KwFLRACKw0G7H/view?usp=drivesdk" TargetMode="External"/><Relationship Id="rId5" Type="http://schemas.openxmlformats.org/officeDocument/2006/relationships/hyperlink" Target="https://drive.google.com/file/d/1OgIsRLs02FAkxFfK80-KwFLRACKw0G7H/view?usp=drivesdk" TargetMode="External"/><Relationship Id="rId6" Type="http://schemas.openxmlformats.org/officeDocument/2006/relationships/hyperlink" Target="https://drive.google.com/file/d/1OgIsRLs02FAkxFfK80-KwFLRACKw0G7H/view?usp=drivesdk" TargetMode="External"/><Relationship Id="rId7" Type="http://schemas.openxmlformats.org/officeDocument/2006/relationships/hyperlink" Target="https://drive.google.com/file/d/1OgIsRLs02FAkxFfK80-KwFLRACKw0G7H/view?usp=drivesdk" TargetMode="External"/><Relationship Id="rId8" Type="http://schemas.openxmlformats.org/officeDocument/2006/relationships/hyperlink" Target="https://drive.google.com/file/d/1OgIsRLs02FAkxFfK80-KwFLRACKw0G7H/view?usp=drivesdk" TargetMode="External"/></Relationships>
</file>

<file path=xl/worksheets/_rels/sheet3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wGRDgDG-g00NmQF1ENAj1iFWRq6SguOT/view?usp=drivesdk" TargetMode="External"/><Relationship Id="rId10" Type="http://schemas.openxmlformats.org/officeDocument/2006/relationships/hyperlink" Target="https://drive.google.com/file/d/1wGRDgDG-g00NmQF1ENAj1iFWRq6SguOT/view?usp=drivesdk" TargetMode="External"/><Relationship Id="rId13" Type="http://schemas.openxmlformats.org/officeDocument/2006/relationships/drawing" Target="../drawings/drawing33.xml"/><Relationship Id="rId12" Type="http://schemas.openxmlformats.org/officeDocument/2006/relationships/hyperlink" Target="https://drive.google.com/file/d/17_4clGeruCwTH-dNXxbdlDIHUe-C-Vi2/view?usp=drivesdk" TargetMode="External"/><Relationship Id="rId1" Type="http://schemas.openxmlformats.org/officeDocument/2006/relationships/hyperlink" Target="https://drive.google.com/file/d/1wGRDgDG-g00NmQF1ENAj1iFWRq6SguOT/view?usp=drivesdk" TargetMode="External"/><Relationship Id="rId2" Type="http://schemas.openxmlformats.org/officeDocument/2006/relationships/hyperlink" Target="https://drive.google.com/file/d/1wGRDgDG-g00NmQF1ENAj1iFWRq6SguOT/view?usp=drivesdk" TargetMode="External"/><Relationship Id="rId3" Type="http://schemas.openxmlformats.org/officeDocument/2006/relationships/hyperlink" Target="https://drive.google.com/file/d/1wGRDgDG-g00NmQF1ENAj1iFWRq6SguOT/view?usp=drivesdk" TargetMode="External"/><Relationship Id="rId4" Type="http://schemas.openxmlformats.org/officeDocument/2006/relationships/hyperlink" Target="https://drive.google.com/file/d/1wGRDgDG-g00NmQF1ENAj1iFWRq6SguOT/view?usp=drivesdk" TargetMode="External"/><Relationship Id="rId9" Type="http://schemas.openxmlformats.org/officeDocument/2006/relationships/hyperlink" Target="https://drive.google.com/file/d/1wGRDgDG-g00NmQF1ENAj1iFWRq6SguOT/view?usp=drivesdk" TargetMode="External"/><Relationship Id="rId5" Type="http://schemas.openxmlformats.org/officeDocument/2006/relationships/hyperlink" Target="https://drive.google.com/file/d/1wGRDgDG-g00NmQF1ENAj1iFWRq6SguOT/view?usp=drivesdk" TargetMode="External"/><Relationship Id="rId6" Type="http://schemas.openxmlformats.org/officeDocument/2006/relationships/hyperlink" Target="https://drive.google.com/file/d/1wGRDgDG-g00NmQF1ENAj1iFWRq6SguOT/view?usp=drivesdk" TargetMode="External"/><Relationship Id="rId7" Type="http://schemas.openxmlformats.org/officeDocument/2006/relationships/hyperlink" Target="https://drive.google.com/file/d/1wGRDgDG-g00NmQF1ENAj1iFWRq6SguOT/view?usp=drivesdk" TargetMode="External"/><Relationship Id="rId8" Type="http://schemas.openxmlformats.org/officeDocument/2006/relationships/hyperlink" Target="https://drive.google.com/file/d/1wGRDgDG-g00NmQF1ENAj1iFWRq6SguOT/view?usp=drivesdk" TargetMode="External"/></Relationships>
</file>

<file path=xl/worksheets/_rels/sheet3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OR-hT3KGkBd7JrGId8IbkX6quMhDUvOr/view?usp=drivesdk" TargetMode="External"/><Relationship Id="rId10" Type="http://schemas.openxmlformats.org/officeDocument/2006/relationships/hyperlink" Target="https://drive.google.com/file/d/1OR-hT3KGkBd7JrGId8IbkX6quMhDUvOr/view?usp=drivesdk" TargetMode="External"/><Relationship Id="rId13" Type="http://schemas.openxmlformats.org/officeDocument/2006/relationships/hyperlink" Target="https://drive.google.com/file/d/1OR-hT3KGkBd7JrGId8IbkX6quMhDUvOr/view?usp=drivesdk" TargetMode="External"/><Relationship Id="rId12" Type="http://schemas.openxmlformats.org/officeDocument/2006/relationships/hyperlink" Target="https://drive.google.com/file/d/1OR-hT3KGkBd7JrGId8IbkX6quMhDUvOr/view?usp=drivesdk" TargetMode="External"/><Relationship Id="rId15" Type="http://schemas.openxmlformats.org/officeDocument/2006/relationships/hyperlink" Target="https://drive.google.com/file/d/1OR-hT3KGkBd7JrGId8IbkX6quMhDUvOr/view?usp=drivesdk" TargetMode="External"/><Relationship Id="rId14" Type="http://schemas.openxmlformats.org/officeDocument/2006/relationships/hyperlink" Target="https://drive.google.com/file/d/1OR-hT3KGkBd7JrGId8IbkX6quMhDUvOr/view?usp=drivesdk" TargetMode="External"/><Relationship Id="rId16" Type="http://schemas.openxmlformats.org/officeDocument/2006/relationships/drawing" Target="../drawings/drawing34.xml"/><Relationship Id="rId1" Type="http://schemas.openxmlformats.org/officeDocument/2006/relationships/hyperlink" Target="https://drive.google.com/file/d/1OR-hT3KGkBd7JrGId8IbkX6quMhDUvOr/view?usp=drivesdk" TargetMode="External"/><Relationship Id="rId2" Type="http://schemas.openxmlformats.org/officeDocument/2006/relationships/hyperlink" Target="https://drive.google.com/file/d/1OR-hT3KGkBd7JrGId8IbkX6quMhDUvOr/view?usp=drivesdk" TargetMode="External"/><Relationship Id="rId3" Type="http://schemas.openxmlformats.org/officeDocument/2006/relationships/hyperlink" Target="https://drive.google.com/file/d/1OR-hT3KGkBd7JrGId8IbkX6quMhDUvOr/view?usp=drivesdk" TargetMode="External"/><Relationship Id="rId4" Type="http://schemas.openxmlformats.org/officeDocument/2006/relationships/hyperlink" Target="https://drive.google.com/file/d/1OR-hT3KGkBd7JrGId8IbkX6quMhDUvOr/view?usp=drivesdk" TargetMode="External"/><Relationship Id="rId9" Type="http://schemas.openxmlformats.org/officeDocument/2006/relationships/hyperlink" Target="https://drive.google.com/file/d/1OR-hT3KGkBd7JrGId8IbkX6quMhDUvOr/view?usp=drivesdk" TargetMode="External"/><Relationship Id="rId5" Type="http://schemas.openxmlformats.org/officeDocument/2006/relationships/hyperlink" Target="https://drive.google.com/file/d/1OR-hT3KGkBd7JrGId8IbkX6quMhDUvOr/view?usp=drivesdk" TargetMode="External"/><Relationship Id="rId6" Type="http://schemas.openxmlformats.org/officeDocument/2006/relationships/hyperlink" Target="https://drive.google.com/file/d/1OR-hT3KGkBd7JrGId8IbkX6quMhDUvOr/view?usp=drivesdk" TargetMode="External"/><Relationship Id="rId7" Type="http://schemas.openxmlformats.org/officeDocument/2006/relationships/hyperlink" Target="https://drive.google.com/file/d/1OR-hT3KGkBd7JrGId8IbkX6quMhDUvOr/view?usp=drivesdk" TargetMode="External"/><Relationship Id="rId8" Type="http://schemas.openxmlformats.org/officeDocument/2006/relationships/hyperlink" Target="https://drive.google.com/file/d/1OR-hT3KGkBd7JrGId8IbkX6quMhDUvOr/view?usp=drivesdk" TargetMode="External"/></Relationships>
</file>

<file path=xl/worksheets/_rels/sheet3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JVtapxQcU45_hydUPrFsrkd3yTWnGI6W/view?usp=drivesdk" TargetMode="External"/><Relationship Id="rId22" Type="http://schemas.openxmlformats.org/officeDocument/2006/relationships/hyperlink" Target="https://drive.google.com/file/d/1JVtapxQcU45_hydUPrFsrkd3yTWnGI6W/view?usp=drivesdk" TargetMode="External"/><Relationship Id="rId21" Type="http://schemas.openxmlformats.org/officeDocument/2006/relationships/hyperlink" Target="https://drive.google.com/file/d/1JVtapxQcU45_hydUPrFsrkd3yTWnGI6W/view?usp=drivesdk" TargetMode="External"/><Relationship Id="rId24" Type="http://schemas.openxmlformats.org/officeDocument/2006/relationships/hyperlink" Target="https://drive.google.com/file/d/1JVtapxQcU45_hydUPrFsrkd3yTWnGI6W/view?usp=drivesdk" TargetMode="External"/><Relationship Id="rId23" Type="http://schemas.openxmlformats.org/officeDocument/2006/relationships/hyperlink" Target="https://drive.google.com/file/d/1JVtapxQcU45_hydUPrFsrkd3yTWnGI6W/view?usp=drivesdk" TargetMode="External"/><Relationship Id="rId26" Type="http://schemas.openxmlformats.org/officeDocument/2006/relationships/hyperlink" Target="https://drive.google.com/file/d/1JVtapxQcU45_hydUPrFsrkd3yTWnGI6W/view?usp=drivesdk" TargetMode="External"/><Relationship Id="rId25" Type="http://schemas.openxmlformats.org/officeDocument/2006/relationships/hyperlink" Target="https://drive.google.com/file/d/1JVtapxQcU45_hydUPrFsrkd3yTWnGI6W/view?usp=drivesdk" TargetMode="External"/><Relationship Id="rId28" Type="http://schemas.openxmlformats.org/officeDocument/2006/relationships/drawing" Target="../drawings/drawing35.xml"/><Relationship Id="rId27" Type="http://schemas.openxmlformats.org/officeDocument/2006/relationships/hyperlink" Target="https://drive.google.com/file/d/1TkF92flcKBG99oQEhbiap-ZTImS-Fzdv/view?usp=drivesdk" TargetMode="External"/><Relationship Id="rId11" Type="http://schemas.openxmlformats.org/officeDocument/2006/relationships/hyperlink" Target="https://drive.google.com/file/d/1JVtapxQcU45_hydUPrFsrkd3yTWnGI6W/view?usp=drivesdk" TargetMode="External"/><Relationship Id="rId10" Type="http://schemas.openxmlformats.org/officeDocument/2006/relationships/hyperlink" Target="https://drive.google.com/file/d/1JVtapxQcU45_hydUPrFsrkd3yTWnGI6W/view?usp=drivesdk" TargetMode="External"/><Relationship Id="rId13" Type="http://schemas.openxmlformats.org/officeDocument/2006/relationships/hyperlink" Target="https://drive.google.com/file/d/1JVtapxQcU45_hydUPrFsrkd3yTWnGI6W/view?usp=drivesdk" TargetMode="External"/><Relationship Id="rId12" Type="http://schemas.openxmlformats.org/officeDocument/2006/relationships/hyperlink" Target="https://drive.google.com/file/d/1JVtapxQcU45_hydUPrFsrkd3yTWnGI6W/view?usp=drivesdk" TargetMode="External"/><Relationship Id="rId15" Type="http://schemas.openxmlformats.org/officeDocument/2006/relationships/hyperlink" Target="https://drive.google.com/file/d/1JVtapxQcU45_hydUPrFsrkd3yTWnGI6W/view?usp=drivesdk" TargetMode="External"/><Relationship Id="rId14" Type="http://schemas.openxmlformats.org/officeDocument/2006/relationships/hyperlink" Target="https://drive.google.com/file/d/1JVtapxQcU45_hydUPrFsrkd3yTWnGI6W/view?usp=drivesdk" TargetMode="External"/><Relationship Id="rId17" Type="http://schemas.openxmlformats.org/officeDocument/2006/relationships/hyperlink" Target="https://drive.google.com/file/d/1JVtapxQcU45_hydUPrFsrkd3yTWnGI6W/view?usp=drivesdk" TargetMode="External"/><Relationship Id="rId16" Type="http://schemas.openxmlformats.org/officeDocument/2006/relationships/hyperlink" Target="https://drive.google.com/file/d/1JVtapxQcU45_hydUPrFsrkd3yTWnGI6W/view?usp=drivesdk" TargetMode="External"/><Relationship Id="rId19" Type="http://schemas.openxmlformats.org/officeDocument/2006/relationships/hyperlink" Target="https://drive.google.com/file/d/1JVtapxQcU45_hydUPrFsrkd3yTWnGI6W/view?usp=drivesdk" TargetMode="External"/><Relationship Id="rId18" Type="http://schemas.openxmlformats.org/officeDocument/2006/relationships/hyperlink" Target="https://drive.google.com/file/d/1JVtapxQcU45_hydUPrFsrkd3yTWnGI6W/view?usp=drivesdk" TargetMode="External"/><Relationship Id="rId1" Type="http://schemas.openxmlformats.org/officeDocument/2006/relationships/hyperlink" Target="https://drive.google.com/file/d/1JVtapxQcU45_hydUPrFsrkd3yTWnGI6W/view?usp=drivesdk" TargetMode="External"/><Relationship Id="rId2" Type="http://schemas.openxmlformats.org/officeDocument/2006/relationships/hyperlink" Target="https://drive.google.com/file/d/1JVtapxQcU45_hydUPrFsrkd3yTWnGI6W/view?usp=drivesdk" TargetMode="External"/><Relationship Id="rId3" Type="http://schemas.openxmlformats.org/officeDocument/2006/relationships/hyperlink" Target="https://drive.google.com/file/d/1JVtapxQcU45_hydUPrFsrkd3yTWnGI6W/view?usp=drivesdk" TargetMode="External"/><Relationship Id="rId4" Type="http://schemas.openxmlformats.org/officeDocument/2006/relationships/hyperlink" Target="https://drive.google.com/file/d/1JVtapxQcU45_hydUPrFsrkd3yTWnGI6W/view?usp=drivesdk" TargetMode="External"/><Relationship Id="rId9" Type="http://schemas.openxmlformats.org/officeDocument/2006/relationships/hyperlink" Target="https://drive.google.com/file/d/1JVtapxQcU45_hydUPrFsrkd3yTWnGI6W/view?usp=drivesdk" TargetMode="External"/><Relationship Id="rId5" Type="http://schemas.openxmlformats.org/officeDocument/2006/relationships/hyperlink" Target="https://drive.google.com/file/d/1JVtapxQcU45_hydUPrFsrkd3yTWnGI6W/view?usp=drivesdk" TargetMode="External"/><Relationship Id="rId6" Type="http://schemas.openxmlformats.org/officeDocument/2006/relationships/hyperlink" Target="https://drive.google.com/file/d/1JVtapxQcU45_hydUPrFsrkd3yTWnGI6W/view?usp=drivesdk" TargetMode="External"/><Relationship Id="rId7" Type="http://schemas.openxmlformats.org/officeDocument/2006/relationships/hyperlink" Target="https://drive.google.com/file/d/1JVtapxQcU45_hydUPrFsrkd3yTWnGI6W/view?usp=drivesdk" TargetMode="External"/><Relationship Id="rId8" Type="http://schemas.openxmlformats.org/officeDocument/2006/relationships/hyperlink" Target="https://drive.google.com/file/d/1JVtapxQcU45_hydUPrFsrkd3yTWnGI6W/view?usp=drivesdk" TargetMode="External"/></Relationships>
</file>

<file path=xl/worksheets/_rels/sheet3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ZjTNNJj6F64hgQRrdEhB_kf1w4qOaHgi/view?usp=drivesdk" TargetMode="External"/><Relationship Id="rId22" Type="http://schemas.openxmlformats.org/officeDocument/2006/relationships/hyperlink" Target="https://drive.google.com/file/d/1ZjTNNJj6F64hgQRrdEhB_kf1w4qOaHgi/view?usp=drivesdk" TargetMode="External"/><Relationship Id="rId21" Type="http://schemas.openxmlformats.org/officeDocument/2006/relationships/hyperlink" Target="https://drive.google.com/file/d/1ZjTNNJj6F64hgQRrdEhB_kf1w4qOaHgi/view?usp=drivesdk" TargetMode="External"/><Relationship Id="rId24" Type="http://schemas.openxmlformats.org/officeDocument/2006/relationships/drawing" Target="../drawings/drawing36.xml"/><Relationship Id="rId23" Type="http://schemas.openxmlformats.org/officeDocument/2006/relationships/hyperlink" Target="https://drive.google.com/file/d/1ZjTNNJj6F64hgQRrdEhB_kf1w4qOaHgi/view?usp=drivesdk" TargetMode="External"/><Relationship Id="rId11" Type="http://schemas.openxmlformats.org/officeDocument/2006/relationships/hyperlink" Target="https://drive.google.com/file/d/1rVdH1DF_Yv8gY2ffBxpkyNyB-OtUb-3E/view?usp=drivesdk" TargetMode="External"/><Relationship Id="rId10" Type="http://schemas.openxmlformats.org/officeDocument/2006/relationships/hyperlink" Target="https://drive.google.com/file/d/1rVdH1DF_Yv8gY2ffBxpkyNyB-OtUb-3E/view?usp=drivesdk" TargetMode="External"/><Relationship Id="rId13" Type="http://schemas.openxmlformats.org/officeDocument/2006/relationships/hyperlink" Target="https://drive.google.com/file/d/1rVdH1DF_Yv8gY2ffBxpkyNyB-OtUb-3E/view?usp=drivesdk" TargetMode="External"/><Relationship Id="rId12" Type="http://schemas.openxmlformats.org/officeDocument/2006/relationships/hyperlink" Target="https://drive.google.com/file/d/1rVdH1DF_Yv8gY2ffBxpkyNyB-OtUb-3E/view?usp=drivesdk" TargetMode="External"/><Relationship Id="rId15" Type="http://schemas.openxmlformats.org/officeDocument/2006/relationships/hyperlink" Target="https://drive.google.com/file/d/13q8g6_yviJUgrw7_o7JaeKFZqD7KksZi/view?usp=drivesdk" TargetMode="External"/><Relationship Id="rId14" Type="http://schemas.openxmlformats.org/officeDocument/2006/relationships/hyperlink" Target="https://drive.google.com/file/d/13q8g6_yviJUgrw7_o7JaeKFZqD7KksZi/view?usp=drivesdk" TargetMode="External"/><Relationship Id="rId17" Type="http://schemas.openxmlformats.org/officeDocument/2006/relationships/hyperlink" Target="https://drive.google.com/file/d/13q8g6_yviJUgrw7_o7JaeKFZqD7KksZi/view?usp=drivesdk" TargetMode="External"/><Relationship Id="rId16" Type="http://schemas.openxmlformats.org/officeDocument/2006/relationships/hyperlink" Target="https://drive.google.com/file/d/13q8g6_yviJUgrw7_o7JaeKFZqD7KksZi/view?usp=drivesdk" TargetMode="External"/><Relationship Id="rId19" Type="http://schemas.openxmlformats.org/officeDocument/2006/relationships/hyperlink" Target="https://drive.google.com/file/d/1ZjTNNJj6F64hgQRrdEhB_kf1w4qOaHgi/view?usp=drivesdk" TargetMode="External"/><Relationship Id="rId18" Type="http://schemas.openxmlformats.org/officeDocument/2006/relationships/hyperlink" Target="https://drive.google.com/file/d/13q8g6_yviJUgrw7_o7JaeKFZqD7KksZi/view?usp=drivesdk" TargetMode="External"/><Relationship Id="rId1" Type="http://schemas.openxmlformats.org/officeDocument/2006/relationships/hyperlink" Target="https://drive.google.com/file/d/1rVdH1DF_Yv8gY2ffBxpkyNyB-OtUb-3E/view?usp=drivesdk" TargetMode="External"/><Relationship Id="rId2" Type="http://schemas.openxmlformats.org/officeDocument/2006/relationships/hyperlink" Target="https://drive.google.com/file/d/1rVdH1DF_Yv8gY2ffBxpkyNyB-OtUb-3E/view?usp=drivesdk" TargetMode="External"/><Relationship Id="rId3" Type="http://schemas.openxmlformats.org/officeDocument/2006/relationships/hyperlink" Target="https://drive.google.com/file/d/1rVdH1DF_Yv8gY2ffBxpkyNyB-OtUb-3E/view?usp=drivesdk" TargetMode="External"/><Relationship Id="rId4" Type="http://schemas.openxmlformats.org/officeDocument/2006/relationships/hyperlink" Target="https://drive.google.com/file/d/1rVdH1DF_Yv8gY2ffBxpkyNyB-OtUb-3E/view?usp=drivesdk" TargetMode="External"/><Relationship Id="rId9" Type="http://schemas.openxmlformats.org/officeDocument/2006/relationships/hyperlink" Target="https://drive.google.com/file/d/1rVdH1DF_Yv8gY2ffBxpkyNyB-OtUb-3E/view?usp=drivesdk" TargetMode="External"/><Relationship Id="rId5" Type="http://schemas.openxmlformats.org/officeDocument/2006/relationships/hyperlink" Target="https://drive.google.com/file/d/1rVdH1DF_Yv8gY2ffBxpkyNyB-OtUb-3E/view?usp=drivesdk" TargetMode="External"/><Relationship Id="rId6" Type="http://schemas.openxmlformats.org/officeDocument/2006/relationships/hyperlink" Target="https://drive.google.com/file/d/1rVdH1DF_Yv8gY2ffBxpkyNyB-OtUb-3E/view?usp=drivesdk" TargetMode="External"/><Relationship Id="rId7" Type="http://schemas.openxmlformats.org/officeDocument/2006/relationships/hyperlink" Target="https://drive.google.com/file/d/1rVdH1DF_Yv8gY2ffBxpkyNyB-OtUb-3E/view?usp=drivesdk" TargetMode="External"/><Relationship Id="rId8" Type="http://schemas.openxmlformats.org/officeDocument/2006/relationships/hyperlink" Target="https://drive.google.com/file/d/1rVdH1DF_Yv8gY2ffBxpkyNyB-OtUb-3E/view?usp=drivesdk" TargetMode="External"/></Relationships>
</file>

<file path=xl/worksheets/_rels/sheet3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kLgX5IBzSQogMxEajzisizmhFAeJLzPL/view?usp=drivesdk" TargetMode="External"/><Relationship Id="rId10" Type="http://schemas.openxmlformats.org/officeDocument/2006/relationships/hyperlink" Target="https://drive.google.com/file/d/1kLgX5IBzSQogMxEajzisizmhFAeJLzPL/view?usp=drivesdk" TargetMode="External"/><Relationship Id="rId12" Type="http://schemas.openxmlformats.org/officeDocument/2006/relationships/drawing" Target="../drawings/drawing37.xml"/><Relationship Id="rId1" Type="http://schemas.openxmlformats.org/officeDocument/2006/relationships/hyperlink" Target="https://drive.google.com/file/d/1kLgX5IBzSQogMxEajzisizmhFAeJLzPL/view?usp=drivesdk" TargetMode="External"/><Relationship Id="rId2" Type="http://schemas.openxmlformats.org/officeDocument/2006/relationships/hyperlink" Target="https://drive.google.com/file/d/1kLgX5IBzSQogMxEajzisizmhFAeJLzPL/view?usp=drivesdk" TargetMode="External"/><Relationship Id="rId3" Type="http://schemas.openxmlformats.org/officeDocument/2006/relationships/hyperlink" Target="https://drive.google.com/file/d/1kLgX5IBzSQogMxEajzisizmhFAeJLzPL/view?usp=drivesdk" TargetMode="External"/><Relationship Id="rId4" Type="http://schemas.openxmlformats.org/officeDocument/2006/relationships/hyperlink" Target="https://drive.google.com/file/d/1kLgX5IBzSQogMxEajzisizmhFAeJLzPL/view?usp=drivesdk" TargetMode="External"/><Relationship Id="rId9" Type="http://schemas.openxmlformats.org/officeDocument/2006/relationships/hyperlink" Target="https://drive.google.com/file/d/1kLgX5IBzSQogMxEajzisizmhFAeJLzPL/view?usp=drivesdk" TargetMode="External"/><Relationship Id="rId5" Type="http://schemas.openxmlformats.org/officeDocument/2006/relationships/hyperlink" Target="https://drive.google.com/file/d/1kLgX5IBzSQogMxEajzisizmhFAeJLzPL/view?usp=drivesdk" TargetMode="External"/><Relationship Id="rId6" Type="http://schemas.openxmlformats.org/officeDocument/2006/relationships/hyperlink" Target="https://drive.google.com/file/d/1kLgX5IBzSQogMxEajzisizmhFAeJLzPL/view?usp=drivesdk" TargetMode="External"/><Relationship Id="rId7" Type="http://schemas.openxmlformats.org/officeDocument/2006/relationships/hyperlink" Target="https://drive.google.com/file/d/1kLgX5IBzSQogMxEajzisizmhFAeJLzPL/view?usp=drivesdk" TargetMode="External"/><Relationship Id="rId8" Type="http://schemas.openxmlformats.org/officeDocument/2006/relationships/hyperlink" Target="https://drive.google.com/file/d/1kLgX5IBzSQogMxEajzisizmhFAeJLzPL/view?usp=drivesdk" TargetMode="External"/></Relationships>
</file>

<file path=xl/worksheets/_rels/sheet38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EycvXV4PWYF-bhIOTNsbnmi-WUukyPFD/view?usp=drivesdk" TargetMode="External"/><Relationship Id="rId10" Type="http://schemas.openxmlformats.org/officeDocument/2006/relationships/hyperlink" Target="https://drive.google.com/file/d/1EycvXV4PWYF-bhIOTNsbnmi-WUukyPFD/view?usp=drivesdk" TargetMode="External"/><Relationship Id="rId13" Type="http://schemas.openxmlformats.org/officeDocument/2006/relationships/hyperlink" Target="https://drive.google.com/file/d/1EycvXV4PWYF-bhIOTNsbnmi-WUukyPFD/view?usp=drivesdk" TargetMode="External"/><Relationship Id="rId12" Type="http://schemas.openxmlformats.org/officeDocument/2006/relationships/hyperlink" Target="https://drive.google.com/file/d/1EycvXV4PWYF-bhIOTNsbnmi-WUukyPFD/view?usp=drivesdk" TargetMode="External"/><Relationship Id="rId15" Type="http://schemas.openxmlformats.org/officeDocument/2006/relationships/hyperlink" Target="https://drive.google.com/file/d/1i8j1FNGGnzJQfa2viBVCBKQ8JHmRQJEk/view?usp=drivesdk" TargetMode="External"/><Relationship Id="rId14" Type="http://schemas.openxmlformats.org/officeDocument/2006/relationships/hyperlink" Target="https://drive.google.com/file/d/1EycvXV4PWYF-bhIOTNsbnmi-WUukyPFD/view?usp=drivesdk" TargetMode="External"/><Relationship Id="rId16" Type="http://schemas.openxmlformats.org/officeDocument/2006/relationships/drawing" Target="../drawings/drawing38.xml"/><Relationship Id="rId1" Type="http://schemas.openxmlformats.org/officeDocument/2006/relationships/hyperlink" Target="https://drive.google.com/file/d/1EycvXV4PWYF-bhIOTNsbnmi-WUukyPFD/view?usp=drivesdk" TargetMode="External"/><Relationship Id="rId2" Type="http://schemas.openxmlformats.org/officeDocument/2006/relationships/hyperlink" Target="https://drive.google.com/file/d/1EycvXV4PWYF-bhIOTNsbnmi-WUukyPFD/view?usp=drivesdk" TargetMode="External"/><Relationship Id="rId3" Type="http://schemas.openxmlformats.org/officeDocument/2006/relationships/hyperlink" Target="https://drive.google.com/file/d/1EycvXV4PWYF-bhIOTNsbnmi-WUukyPFD/view?usp=drivesdk" TargetMode="External"/><Relationship Id="rId4" Type="http://schemas.openxmlformats.org/officeDocument/2006/relationships/hyperlink" Target="https://drive.google.com/file/d/1EycvXV4PWYF-bhIOTNsbnmi-WUukyPFD/view?usp=drivesdk" TargetMode="External"/><Relationship Id="rId9" Type="http://schemas.openxmlformats.org/officeDocument/2006/relationships/hyperlink" Target="https://drive.google.com/file/d/1EycvXV4PWYF-bhIOTNsbnmi-WUukyPFD/view?usp=drivesdk" TargetMode="External"/><Relationship Id="rId5" Type="http://schemas.openxmlformats.org/officeDocument/2006/relationships/hyperlink" Target="https://drive.google.com/file/d/1EycvXV4PWYF-bhIOTNsbnmi-WUukyPFD/view?usp=drivesdk" TargetMode="External"/><Relationship Id="rId6" Type="http://schemas.openxmlformats.org/officeDocument/2006/relationships/hyperlink" Target="https://drive.google.com/file/d/1EycvXV4PWYF-bhIOTNsbnmi-WUukyPFD/view?usp=drivesdk" TargetMode="External"/><Relationship Id="rId7" Type="http://schemas.openxmlformats.org/officeDocument/2006/relationships/hyperlink" Target="https://drive.google.com/file/d/1EycvXV4PWYF-bhIOTNsbnmi-WUukyPFD/view?usp=drivesdk" TargetMode="External"/><Relationship Id="rId8" Type="http://schemas.openxmlformats.org/officeDocument/2006/relationships/hyperlink" Target="https://drive.google.com/file/d/1EycvXV4PWYF-bhIOTNsbnmi-WUukyPFD/view?usp=drivesdk" TargetMode="Externa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VFGlCbUcYvdY4rba_69-UvJ2PIHtW0M/view?usp=drivesdk" TargetMode="External"/><Relationship Id="rId2" Type="http://schemas.openxmlformats.org/officeDocument/2006/relationships/hyperlink" Target="https://drive.google.com/file/d/1xVFGlCbUcYvdY4rba_69-UvJ2PIHtW0M/view?usp=drivesdk" TargetMode="External"/><Relationship Id="rId3" Type="http://schemas.openxmlformats.org/officeDocument/2006/relationships/hyperlink" Target="https://drive.google.com/file/d/1xVFGlCbUcYvdY4rba_69-UvJ2PIHtW0M/view?usp=drivesdk" TargetMode="External"/><Relationship Id="rId4" Type="http://schemas.openxmlformats.org/officeDocument/2006/relationships/hyperlink" Target="https://drive.google.com/file/d/1xVFGlCbUcYvdY4rba_69-UvJ2PIHtW0M/view?usp=drivesdk" TargetMode="External"/><Relationship Id="rId9" Type="http://schemas.openxmlformats.org/officeDocument/2006/relationships/drawing" Target="../drawings/drawing39.xml"/><Relationship Id="rId5" Type="http://schemas.openxmlformats.org/officeDocument/2006/relationships/hyperlink" Target="https://drive.google.com/file/d/1xVFGlCbUcYvdY4rba_69-UvJ2PIHtW0M/view?usp=drivesdk" TargetMode="External"/><Relationship Id="rId6" Type="http://schemas.openxmlformats.org/officeDocument/2006/relationships/hyperlink" Target="https://drive.google.com/file/d/1xVFGlCbUcYvdY4rba_69-UvJ2PIHtW0M/view?usp=drivesdk" TargetMode="External"/><Relationship Id="rId7" Type="http://schemas.openxmlformats.org/officeDocument/2006/relationships/hyperlink" Target="https://drive.google.com/file/d/1xVFGlCbUcYvdY4rba_69-UvJ2PIHtW0M/view?usp=drivesdk" TargetMode="External"/><Relationship Id="rId8" Type="http://schemas.openxmlformats.org/officeDocument/2006/relationships/hyperlink" Target="https://drive.google.com/file/d/1xVFGlCbUcYvdY4rba_69-UvJ2PIHtW0M/view?usp=drivesdk" TargetMode="External"/></Relationships>
</file>

<file path=xl/worksheets/_rels/sheet40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Ok_Q3brJMM_GOr4tzU3O2ODLZDHnrMO6/view?usp=drivesdk" TargetMode="External"/><Relationship Id="rId22" Type="http://schemas.openxmlformats.org/officeDocument/2006/relationships/hyperlink" Target="https://drive.google.com/file/d/1Ok_Q3brJMM_GOr4tzU3O2ODLZDHnrMO6/view?usp=drivesdk" TargetMode="External"/><Relationship Id="rId21" Type="http://schemas.openxmlformats.org/officeDocument/2006/relationships/hyperlink" Target="https://drive.google.com/file/d/1Ok_Q3brJMM_GOr4tzU3O2ODLZDHnrMO6/view?usp=drivesdk" TargetMode="External"/><Relationship Id="rId23" Type="http://schemas.openxmlformats.org/officeDocument/2006/relationships/drawing" Target="../drawings/drawing40.xml"/><Relationship Id="rId11" Type="http://schemas.openxmlformats.org/officeDocument/2006/relationships/hyperlink" Target="https://drive.google.com/file/d/1YpJkgA0MhIe8kqNVMvn9iC72HvCQfbmN/view?usp=drivesdk" TargetMode="External"/><Relationship Id="rId10" Type="http://schemas.openxmlformats.org/officeDocument/2006/relationships/hyperlink" Target="https://drive.google.com/file/d/1YpJkgA0MhIe8kqNVMvn9iC72HvCQfbmN/view?usp=drivesdk" TargetMode="External"/><Relationship Id="rId13" Type="http://schemas.openxmlformats.org/officeDocument/2006/relationships/hyperlink" Target="https://drive.google.com/file/d/1Ok_Q3brJMM_GOr4tzU3O2ODLZDHnrMO6/view?usp=drivesdk" TargetMode="External"/><Relationship Id="rId12" Type="http://schemas.openxmlformats.org/officeDocument/2006/relationships/hyperlink" Target="https://drive.google.com/file/d/1YpJkgA0MhIe8kqNVMvn9iC72HvCQfbmN/view?usp=drivesdk" TargetMode="External"/><Relationship Id="rId15" Type="http://schemas.openxmlformats.org/officeDocument/2006/relationships/hyperlink" Target="https://drive.google.com/file/d/1Ok_Q3brJMM_GOr4tzU3O2ODLZDHnrMO6/view?usp=drivesdk" TargetMode="External"/><Relationship Id="rId14" Type="http://schemas.openxmlformats.org/officeDocument/2006/relationships/hyperlink" Target="https://drive.google.com/file/d/1Ok_Q3brJMM_GOr4tzU3O2ODLZDHnrMO6/view?usp=drivesdk" TargetMode="External"/><Relationship Id="rId17" Type="http://schemas.openxmlformats.org/officeDocument/2006/relationships/hyperlink" Target="https://drive.google.com/file/d/1Ok_Q3brJMM_GOr4tzU3O2ODLZDHnrMO6/view?usp=drivesdk" TargetMode="External"/><Relationship Id="rId16" Type="http://schemas.openxmlformats.org/officeDocument/2006/relationships/hyperlink" Target="https://drive.google.com/file/d/1Ok_Q3brJMM_GOr4tzU3O2ODLZDHnrMO6/view?usp=drivesdk" TargetMode="External"/><Relationship Id="rId19" Type="http://schemas.openxmlformats.org/officeDocument/2006/relationships/hyperlink" Target="https://drive.google.com/file/d/1Ok_Q3brJMM_GOr4tzU3O2ODLZDHnrMO6/view?usp=drivesdk" TargetMode="External"/><Relationship Id="rId18" Type="http://schemas.openxmlformats.org/officeDocument/2006/relationships/hyperlink" Target="https://drive.google.com/file/d/1Ok_Q3brJMM_GOr4tzU3O2ODLZDHnrMO6/view?usp=drivesdk" TargetMode="External"/><Relationship Id="rId1" Type="http://schemas.openxmlformats.org/officeDocument/2006/relationships/hyperlink" Target="https://drive.google.com/file/d/1uVCcyL34mgWsJ17CW5g6hx1hBEDngvWn/view?usp=drivesdk" TargetMode="External"/><Relationship Id="rId2" Type="http://schemas.openxmlformats.org/officeDocument/2006/relationships/hyperlink" Target="https://drive.google.com/file/d/1uVCcyL34mgWsJ17CW5g6hx1hBEDngvWn/view?usp=drivesdk" TargetMode="External"/><Relationship Id="rId3" Type="http://schemas.openxmlformats.org/officeDocument/2006/relationships/hyperlink" Target="https://drive.google.com/file/d/1uVCcyL34mgWsJ17CW5g6hx1hBEDngvWn/view?usp=drivesdk" TargetMode="External"/><Relationship Id="rId4" Type="http://schemas.openxmlformats.org/officeDocument/2006/relationships/hyperlink" Target="https://drive.google.com/file/d/1uVCcyL34mgWsJ17CW5g6hx1hBEDngvWn/view?usp=drivesdk" TargetMode="External"/><Relationship Id="rId9" Type="http://schemas.openxmlformats.org/officeDocument/2006/relationships/hyperlink" Target="https://drive.google.com/file/d/1YpJkgA0MhIe8kqNVMvn9iC72HvCQfbmN/view?usp=drivesdk" TargetMode="External"/><Relationship Id="rId5" Type="http://schemas.openxmlformats.org/officeDocument/2006/relationships/hyperlink" Target="https://drive.google.com/file/d/1uVCcyL34mgWsJ17CW5g6hx1hBEDngvWn/view?usp=drivesdk" TargetMode="External"/><Relationship Id="rId6" Type="http://schemas.openxmlformats.org/officeDocument/2006/relationships/hyperlink" Target="https://drive.google.com/file/d/1uVCcyL34mgWsJ17CW5g6hx1hBEDngvWn/view?usp=drivesdk" TargetMode="External"/><Relationship Id="rId7" Type="http://schemas.openxmlformats.org/officeDocument/2006/relationships/hyperlink" Target="https://drive.google.com/file/d/1uVCcyL34mgWsJ17CW5g6hx1hBEDngvWn/view?usp=drivesdk" TargetMode="External"/><Relationship Id="rId8" Type="http://schemas.openxmlformats.org/officeDocument/2006/relationships/hyperlink" Target="https://drive.google.com/file/d/1uVCcyL34mgWsJ17CW5g6hx1hBEDngvWn/view?usp=drivesdk" TargetMode="External"/></Relationships>
</file>

<file path=xl/worksheets/_rels/sheet4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8NV_Llzg2TcwPb8kjXuYReGuJ5gtTuH/view?usp=drivesdk" TargetMode="External"/><Relationship Id="rId10" Type="http://schemas.openxmlformats.org/officeDocument/2006/relationships/hyperlink" Target="https://drive.google.com/file/d/1U8NV_Llzg2TcwPb8kjXuYReGuJ5gtTuH/view?usp=drivesdk" TargetMode="External"/><Relationship Id="rId13" Type="http://schemas.openxmlformats.org/officeDocument/2006/relationships/drawing" Target="../drawings/drawing41.xml"/><Relationship Id="rId12" Type="http://schemas.openxmlformats.org/officeDocument/2006/relationships/hyperlink" Target="https://drive.google.com/file/d/1F99-jSXTh7n6wEJC3MRg-qbfU6ybm3hD/view?usp=drivesdk" TargetMode="External"/><Relationship Id="rId1" Type="http://schemas.openxmlformats.org/officeDocument/2006/relationships/hyperlink" Target="https://drive.google.com/file/d/1U8NV_Llzg2TcwPb8kjXuYReGuJ5gtTuH/view?usp=drivesdk" TargetMode="External"/><Relationship Id="rId2" Type="http://schemas.openxmlformats.org/officeDocument/2006/relationships/hyperlink" Target="https://drive.google.com/file/d/1U8NV_Llzg2TcwPb8kjXuYReGuJ5gtTuH/view?usp=drivesdk" TargetMode="External"/><Relationship Id="rId3" Type="http://schemas.openxmlformats.org/officeDocument/2006/relationships/hyperlink" Target="https://drive.google.com/file/d/1U8NV_Llzg2TcwPb8kjXuYReGuJ5gtTuH/view?usp=drivesdk" TargetMode="External"/><Relationship Id="rId4" Type="http://schemas.openxmlformats.org/officeDocument/2006/relationships/hyperlink" Target="https://drive.google.com/file/d/1U8NV_Llzg2TcwPb8kjXuYReGuJ5gtTuH/view?usp=drivesdk" TargetMode="External"/><Relationship Id="rId9" Type="http://schemas.openxmlformats.org/officeDocument/2006/relationships/hyperlink" Target="https://drive.google.com/file/d/1U8NV_Llzg2TcwPb8kjXuYReGuJ5gtTuH/view?usp=drivesdk" TargetMode="External"/><Relationship Id="rId5" Type="http://schemas.openxmlformats.org/officeDocument/2006/relationships/hyperlink" Target="https://drive.google.com/file/d/1U8NV_Llzg2TcwPb8kjXuYReGuJ5gtTuH/view?usp=drivesdk" TargetMode="External"/><Relationship Id="rId6" Type="http://schemas.openxmlformats.org/officeDocument/2006/relationships/hyperlink" Target="https://drive.google.com/file/d/1U8NV_Llzg2TcwPb8kjXuYReGuJ5gtTuH/view?usp=drivesdk" TargetMode="External"/><Relationship Id="rId7" Type="http://schemas.openxmlformats.org/officeDocument/2006/relationships/hyperlink" Target="https://drive.google.com/file/d/1U8NV_Llzg2TcwPb8kjXuYReGuJ5gtTuH/view?usp=drivesdk" TargetMode="External"/><Relationship Id="rId8" Type="http://schemas.openxmlformats.org/officeDocument/2006/relationships/hyperlink" Target="https://drive.google.com/file/d/1U8NV_Llzg2TcwPb8kjXuYReGuJ5gtTuH/view?usp=drivesdk" TargetMode="External"/></Relationships>
</file>

<file path=xl/worksheets/_rels/sheet4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m-5TOVXI3fGYd7_d0I5cEBV_dGRnkODM/view?usp=drivesdk" TargetMode="External"/><Relationship Id="rId10" Type="http://schemas.openxmlformats.org/officeDocument/2006/relationships/hyperlink" Target="https://drive.google.com/file/d/1m-5TOVXI3fGYd7_d0I5cEBV_dGRnkODM/view?usp=drivesdk" TargetMode="External"/><Relationship Id="rId13" Type="http://schemas.openxmlformats.org/officeDocument/2006/relationships/drawing" Target="../drawings/drawing42.xml"/><Relationship Id="rId12" Type="http://schemas.openxmlformats.org/officeDocument/2006/relationships/hyperlink" Target="https://drive.google.com/file/d/1m-5TOVXI3fGYd7_d0I5cEBV_dGRnkODM/view?usp=drivesdk" TargetMode="External"/><Relationship Id="rId1" Type="http://schemas.openxmlformats.org/officeDocument/2006/relationships/hyperlink" Target="https://drive.google.com/file/d/1m-5TOVXI3fGYd7_d0I5cEBV_dGRnkODM/view?usp=drivesdk" TargetMode="External"/><Relationship Id="rId2" Type="http://schemas.openxmlformats.org/officeDocument/2006/relationships/hyperlink" Target="https://drive.google.com/file/d/1m-5TOVXI3fGYd7_d0I5cEBV_dGRnkODM/view?usp=drivesdk" TargetMode="External"/><Relationship Id="rId3" Type="http://schemas.openxmlformats.org/officeDocument/2006/relationships/hyperlink" Target="https://drive.google.com/file/d/1m-5TOVXI3fGYd7_d0I5cEBV_dGRnkODM/view?usp=drivesdk" TargetMode="External"/><Relationship Id="rId4" Type="http://schemas.openxmlformats.org/officeDocument/2006/relationships/hyperlink" Target="https://drive.google.com/file/d/1m-5TOVXI3fGYd7_d0I5cEBV_dGRnkODM/view?usp=drivesdk" TargetMode="External"/><Relationship Id="rId9" Type="http://schemas.openxmlformats.org/officeDocument/2006/relationships/hyperlink" Target="https://drive.google.com/file/d/1m-5TOVXI3fGYd7_d0I5cEBV_dGRnkODM/view?usp=drivesdk" TargetMode="External"/><Relationship Id="rId5" Type="http://schemas.openxmlformats.org/officeDocument/2006/relationships/hyperlink" Target="https://drive.google.com/file/d/1m-5TOVXI3fGYd7_d0I5cEBV_dGRnkODM/view?usp=drivesdk" TargetMode="External"/><Relationship Id="rId6" Type="http://schemas.openxmlformats.org/officeDocument/2006/relationships/hyperlink" Target="https://drive.google.com/file/d/1m-5TOVXI3fGYd7_d0I5cEBV_dGRnkODM/view?usp=drivesdk" TargetMode="External"/><Relationship Id="rId7" Type="http://schemas.openxmlformats.org/officeDocument/2006/relationships/hyperlink" Target="https://drive.google.com/file/d/1m-5TOVXI3fGYd7_d0I5cEBV_dGRnkODM/view?usp=drivesdk" TargetMode="External"/><Relationship Id="rId8" Type="http://schemas.openxmlformats.org/officeDocument/2006/relationships/hyperlink" Target="https://drive.google.com/file/d/1m-5TOVXI3fGYd7_d0I5cEBV_dGRnkODM/view?usp=drivesdk" TargetMode="Externa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0.25"/>
    <col customWidth="1" min="3" max="3" width="9.5"/>
    <col customWidth="1" min="4" max="4" width="18.63"/>
    <col customWidth="1" min="5" max="5" width="16.5"/>
    <col customWidth="1" min="6" max="6" width="7.63"/>
    <col customWidth="1" min="7" max="7" width="3.75"/>
    <col customWidth="1" min="8" max="8" width="9.63"/>
    <col customWidth="1" min="9" max="9" width="56.88"/>
    <col customWidth="1" min="10" max="12" width="8.38"/>
    <col customWidth="1" min="13" max="13" width="24.13"/>
    <col customWidth="1" min="14" max="14" width="35.25"/>
    <col customWidth="1" min="15" max="15" width="11.13"/>
    <col customWidth="1" min="16" max="16" width="10.38"/>
    <col customWidth="1" min="17" max="17" width="72.25"/>
    <col customWidth="1" min="18" max="26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17</v>
      </c>
      <c r="T1" s="4" t="s">
        <v>17</v>
      </c>
      <c r="U1" s="4" t="s">
        <v>17</v>
      </c>
      <c r="V1" s="4" t="s">
        <v>17</v>
      </c>
      <c r="W1" s="4" t="s">
        <v>17</v>
      </c>
      <c r="X1" s="4" t="s">
        <v>17</v>
      </c>
      <c r="Y1" s="4" t="s">
        <v>17</v>
      </c>
      <c r="Z1" s="4" t="s">
        <v>17</v>
      </c>
    </row>
    <row r="2">
      <c r="A2" s="1">
        <v>45971.05488372685</v>
      </c>
      <c r="B2" s="2" t="s">
        <v>18</v>
      </c>
      <c r="C2" s="5">
        <v>45971.0</v>
      </c>
      <c r="D2" s="2" t="s">
        <v>19</v>
      </c>
      <c r="E2" s="2" t="s">
        <v>20</v>
      </c>
      <c r="G2" s="2">
        <v>1.0</v>
      </c>
      <c r="H2" s="2" t="s">
        <v>21</v>
      </c>
      <c r="I2" s="2" t="s">
        <v>22</v>
      </c>
      <c r="J2" s="6"/>
      <c r="K2" s="3">
        <v>0.0</v>
      </c>
      <c r="L2" s="3">
        <v>0.0</v>
      </c>
      <c r="M2" s="2" t="s">
        <v>23</v>
      </c>
      <c r="N2" s="2" t="s">
        <v>24</v>
      </c>
      <c r="O2" s="7">
        <v>45971.0</v>
      </c>
      <c r="Q2" s="8" t="s">
        <v>25</v>
      </c>
    </row>
    <row r="3">
      <c r="A3" s="1">
        <v>45973.993782314814</v>
      </c>
      <c r="B3" s="2" t="s">
        <v>26</v>
      </c>
      <c r="C3" s="5">
        <v>45960.0</v>
      </c>
      <c r="D3" s="2" t="s">
        <v>19</v>
      </c>
      <c r="E3" s="2" t="s">
        <v>20</v>
      </c>
      <c r="G3" s="2">
        <v>1.0</v>
      </c>
      <c r="H3" s="2" t="s">
        <v>21</v>
      </c>
      <c r="I3" s="2" t="s">
        <v>27</v>
      </c>
      <c r="J3" s="6"/>
      <c r="K3" s="3">
        <v>0.0</v>
      </c>
      <c r="L3" s="3">
        <v>0.0</v>
      </c>
      <c r="M3" s="2" t="s">
        <v>26</v>
      </c>
      <c r="N3" s="2" t="s">
        <v>24</v>
      </c>
      <c r="O3" s="7">
        <v>45960.0</v>
      </c>
      <c r="Q3" s="9" t="s">
        <v>28</v>
      </c>
    </row>
    <row r="4">
      <c r="A4" s="1">
        <v>45973.994633298615</v>
      </c>
      <c r="B4" s="2" t="s">
        <v>29</v>
      </c>
      <c r="C4" s="5">
        <v>45960.0</v>
      </c>
      <c r="D4" s="2" t="s">
        <v>19</v>
      </c>
      <c r="E4" s="2" t="s">
        <v>20</v>
      </c>
      <c r="G4" s="2">
        <v>1.0</v>
      </c>
      <c r="H4" s="2" t="s">
        <v>21</v>
      </c>
      <c r="I4" s="2" t="s">
        <v>30</v>
      </c>
      <c r="J4" s="6"/>
      <c r="K4" s="3">
        <v>0.0</v>
      </c>
      <c r="L4" s="3">
        <v>0.0</v>
      </c>
      <c r="M4" s="2" t="s">
        <v>29</v>
      </c>
      <c r="N4" s="2" t="s">
        <v>24</v>
      </c>
      <c r="O4" s="7">
        <v>45960.0</v>
      </c>
      <c r="Q4" s="9" t="s">
        <v>31</v>
      </c>
    </row>
    <row r="5">
      <c r="A5" s="1">
        <v>45973.99576283565</v>
      </c>
      <c r="B5" s="2" t="s">
        <v>18</v>
      </c>
      <c r="C5" s="5">
        <v>45932.0</v>
      </c>
      <c r="D5" s="2" t="s">
        <v>19</v>
      </c>
      <c r="E5" s="2" t="s">
        <v>20</v>
      </c>
      <c r="G5" s="2">
        <v>1.0</v>
      </c>
      <c r="H5" s="2" t="s">
        <v>21</v>
      </c>
      <c r="I5" s="2" t="s">
        <v>32</v>
      </c>
      <c r="J5" s="6"/>
      <c r="K5" s="3">
        <v>0.0</v>
      </c>
      <c r="L5" s="3">
        <v>0.0</v>
      </c>
      <c r="M5" s="2" t="s">
        <v>33</v>
      </c>
      <c r="N5" s="2" t="s">
        <v>24</v>
      </c>
      <c r="O5" s="10">
        <v>45932.0</v>
      </c>
      <c r="P5" s="2" t="s">
        <v>34</v>
      </c>
      <c r="Q5" s="9" t="s">
        <v>35</v>
      </c>
    </row>
    <row r="6">
      <c r="A6" s="1">
        <v>45973.99717520834</v>
      </c>
      <c r="B6" s="2" t="s">
        <v>36</v>
      </c>
      <c r="C6" s="5">
        <v>45932.0</v>
      </c>
      <c r="D6" s="2" t="s">
        <v>19</v>
      </c>
      <c r="E6" s="2" t="s">
        <v>20</v>
      </c>
      <c r="G6" s="2">
        <v>1.0</v>
      </c>
      <c r="H6" s="2" t="s">
        <v>21</v>
      </c>
      <c r="I6" s="2" t="s">
        <v>37</v>
      </c>
      <c r="J6" s="6"/>
      <c r="K6" s="3">
        <v>0.0</v>
      </c>
      <c r="L6" s="3">
        <v>0.0</v>
      </c>
      <c r="M6" s="2" t="s">
        <v>38</v>
      </c>
      <c r="N6" s="2" t="s">
        <v>24</v>
      </c>
      <c r="O6" s="10">
        <v>45932.0</v>
      </c>
      <c r="Q6" s="9" t="s">
        <v>39</v>
      </c>
    </row>
    <row r="7">
      <c r="A7" s="1">
        <v>45973.99795704861</v>
      </c>
      <c r="B7" s="2" t="s">
        <v>40</v>
      </c>
      <c r="C7" s="5">
        <v>45932.0</v>
      </c>
      <c r="D7" s="2" t="s">
        <v>19</v>
      </c>
      <c r="E7" s="2" t="s">
        <v>20</v>
      </c>
      <c r="G7" s="2">
        <v>1.0</v>
      </c>
      <c r="H7" s="2" t="s">
        <v>21</v>
      </c>
      <c r="I7" s="2" t="s">
        <v>37</v>
      </c>
      <c r="J7" s="6"/>
      <c r="K7" s="3">
        <v>0.0</v>
      </c>
      <c r="L7" s="3">
        <v>0.0</v>
      </c>
      <c r="M7" s="2" t="s">
        <v>40</v>
      </c>
      <c r="N7" s="2" t="s">
        <v>24</v>
      </c>
      <c r="O7" s="10">
        <v>45932.0</v>
      </c>
      <c r="P7" s="2" t="s">
        <v>41</v>
      </c>
      <c r="Q7" s="9" t="s">
        <v>42</v>
      </c>
    </row>
    <row r="8">
      <c r="A8" s="1">
        <v>45973.99925688657</v>
      </c>
      <c r="B8" s="2" t="s">
        <v>43</v>
      </c>
      <c r="C8" s="5">
        <v>45929.0</v>
      </c>
      <c r="D8" s="2" t="s">
        <v>19</v>
      </c>
      <c r="E8" s="2" t="s">
        <v>20</v>
      </c>
      <c r="G8" s="2">
        <v>1.0</v>
      </c>
      <c r="H8" s="2" t="s">
        <v>21</v>
      </c>
      <c r="I8" s="2" t="s">
        <v>44</v>
      </c>
      <c r="J8" s="6"/>
      <c r="K8" s="3">
        <v>0.0</v>
      </c>
      <c r="L8" s="3">
        <v>0.0</v>
      </c>
      <c r="M8" s="2" t="s">
        <v>43</v>
      </c>
      <c r="N8" s="2" t="s">
        <v>24</v>
      </c>
      <c r="O8" s="7">
        <v>45929.0</v>
      </c>
      <c r="P8" s="2" t="s">
        <v>45</v>
      </c>
      <c r="Q8" s="9" t="s">
        <v>46</v>
      </c>
    </row>
    <row r="9">
      <c r="A9" s="1">
        <v>45979.64331063657</v>
      </c>
      <c r="B9" s="2" t="s">
        <v>47</v>
      </c>
      <c r="C9" s="5">
        <v>45979.0</v>
      </c>
      <c r="D9" s="2" t="s">
        <v>19</v>
      </c>
      <c r="E9" s="2" t="s">
        <v>20</v>
      </c>
      <c r="G9" s="2">
        <v>1.0</v>
      </c>
      <c r="H9" s="2" t="s">
        <v>48</v>
      </c>
      <c r="I9" s="2" t="s">
        <v>49</v>
      </c>
      <c r="J9" s="3">
        <v>43.5</v>
      </c>
      <c r="K9" s="3">
        <v>43.5</v>
      </c>
      <c r="L9" s="3">
        <v>43.5</v>
      </c>
      <c r="M9" s="2" t="s">
        <v>47</v>
      </c>
      <c r="N9" s="2" t="s">
        <v>24</v>
      </c>
      <c r="O9" s="7">
        <v>45980.0</v>
      </c>
      <c r="Q9" s="9" t="s">
        <v>50</v>
      </c>
    </row>
    <row r="10">
      <c r="A10" s="1">
        <v>45982.39854430556</v>
      </c>
      <c r="B10" s="2" t="s">
        <v>51</v>
      </c>
      <c r="C10" s="5">
        <v>45982.0</v>
      </c>
      <c r="D10" s="2" t="s">
        <v>19</v>
      </c>
      <c r="E10" s="2" t="s">
        <v>20</v>
      </c>
      <c r="G10" s="2">
        <v>1.0</v>
      </c>
      <c r="I10" s="2" t="s">
        <v>52</v>
      </c>
      <c r="J10" s="3">
        <v>208.0</v>
      </c>
      <c r="K10" s="3">
        <v>208.0</v>
      </c>
      <c r="L10" s="3">
        <v>208.0</v>
      </c>
      <c r="M10" s="2" t="s">
        <v>53</v>
      </c>
      <c r="N10" s="2" t="s">
        <v>24</v>
      </c>
      <c r="O10" s="10">
        <v>45993.0</v>
      </c>
      <c r="Q10" s="9" t="s">
        <v>54</v>
      </c>
    </row>
    <row r="11">
      <c r="A11" s="1">
        <v>45986.42424663194</v>
      </c>
      <c r="B11" s="2" t="s">
        <v>55</v>
      </c>
      <c r="C11" s="5">
        <v>45986.0</v>
      </c>
      <c r="D11" s="2" t="s">
        <v>19</v>
      </c>
      <c r="E11" s="2" t="s">
        <v>20</v>
      </c>
      <c r="G11" s="2">
        <v>1.0</v>
      </c>
      <c r="H11" s="2" t="s">
        <v>21</v>
      </c>
      <c r="I11" s="2" t="s">
        <v>56</v>
      </c>
      <c r="J11" s="6"/>
      <c r="K11" s="3">
        <v>0.0</v>
      </c>
      <c r="L11" s="3">
        <v>0.0</v>
      </c>
      <c r="M11" s="2" t="s">
        <v>57</v>
      </c>
      <c r="N11" s="2" t="s">
        <v>24</v>
      </c>
      <c r="O11" s="7">
        <v>45987.0</v>
      </c>
      <c r="Q11" s="9" t="s">
        <v>58</v>
      </c>
    </row>
    <row r="12">
      <c r="A12" s="1">
        <v>45988.39756111111</v>
      </c>
      <c r="B12" s="2" t="s">
        <v>55</v>
      </c>
      <c r="C12" s="5">
        <v>45982.0</v>
      </c>
      <c r="D12" s="2" t="s">
        <v>19</v>
      </c>
      <c r="E12" s="2" t="s">
        <v>20</v>
      </c>
      <c r="G12" s="2">
        <v>1.0</v>
      </c>
      <c r="H12" s="2" t="s">
        <v>21</v>
      </c>
      <c r="I12" s="2" t="s">
        <v>59</v>
      </c>
      <c r="J12" s="3">
        <v>59.0</v>
      </c>
      <c r="K12" s="3">
        <v>59.0</v>
      </c>
      <c r="L12" s="3">
        <v>59.0</v>
      </c>
      <c r="M12" s="2" t="s">
        <v>57</v>
      </c>
      <c r="N12" s="2" t="s">
        <v>24</v>
      </c>
      <c r="O12" s="11">
        <v>41238.0</v>
      </c>
      <c r="Q12" s="9" t="s">
        <v>60</v>
      </c>
    </row>
    <row r="13">
      <c r="A13" s="1">
        <v>45988.39756111111</v>
      </c>
      <c r="B13" s="2" t="s">
        <v>55</v>
      </c>
      <c r="C13" s="5">
        <v>45982.0</v>
      </c>
      <c r="D13" s="2" t="s">
        <v>19</v>
      </c>
      <c r="E13" s="2" t="s">
        <v>20</v>
      </c>
      <c r="G13" s="2">
        <v>1.0</v>
      </c>
      <c r="H13" s="2" t="s">
        <v>21</v>
      </c>
      <c r="I13" s="2" t="s">
        <v>61</v>
      </c>
      <c r="J13" s="3">
        <v>330.0</v>
      </c>
      <c r="K13" s="3">
        <v>330.0</v>
      </c>
      <c r="L13" s="3">
        <v>330.0</v>
      </c>
      <c r="M13" s="2" t="s">
        <v>57</v>
      </c>
      <c r="N13" s="2" t="s">
        <v>24</v>
      </c>
      <c r="O13" s="11">
        <v>41238.0</v>
      </c>
      <c r="Q13" s="9" t="s">
        <v>60</v>
      </c>
    </row>
    <row r="14">
      <c r="A14" s="1">
        <v>45988.477957662035</v>
      </c>
      <c r="B14" s="2" t="s">
        <v>62</v>
      </c>
      <c r="C14" s="5">
        <v>45960.0</v>
      </c>
      <c r="D14" s="2" t="s">
        <v>19</v>
      </c>
      <c r="E14" s="2" t="s">
        <v>20</v>
      </c>
      <c r="G14" s="2">
        <v>1.0</v>
      </c>
      <c r="H14" s="2" t="s">
        <v>21</v>
      </c>
      <c r="I14" s="2" t="s">
        <v>63</v>
      </c>
      <c r="J14" s="3"/>
      <c r="K14" s="3">
        <v>0.0</v>
      </c>
      <c r="L14" s="3">
        <v>0.0</v>
      </c>
      <c r="M14" s="2" t="s">
        <v>62</v>
      </c>
      <c r="N14" s="2" t="s">
        <v>24</v>
      </c>
      <c r="O14" s="7">
        <v>45989.0</v>
      </c>
      <c r="Q14" s="9" t="s">
        <v>64</v>
      </c>
    </row>
    <row r="15">
      <c r="A15" s="1">
        <v>45988.479049421294</v>
      </c>
      <c r="B15" s="2" t="s">
        <v>65</v>
      </c>
      <c r="C15" s="5">
        <v>45964.0</v>
      </c>
      <c r="D15" s="2" t="s">
        <v>19</v>
      </c>
      <c r="E15" s="2" t="s">
        <v>20</v>
      </c>
      <c r="G15" s="2">
        <v>4.0</v>
      </c>
      <c r="H15" s="2" t="s">
        <v>66</v>
      </c>
      <c r="I15" s="2" t="s">
        <v>67</v>
      </c>
      <c r="J15" s="6"/>
      <c r="K15" s="3">
        <v>0.0</v>
      </c>
      <c r="L15" s="3">
        <v>0.0</v>
      </c>
      <c r="M15" s="2" t="s">
        <v>65</v>
      </c>
      <c r="N15" s="2" t="s">
        <v>24</v>
      </c>
      <c r="O15" s="11">
        <v>41238.0</v>
      </c>
      <c r="Q15" s="9" t="s">
        <v>68</v>
      </c>
    </row>
    <row r="16">
      <c r="A16" s="1">
        <v>45988.48162304398</v>
      </c>
      <c r="B16" s="2" t="s">
        <v>65</v>
      </c>
      <c r="C16" s="5">
        <v>45979.0</v>
      </c>
      <c r="D16" s="2" t="s">
        <v>19</v>
      </c>
      <c r="E16" s="2" t="s">
        <v>20</v>
      </c>
      <c r="G16" s="2">
        <v>2.0</v>
      </c>
      <c r="H16" s="2" t="s">
        <v>66</v>
      </c>
      <c r="I16" s="2" t="s">
        <v>69</v>
      </c>
      <c r="J16" s="3">
        <v>45.0</v>
      </c>
      <c r="K16" s="3">
        <v>45.0</v>
      </c>
      <c r="L16" s="3">
        <v>90.0</v>
      </c>
      <c r="M16" s="2" t="s">
        <v>65</v>
      </c>
      <c r="N16" s="2" t="s">
        <v>24</v>
      </c>
      <c r="O16" s="7">
        <v>45993.0</v>
      </c>
      <c r="Q16" s="9" t="s">
        <v>70</v>
      </c>
    </row>
    <row r="17">
      <c r="A17" s="1">
        <v>45988.48418053241</v>
      </c>
      <c r="B17" s="2" t="s">
        <v>71</v>
      </c>
      <c r="C17" s="5">
        <v>45971.0</v>
      </c>
      <c r="D17" s="2" t="s">
        <v>19</v>
      </c>
      <c r="E17" s="2" t="s">
        <v>20</v>
      </c>
      <c r="G17" s="2">
        <v>1.0</v>
      </c>
      <c r="H17" s="2" t="s">
        <v>21</v>
      </c>
      <c r="I17" s="2" t="s">
        <v>72</v>
      </c>
      <c r="J17" s="3">
        <v>352.0</v>
      </c>
      <c r="K17" s="3">
        <v>352.0</v>
      </c>
      <c r="L17" s="3">
        <v>352.0</v>
      </c>
      <c r="M17" s="2" t="s">
        <v>71</v>
      </c>
      <c r="N17" s="2" t="s">
        <v>24</v>
      </c>
      <c r="O17" s="11">
        <v>41238.0</v>
      </c>
      <c r="Q17" s="9" t="s">
        <v>73</v>
      </c>
    </row>
    <row r="18">
      <c r="A18" s="1">
        <v>45988.48418053241</v>
      </c>
      <c r="B18" s="2" t="s">
        <v>71</v>
      </c>
      <c r="C18" s="5">
        <v>45971.0</v>
      </c>
      <c r="D18" s="2" t="s">
        <v>19</v>
      </c>
      <c r="E18" s="2" t="s">
        <v>20</v>
      </c>
      <c r="G18" s="2">
        <v>2.0</v>
      </c>
      <c r="H18" s="2" t="s">
        <v>66</v>
      </c>
      <c r="I18" s="2" t="s">
        <v>74</v>
      </c>
      <c r="J18" s="3">
        <v>330.0</v>
      </c>
      <c r="K18" s="3">
        <v>660.0</v>
      </c>
      <c r="L18" s="3">
        <v>660.0</v>
      </c>
      <c r="M18" s="2" t="s">
        <v>71</v>
      </c>
      <c r="N18" s="2" t="s">
        <v>24</v>
      </c>
      <c r="O18" s="11">
        <v>41238.0</v>
      </c>
      <c r="Q18" s="9" t="s">
        <v>73</v>
      </c>
    </row>
    <row r="19">
      <c r="A19" s="1">
        <v>45988.71672484954</v>
      </c>
      <c r="B19" s="2" t="s">
        <v>75</v>
      </c>
      <c r="C19" s="5">
        <v>45966.0</v>
      </c>
      <c r="D19" s="2" t="s">
        <v>19</v>
      </c>
      <c r="E19" s="2" t="s">
        <v>20</v>
      </c>
      <c r="G19" s="2">
        <v>10.0</v>
      </c>
      <c r="H19" s="2" t="s">
        <v>66</v>
      </c>
      <c r="I19" s="2" t="s">
        <v>76</v>
      </c>
      <c r="J19" s="3">
        <v>14.0</v>
      </c>
      <c r="K19" s="3">
        <v>140.0</v>
      </c>
      <c r="L19" s="3">
        <v>140.0</v>
      </c>
      <c r="M19" s="2" t="s">
        <v>75</v>
      </c>
      <c r="N19" s="2" t="s">
        <v>24</v>
      </c>
      <c r="O19" s="7">
        <v>45989.0</v>
      </c>
      <c r="Q19" s="9" t="s">
        <v>77</v>
      </c>
    </row>
    <row r="20">
      <c r="A20" s="1">
        <v>45989.47361431713</v>
      </c>
      <c r="B20" s="2" t="s">
        <v>62</v>
      </c>
      <c r="C20" s="5">
        <v>45989.0</v>
      </c>
      <c r="D20" s="2" t="s">
        <v>19</v>
      </c>
      <c r="E20" s="2" t="s">
        <v>20</v>
      </c>
      <c r="G20" s="2">
        <v>1.0</v>
      </c>
      <c r="H20" s="2" t="s">
        <v>21</v>
      </c>
      <c r="I20" s="2" t="s">
        <v>78</v>
      </c>
      <c r="J20" s="3">
        <v>752.0</v>
      </c>
      <c r="K20" s="3">
        <v>752.0</v>
      </c>
      <c r="L20" s="3">
        <v>794.0</v>
      </c>
      <c r="M20" s="2" t="s">
        <v>62</v>
      </c>
      <c r="N20" s="2" t="s">
        <v>24</v>
      </c>
      <c r="O20" s="7">
        <v>45989.0</v>
      </c>
      <c r="Q20" s="9" t="s">
        <v>79</v>
      </c>
    </row>
    <row r="21">
      <c r="A21" s="1">
        <v>45989.47361431713</v>
      </c>
      <c r="B21" s="2" t="s">
        <v>62</v>
      </c>
      <c r="C21" s="5">
        <v>45989.0</v>
      </c>
      <c r="D21" s="2" t="s">
        <v>19</v>
      </c>
      <c r="E21" s="2" t="s">
        <v>20</v>
      </c>
      <c r="G21" s="2">
        <v>1.0</v>
      </c>
      <c r="H21" s="2" t="s">
        <v>21</v>
      </c>
      <c r="I21" s="2" t="s">
        <v>80</v>
      </c>
      <c r="J21" s="3">
        <v>42.0</v>
      </c>
      <c r="K21" s="3">
        <v>42.0</v>
      </c>
      <c r="L21" s="3">
        <v>794.0</v>
      </c>
      <c r="M21" s="2" t="s">
        <v>62</v>
      </c>
      <c r="N21" s="2" t="s">
        <v>24</v>
      </c>
      <c r="O21" s="7">
        <v>45989.0</v>
      </c>
      <c r="Q21" s="9" t="s">
        <v>79</v>
      </c>
    </row>
    <row r="22">
      <c r="A22" s="1">
        <v>45989.495149317125</v>
      </c>
      <c r="B22" s="2" t="s">
        <v>36</v>
      </c>
      <c r="C22" s="5">
        <v>45989.0</v>
      </c>
      <c r="D22" s="2" t="s">
        <v>19</v>
      </c>
      <c r="E22" s="2" t="s">
        <v>20</v>
      </c>
      <c r="G22" s="2">
        <v>1.0</v>
      </c>
      <c r="H22" s="2" t="s">
        <v>81</v>
      </c>
      <c r="I22" s="2" t="s">
        <v>49</v>
      </c>
      <c r="J22" s="3">
        <v>43.5</v>
      </c>
      <c r="K22" s="3">
        <v>43.5</v>
      </c>
      <c r="L22" s="3">
        <v>43.5</v>
      </c>
      <c r="M22" s="2" t="s">
        <v>38</v>
      </c>
      <c r="N22" s="2" t="s">
        <v>24</v>
      </c>
      <c r="O22" s="7">
        <v>45989.0</v>
      </c>
      <c r="Q22" s="9" t="s">
        <v>82</v>
      </c>
    </row>
    <row r="23">
      <c r="A23" s="1">
        <v>45992.47114113426</v>
      </c>
      <c r="B23" s="2" t="s">
        <v>65</v>
      </c>
      <c r="C23" s="5">
        <v>45989.0</v>
      </c>
      <c r="D23" s="2" t="s">
        <v>19</v>
      </c>
      <c r="E23" s="2" t="s">
        <v>20</v>
      </c>
      <c r="G23" s="2">
        <v>1.0</v>
      </c>
      <c r="H23" s="2" t="s">
        <v>21</v>
      </c>
      <c r="I23" s="2" t="s">
        <v>83</v>
      </c>
      <c r="J23" s="3">
        <v>15.0</v>
      </c>
      <c r="K23" s="3">
        <v>15.0</v>
      </c>
      <c r="L23" s="3">
        <v>15.0</v>
      </c>
      <c r="M23" s="2" t="s">
        <v>65</v>
      </c>
      <c r="N23" s="2" t="s">
        <v>24</v>
      </c>
      <c r="O23" s="10">
        <v>45993.0</v>
      </c>
      <c r="Q23" s="9" t="s">
        <v>84</v>
      </c>
    </row>
    <row r="24">
      <c r="A24" s="1">
        <v>45992.47114113426</v>
      </c>
      <c r="B24" s="2" t="s">
        <v>65</v>
      </c>
      <c r="C24" s="5">
        <v>45989.0</v>
      </c>
      <c r="D24" s="2" t="s">
        <v>19</v>
      </c>
      <c r="E24" s="2" t="s">
        <v>20</v>
      </c>
      <c r="G24" s="2">
        <v>5.0</v>
      </c>
      <c r="H24" s="2" t="s">
        <v>66</v>
      </c>
      <c r="I24" s="2" t="s">
        <v>85</v>
      </c>
      <c r="J24" s="3">
        <v>6.0</v>
      </c>
      <c r="K24" s="3">
        <v>6.0</v>
      </c>
      <c r="L24" s="3">
        <v>30.0</v>
      </c>
      <c r="M24" s="2" t="s">
        <v>65</v>
      </c>
      <c r="N24" s="2" t="s">
        <v>24</v>
      </c>
      <c r="O24" s="10">
        <v>45993.0</v>
      </c>
      <c r="Q24" s="9" t="s">
        <v>84</v>
      </c>
    </row>
    <row r="25">
      <c r="A25" s="1">
        <v>45993.360325092595</v>
      </c>
      <c r="B25" s="2" t="s">
        <v>47</v>
      </c>
      <c r="C25" s="5">
        <v>45993.0</v>
      </c>
      <c r="D25" s="2" t="s">
        <v>19</v>
      </c>
      <c r="E25" s="2" t="s">
        <v>20</v>
      </c>
      <c r="G25" s="2">
        <v>1.0</v>
      </c>
      <c r="H25" s="2" t="s">
        <v>21</v>
      </c>
      <c r="I25" s="2" t="s">
        <v>86</v>
      </c>
      <c r="J25" s="6"/>
      <c r="K25" s="3">
        <v>0.0</v>
      </c>
      <c r="L25" s="3">
        <v>0.0</v>
      </c>
      <c r="M25" s="2" t="s">
        <v>87</v>
      </c>
      <c r="N25" s="2" t="s">
        <v>24</v>
      </c>
      <c r="O25" s="10">
        <v>45993.0</v>
      </c>
      <c r="Q25" s="9" t="s">
        <v>88</v>
      </c>
    </row>
    <row r="26">
      <c r="A26" s="1">
        <v>45993.686454421295</v>
      </c>
      <c r="B26" s="2" t="s">
        <v>89</v>
      </c>
      <c r="C26" s="5">
        <v>45984.0</v>
      </c>
      <c r="D26" s="2" t="s">
        <v>19</v>
      </c>
      <c r="E26" s="2" t="s">
        <v>20</v>
      </c>
      <c r="G26" s="2">
        <v>2.0</v>
      </c>
      <c r="H26" s="2" t="s">
        <v>66</v>
      </c>
      <c r="I26" s="2" t="s">
        <v>52</v>
      </c>
      <c r="J26" s="3">
        <v>208.0</v>
      </c>
      <c r="K26" s="3">
        <v>416.0</v>
      </c>
      <c r="L26" s="3">
        <v>416.0</v>
      </c>
      <c r="M26" s="2" t="s">
        <v>89</v>
      </c>
      <c r="N26" s="2" t="s">
        <v>24</v>
      </c>
      <c r="O26" s="10">
        <v>45993.0</v>
      </c>
      <c r="Q26" s="9" t="s">
        <v>90</v>
      </c>
    </row>
    <row r="27">
      <c r="A27" s="1">
        <v>45994.398274328705</v>
      </c>
      <c r="B27" s="2" t="s">
        <v>91</v>
      </c>
      <c r="C27" s="5">
        <v>45994.0</v>
      </c>
      <c r="D27" s="2" t="s">
        <v>19</v>
      </c>
      <c r="E27" s="2" t="s">
        <v>20</v>
      </c>
      <c r="G27" s="2">
        <v>100.0</v>
      </c>
      <c r="H27" s="2" t="s">
        <v>66</v>
      </c>
      <c r="I27" s="2" t="s">
        <v>92</v>
      </c>
      <c r="J27" s="3">
        <v>86.15</v>
      </c>
      <c r="K27" s="3">
        <v>86.15</v>
      </c>
      <c r="L27" s="3">
        <v>86.15</v>
      </c>
      <c r="M27" s="2" t="s">
        <v>93</v>
      </c>
      <c r="N27" s="2" t="s">
        <v>24</v>
      </c>
      <c r="O27" s="10">
        <v>45995.0</v>
      </c>
      <c r="Q27" s="9" t="s">
        <v>94</v>
      </c>
    </row>
    <row r="28">
      <c r="A28" s="1">
        <v>45995.39450206018</v>
      </c>
      <c r="B28" s="2" t="s">
        <v>95</v>
      </c>
      <c r="C28" s="5">
        <v>45995.0</v>
      </c>
      <c r="D28" s="2" t="s">
        <v>19</v>
      </c>
      <c r="E28" s="2" t="s">
        <v>20</v>
      </c>
      <c r="G28" s="2">
        <v>3.0</v>
      </c>
      <c r="I28" s="2" t="s">
        <v>96</v>
      </c>
      <c r="J28" s="3">
        <v>250.0</v>
      </c>
      <c r="K28" s="3">
        <v>750.0</v>
      </c>
      <c r="L28" s="3">
        <v>750.0</v>
      </c>
      <c r="M28" s="2" t="s">
        <v>95</v>
      </c>
      <c r="N28" s="2" t="s">
        <v>24</v>
      </c>
      <c r="O28" s="10">
        <v>45995.0</v>
      </c>
      <c r="Q28" s="9" t="s">
        <v>97</v>
      </c>
    </row>
    <row r="29">
      <c r="A29" s="1">
        <v>45995.39699771991</v>
      </c>
      <c r="B29" s="2" t="s">
        <v>91</v>
      </c>
      <c r="C29" s="5">
        <v>45995.0</v>
      </c>
      <c r="D29" s="2" t="s">
        <v>19</v>
      </c>
      <c r="E29" s="2" t="s">
        <v>20</v>
      </c>
      <c r="G29" s="2">
        <v>1.0</v>
      </c>
      <c r="I29" s="2" t="s">
        <v>98</v>
      </c>
      <c r="J29" s="3">
        <v>250.0</v>
      </c>
      <c r="K29" s="3">
        <v>250.0</v>
      </c>
      <c r="L29" s="3">
        <v>250.0</v>
      </c>
      <c r="M29" s="2" t="s">
        <v>99</v>
      </c>
      <c r="N29" s="2" t="s">
        <v>24</v>
      </c>
      <c r="O29" s="10">
        <v>45995.0</v>
      </c>
      <c r="Q29" s="9" t="s">
        <v>100</v>
      </c>
    </row>
    <row r="30">
      <c r="A30" s="1">
        <v>45995.545725625</v>
      </c>
      <c r="B30" s="2" t="s">
        <v>101</v>
      </c>
      <c r="C30" s="5">
        <v>45995.0</v>
      </c>
      <c r="D30" s="2" t="s">
        <v>19</v>
      </c>
      <c r="E30" s="2" t="s">
        <v>20</v>
      </c>
      <c r="G30" s="2">
        <v>3.0</v>
      </c>
      <c r="H30" s="2" t="s">
        <v>21</v>
      </c>
      <c r="I30" s="2" t="s">
        <v>102</v>
      </c>
      <c r="J30" s="3">
        <v>8.0</v>
      </c>
      <c r="K30" s="3">
        <v>24.0</v>
      </c>
      <c r="L30" s="3">
        <v>24.0</v>
      </c>
      <c r="M30" s="2" t="s">
        <v>101</v>
      </c>
      <c r="N30" s="2" t="s">
        <v>24</v>
      </c>
      <c r="O30" s="10">
        <v>45995.0</v>
      </c>
      <c r="Q30" s="9" t="s">
        <v>103</v>
      </c>
    </row>
    <row r="31">
      <c r="A31" s="1">
        <v>45995.545725625</v>
      </c>
      <c r="B31" s="2" t="s">
        <v>101</v>
      </c>
      <c r="C31" s="5">
        <v>45995.0</v>
      </c>
      <c r="D31" s="2" t="s">
        <v>19</v>
      </c>
      <c r="E31" s="2" t="s">
        <v>20</v>
      </c>
      <c r="G31" s="2">
        <v>1.0</v>
      </c>
      <c r="H31" s="2" t="s">
        <v>21</v>
      </c>
      <c r="I31" s="2" t="s">
        <v>104</v>
      </c>
      <c r="J31" s="3">
        <v>96.0</v>
      </c>
      <c r="K31" s="3">
        <v>96.0</v>
      </c>
      <c r="L31" s="3">
        <v>96.0</v>
      </c>
      <c r="M31" s="2" t="s">
        <v>101</v>
      </c>
      <c r="N31" s="2" t="s">
        <v>24</v>
      </c>
      <c r="O31" s="10">
        <v>45995.0</v>
      </c>
      <c r="Q31" s="9" t="s">
        <v>103</v>
      </c>
    </row>
    <row r="32">
      <c r="A32" s="1">
        <v>46000.637382615736</v>
      </c>
      <c r="B32" s="2" t="s">
        <v>105</v>
      </c>
      <c r="C32" s="5">
        <v>46000.0</v>
      </c>
      <c r="D32" s="2" t="s">
        <v>19</v>
      </c>
      <c r="E32" s="2" t="s">
        <v>20</v>
      </c>
      <c r="G32" s="2">
        <v>2.0</v>
      </c>
      <c r="H32" s="2" t="s">
        <v>66</v>
      </c>
      <c r="I32" s="2" t="s">
        <v>106</v>
      </c>
      <c r="J32" s="3">
        <v>360.0</v>
      </c>
      <c r="K32" s="3">
        <v>720.0</v>
      </c>
      <c r="L32" s="3">
        <v>720.0</v>
      </c>
      <c r="M32" s="2" t="s">
        <v>105</v>
      </c>
      <c r="N32" s="12" t="s">
        <v>24</v>
      </c>
      <c r="O32" s="10">
        <v>46000.0</v>
      </c>
      <c r="Q32" s="9" t="s">
        <v>107</v>
      </c>
    </row>
    <row r="33">
      <c r="A33" s="1">
        <v>46000.69232696759</v>
      </c>
      <c r="B33" s="2" t="s">
        <v>108</v>
      </c>
      <c r="C33" s="5">
        <v>46000.0</v>
      </c>
      <c r="D33" s="2" t="s">
        <v>19</v>
      </c>
      <c r="E33" s="2" t="s">
        <v>20</v>
      </c>
      <c r="G33" s="2">
        <v>2.0</v>
      </c>
      <c r="H33" s="2" t="s">
        <v>66</v>
      </c>
      <c r="I33" s="2" t="s">
        <v>106</v>
      </c>
      <c r="J33" s="3">
        <v>360.0</v>
      </c>
      <c r="K33" s="3">
        <v>720.0</v>
      </c>
      <c r="L33" s="3">
        <v>720.0</v>
      </c>
      <c r="M33" s="2" t="s">
        <v>109</v>
      </c>
      <c r="N33" s="12" t="s">
        <v>24</v>
      </c>
      <c r="O33" s="10">
        <v>46000.0</v>
      </c>
      <c r="Q33" s="9" t="s">
        <v>110</v>
      </c>
    </row>
    <row r="34">
      <c r="A34" s="1">
        <v>46001.36148369213</v>
      </c>
      <c r="B34" s="2" t="s">
        <v>91</v>
      </c>
      <c r="C34" s="5">
        <v>46001.0</v>
      </c>
      <c r="D34" s="2" t="s">
        <v>19</v>
      </c>
      <c r="E34" s="2" t="s">
        <v>20</v>
      </c>
      <c r="G34" s="2">
        <v>1.0</v>
      </c>
      <c r="H34" s="2" t="s">
        <v>21</v>
      </c>
      <c r="I34" s="2" t="s">
        <v>111</v>
      </c>
      <c r="J34" s="3">
        <v>360.0</v>
      </c>
      <c r="K34" s="3">
        <v>360.0</v>
      </c>
      <c r="L34" s="3">
        <v>360.0</v>
      </c>
      <c r="M34" s="2" t="s">
        <v>112</v>
      </c>
      <c r="N34" s="12" t="s">
        <v>24</v>
      </c>
      <c r="O34" s="2" t="s">
        <v>113</v>
      </c>
      <c r="Q34" s="9" t="s">
        <v>114</v>
      </c>
    </row>
    <row r="35">
      <c r="A35" s="1">
        <v>46001.65847333333</v>
      </c>
      <c r="B35" s="2" t="s">
        <v>91</v>
      </c>
      <c r="C35" s="5">
        <v>46001.0</v>
      </c>
      <c r="D35" s="2" t="s">
        <v>19</v>
      </c>
      <c r="E35" s="2" t="s">
        <v>20</v>
      </c>
      <c r="G35" s="2">
        <v>5.0</v>
      </c>
      <c r="H35" s="2" t="s">
        <v>66</v>
      </c>
      <c r="I35" s="2" t="s">
        <v>115</v>
      </c>
      <c r="J35" s="3">
        <v>30.0</v>
      </c>
      <c r="K35" s="3">
        <v>150.0</v>
      </c>
      <c r="L35" s="3">
        <v>150.0</v>
      </c>
      <c r="M35" s="2" t="s">
        <v>116</v>
      </c>
      <c r="N35" s="12" t="s">
        <v>24</v>
      </c>
      <c r="Q35" s="9" t="s">
        <v>117</v>
      </c>
    </row>
    <row r="36">
      <c r="A36" s="1">
        <v>46002.3806075926</v>
      </c>
      <c r="B36" s="2" t="s">
        <v>55</v>
      </c>
      <c r="C36" s="5">
        <v>46002.0</v>
      </c>
      <c r="D36" s="2" t="s">
        <v>19</v>
      </c>
      <c r="E36" s="2" t="s">
        <v>20</v>
      </c>
      <c r="G36" s="2">
        <v>5.0</v>
      </c>
      <c r="H36" s="2" t="s">
        <v>66</v>
      </c>
      <c r="I36" s="2" t="s">
        <v>118</v>
      </c>
      <c r="J36" s="6"/>
      <c r="K36" s="3">
        <v>0.0</v>
      </c>
      <c r="L36" s="3">
        <v>0.0</v>
      </c>
      <c r="M36" s="2" t="s">
        <v>57</v>
      </c>
      <c r="N36" s="12" t="s">
        <v>24</v>
      </c>
      <c r="O36" s="2" t="s">
        <v>119</v>
      </c>
      <c r="Q36" s="9" t="s">
        <v>120</v>
      </c>
    </row>
    <row r="37">
      <c r="A37" s="1">
        <v>46006.48052864583</v>
      </c>
      <c r="B37" s="2" t="s">
        <v>75</v>
      </c>
      <c r="C37" s="5">
        <v>46006.0</v>
      </c>
      <c r="D37" s="2" t="s">
        <v>19</v>
      </c>
      <c r="E37" s="2" t="s">
        <v>20</v>
      </c>
      <c r="G37" s="2">
        <v>1.0</v>
      </c>
      <c r="H37" s="2" t="s">
        <v>21</v>
      </c>
      <c r="I37" s="2" t="s">
        <v>121</v>
      </c>
      <c r="J37" s="6"/>
      <c r="K37" s="3">
        <v>0.0</v>
      </c>
      <c r="L37" s="3">
        <v>0.0</v>
      </c>
      <c r="M37" s="2" t="s">
        <v>75</v>
      </c>
      <c r="N37" s="12" t="s">
        <v>24</v>
      </c>
      <c r="O37" s="2" t="s">
        <v>122</v>
      </c>
      <c r="Q37" s="9" t="s">
        <v>123</v>
      </c>
    </row>
    <row r="38">
      <c r="A38" s="1">
        <v>46006.48052864583</v>
      </c>
      <c r="B38" s="2" t="s">
        <v>75</v>
      </c>
      <c r="C38" s="5">
        <v>46006.0</v>
      </c>
      <c r="D38" s="2" t="s">
        <v>19</v>
      </c>
      <c r="E38" s="2" t="s">
        <v>20</v>
      </c>
      <c r="G38" s="2">
        <v>1.0</v>
      </c>
      <c r="H38" s="2" t="s">
        <v>21</v>
      </c>
      <c r="I38" s="2" t="s">
        <v>124</v>
      </c>
      <c r="J38" s="3">
        <v>600.0</v>
      </c>
      <c r="K38" s="3">
        <v>600.0</v>
      </c>
      <c r="L38" s="3">
        <v>600.0</v>
      </c>
      <c r="M38" s="2" t="s">
        <v>75</v>
      </c>
      <c r="N38" s="12" t="s">
        <v>125</v>
      </c>
      <c r="Q38" s="9" t="s">
        <v>123</v>
      </c>
    </row>
    <row r="39">
      <c r="A39" s="1">
        <v>46006.48052864583</v>
      </c>
      <c r="B39" s="2" t="s">
        <v>75</v>
      </c>
      <c r="C39" s="5">
        <v>46006.0</v>
      </c>
      <c r="D39" s="2" t="s">
        <v>19</v>
      </c>
      <c r="E39" s="2" t="s">
        <v>20</v>
      </c>
      <c r="G39" s="2">
        <v>9.0</v>
      </c>
      <c r="H39" s="2" t="s">
        <v>66</v>
      </c>
      <c r="I39" s="2" t="s">
        <v>126</v>
      </c>
      <c r="J39" s="3">
        <v>35.0</v>
      </c>
      <c r="K39" s="3">
        <v>300.0</v>
      </c>
      <c r="L39" s="3">
        <v>300.0</v>
      </c>
      <c r="M39" s="2" t="s">
        <v>75</v>
      </c>
      <c r="N39" s="12" t="s">
        <v>24</v>
      </c>
      <c r="O39" s="13">
        <v>46357.0</v>
      </c>
      <c r="Q39" s="9" t="s">
        <v>123</v>
      </c>
    </row>
    <row r="40">
      <c r="A40" s="1">
        <v>46006.48052864583</v>
      </c>
      <c r="B40" s="2" t="s">
        <v>75</v>
      </c>
      <c r="C40" s="5">
        <v>46006.0</v>
      </c>
      <c r="D40" s="2" t="s">
        <v>19</v>
      </c>
      <c r="E40" s="2" t="s">
        <v>20</v>
      </c>
      <c r="G40" s="2">
        <v>1.0</v>
      </c>
      <c r="H40" s="2" t="s">
        <v>21</v>
      </c>
      <c r="I40" s="2" t="s">
        <v>127</v>
      </c>
      <c r="J40" s="6"/>
      <c r="K40" s="3">
        <v>0.0</v>
      </c>
      <c r="L40" s="3">
        <v>0.0</v>
      </c>
      <c r="M40" s="2" t="s">
        <v>75</v>
      </c>
      <c r="N40" s="12" t="s">
        <v>24</v>
      </c>
      <c r="O40" s="2" t="s">
        <v>122</v>
      </c>
      <c r="Q40" s="9" t="s">
        <v>123</v>
      </c>
    </row>
    <row r="41">
      <c r="A41" s="1">
        <v>46015.609556111114</v>
      </c>
      <c r="B41" s="2" t="s">
        <v>62</v>
      </c>
      <c r="C41" s="5">
        <v>46014.0</v>
      </c>
      <c r="D41" s="2" t="s">
        <v>19</v>
      </c>
      <c r="E41" s="2" t="s">
        <v>20</v>
      </c>
      <c r="G41" s="2">
        <v>100.0</v>
      </c>
      <c r="H41" s="2" t="s">
        <v>21</v>
      </c>
      <c r="I41" s="2" t="s">
        <v>128</v>
      </c>
      <c r="J41" s="3">
        <v>400.0</v>
      </c>
      <c r="K41" s="3">
        <v>400.0</v>
      </c>
      <c r="L41" s="3">
        <v>400.0</v>
      </c>
      <c r="M41" s="2" t="s">
        <v>62</v>
      </c>
      <c r="N41" s="12" t="s">
        <v>24</v>
      </c>
      <c r="O41" s="13">
        <v>46357.0</v>
      </c>
      <c r="Q41" s="9" t="s">
        <v>129</v>
      </c>
    </row>
    <row r="42">
      <c r="A42" s="1">
        <v>46015.609556111114</v>
      </c>
      <c r="B42" s="2" t="s">
        <v>62</v>
      </c>
      <c r="C42" s="5">
        <v>46014.0</v>
      </c>
      <c r="D42" s="2" t="s">
        <v>19</v>
      </c>
      <c r="E42" s="2" t="s">
        <v>20</v>
      </c>
      <c r="G42" s="2">
        <v>1.0</v>
      </c>
      <c r="H42" s="2" t="s">
        <v>21</v>
      </c>
      <c r="I42" s="2" t="s">
        <v>130</v>
      </c>
      <c r="J42" s="3">
        <v>300.0</v>
      </c>
      <c r="K42" s="3">
        <v>300.0</v>
      </c>
      <c r="L42" s="3">
        <v>300.0</v>
      </c>
      <c r="M42" s="2" t="s">
        <v>62</v>
      </c>
      <c r="N42" s="12" t="s">
        <v>131</v>
      </c>
      <c r="Q42" s="9" t="s">
        <v>129</v>
      </c>
    </row>
    <row r="43">
      <c r="A43" s="1">
        <v>46015.61204547454</v>
      </c>
      <c r="B43" s="2" t="s">
        <v>132</v>
      </c>
      <c r="C43" s="5">
        <v>46014.0</v>
      </c>
      <c r="D43" s="2" t="s">
        <v>19</v>
      </c>
      <c r="E43" s="2" t="s">
        <v>20</v>
      </c>
      <c r="G43" s="2">
        <v>2.0</v>
      </c>
      <c r="H43" s="2" t="s">
        <v>21</v>
      </c>
      <c r="I43" s="2" t="s">
        <v>133</v>
      </c>
      <c r="J43" s="3">
        <v>400.0</v>
      </c>
      <c r="K43" s="3">
        <v>800.0</v>
      </c>
      <c r="L43" s="3">
        <v>800.0</v>
      </c>
      <c r="M43" s="2" t="s">
        <v>132</v>
      </c>
      <c r="N43" s="12" t="s">
        <v>24</v>
      </c>
      <c r="O43" s="2" t="s">
        <v>113</v>
      </c>
      <c r="Q43" s="9" t="s">
        <v>134</v>
      </c>
    </row>
    <row r="44">
      <c r="A44" s="1">
        <v>46015.61204547454</v>
      </c>
      <c r="B44" s="2" t="s">
        <v>132</v>
      </c>
      <c r="C44" s="5">
        <v>46014.0</v>
      </c>
      <c r="D44" s="2" t="s">
        <v>19</v>
      </c>
      <c r="E44" s="2" t="s">
        <v>20</v>
      </c>
      <c r="G44" s="2">
        <v>1.0</v>
      </c>
      <c r="H44" s="2" t="s">
        <v>21</v>
      </c>
      <c r="I44" s="2" t="s">
        <v>135</v>
      </c>
      <c r="J44" s="6"/>
      <c r="K44" s="3">
        <v>0.0</v>
      </c>
      <c r="L44" s="3">
        <v>120.0</v>
      </c>
      <c r="M44" s="2" t="s">
        <v>132</v>
      </c>
      <c r="N44" s="12" t="s">
        <v>24</v>
      </c>
      <c r="O44" s="13">
        <v>46357.0</v>
      </c>
      <c r="Q44" s="9" t="s">
        <v>134</v>
      </c>
    </row>
    <row r="45">
      <c r="A45" s="1">
        <v>46019.35962956019</v>
      </c>
      <c r="B45" s="2" t="s">
        <v>101</v>
      </c>
      <c r="C45" s="5">
        <v>46017.0</v>
      </c>
      <c r="D45" s="2" t="s">
        <v>19</v>
      </c>
      <c r="E45" s="2" t="s">
        <v>20</v>
      </c>
      <c r="G45" s="2">
        <v>1.0</v>
      </c>
      <c r="H45" s="2" t="s">
        <v>21</v>
      </c>
      <c r="I45" s="2" t="s">
        <v>136</v>
      </c>
      <c r="J45" s="3">
        <v>120.0</v>
      </c>
      <c r="K45" s="3">
        <v>120.0</v>
      </c>
      <c r="L45" s="3">
        <v>0.0</v>
      </c>
      <c r="M45" s="2" t="s">
        <v>101</v>
      </c>
      <c r="N45" s="12" t="s">
        <v>125</v>
      </c>
      <c r="Q45" s="9" t="s">
        <v>137</v>
      </c>
    </row>
    <row r="46">
      <c r="A46" s="1">
        <v>46021.38567386574</v>
      </c>
      <c r="B46" s="2" t="s">
        <v>105</v>
      </c>
      <c r="C46" s="5">
        <v>46021.0</v>
      </c>
      <c r="D46" s="2" t="s">
        <v>19</v>
      </c>
      <c r="E46" s="2" t="s">
        <v>20</v>
      </c>
      <c r="G46" s="2">
        <v>1.0</v>
      </c>
      <c r="H46" s="2" t="s">
        <v>21</v>
      </c>
      <c r="I46" s="2" t="s">
        <v>138</v>
      </c>
      <c r="J46" s="6"/>
      <c r="K46" s="3">
        <v>0.0</v>
      </c>
      <c r="L46" s="3">
        <v>0.0</v>
      </c>
      <c r="M46" s="2" t="s">
        <v>105</v>
      </c>
      <c r="N46" s="12" t="s">
        <v>24</v>
      </c>
      <c r="O46" s="13">
        <v>46357.0</v>
      </c>
      <c r="Q46" s="9" t="s">
        <v>139</v>
      </c>
    </row>
    <row r="47">
      <c r="A47" s="1">
        <v>46021.38567386574</v>
      </c>
      <c r="B47" s="2" t="s">
        <v>105</v>
      </c>
      <c r="C47" s="5">
        <v>46021.0</v>
      </c>
      <c r="D47" s="2" t="s">
        <v>19</v>
      </c>
      <c r="E47" s="2" t="s">
        <v>20</v>
      </c>
      <c r="G47" s="2">
        <v>2.0</v>
      </c>
      <c r="H47" s="2" t="s">
        <v>21</v>
      </c>
      <c r="I47" s="2" t="s">
        <v>140</v>
      </c>
      <c r="J47" s="3">
        <v>360.0</v>
      </c>
      <c r="K47" s="3">
        <v>720.0</v>
      </c>
      <c r="L47" s="3">
        <v>720.0</v>
      </c>
      <c r="M47" s="2" t="s">
        <v>105</v>
      </c>
      <c r="N47" s="12" t="s">
        <v>24</v>
      </c>
      <c r="O47" s="2" t="s">
        <v>113</v>
      </c>
      <c r="Q47" s="9" t="s">
        <v>139</v>
      </c>
    </row>
    <row r="48">
      <c r="A48" s="1">
        <v>46021.38831862269</v>
      </c>
      <c r="B48" s="2" t="s">
        <v>71</v>
      </c>
      <c r="C48" s="5">
        <v>46021.0</v>
      </c>
      <c r="D48" s="2" t="s">
        <v>19</v>
      </c>
      <c r="E48" s="2" t="s">
        <v>20</v>
      </c>
      <c r="G48" s="2">
        <v>3.0</v>
      </c>
      <c r="H48" s="2" t="s">
        <v>66</v>
      </c>
      <c r="I48" s="2" t="s">
        <v>141</v>
      </c>
      <c r="J48" s="3">
        <v>120.0</v>
      </c>
      <c r="K48" s="3">
        <v>360.0</v>
      </c>
      <c r="L48" s="3">
        <v>360.0</v>
      </c>
      <c r="M48" s="2" t="s">
        <v>71</v>
      </c>
      <c r="N48" s="12" t="s">
        <v>24</v>
      </c>
      <c r="O48" s="2" t="s">
        <v>142</v>
      </c>
      <c r="Q48" s="9" t="s">
        <v>143</v>
      </c>
    </row>
    <row r="49">
      <c r="A49" s="1">
        <v>46024.44272160879</v>
      </c>
      <c r="B49" s="2" t="s">
        <v>144</v>
      </c>
      <c r="C49" s="5">
        <v>46024.0</v>
      </c>
      <c r="D49" s="2" t="s">
        <v>19</v>
      </c>
      <c r="E49" s="2" t="s">
        <v>20</v>
      </c>
      <c r="G49" s="2">
        <v>1.0</v>
      </c>
      <c r="I49" s="2" t="s">
        <v>145</v>
      </c>
      <c r="J49" s="3">
        <v>10000.0</v>
      </c>
      <c r="K49" s="3">
        <v>10000.0</v>
      </c>
      <c r="L49" s="3">
        <v>10000.0</v>
      </c>
      <c r="M49" s="2" t="s">
        <v>146</v>
      </c>
      <c r="N49" s="12" t="s">
        <v>147</v>
      </c>
      <c r="Q49" s="9" t="s">
        <v>148</v>
      </c>
    </row>
    <row r="50">
      <c r="A50" s="1">
        <v>46024.49604329861</v>
      </c>
      <c r="B50" s="2" t="s">
        <v>149</v>
      </c>
      <c r="C50" s="5">
        <v>46024.0</v>
      </c>
      <c r="D50" s="2" t="s">
        <v>19</v>
      </c>
      <c r="E50" s="2" t="s">
        <v>20</v>
      </c>
      <c r="G50" s="2">
        <v>1.0</v>
      </c>
      <c r="I50" s="2" t="s">
        <v>150</v>
      </c>
      <c r="J50" s="3">
        <v>10000.0</v>
      </c>
      <c r="K50" s="3">
        <v>10000.0</v>
      </c>
      <c r="L50" s="3">
        <v>10000.0</v>
      </c>
      <c r="M50" s="2" t="s">
        <v>151</v>
      </c>
      <c r="N50" s="12" t="s">
        <v>147</v>
      </c>
      <c r="Q50" s="9" t="s">
        <v>152</v>
      </c>
    </row>
    <row r="51">
      <c r="A51" s="1">
        <v>46024.51589938658</v>
      </c>
      <c r="B51" s="2" t="s">
        <v>95</v>
      </c>
      <c r="C51" s="5">
        <v>46024.0</v>
      </c>
      <c r="D51" s="2" t="s">
        <v>19</v>
      </c>
      <c r="E51" s="2" t="s">
        <v>20</v>
      </c>
      <c r="G51" s="2">
        <v>3.0</v>
      </c>
      <c r="I51" s="2" t="s">
        <v>153</v>
      </c>
      <c r="J51" s="3">
        <v>1000.0</v>
      </c>
      <c r="K51" s="3">
        <v>3000.0</v>
      </c>
      <c r="L51" s="3">
        <v>3000.0</v>
      </c>
      <c r="M51" s="2" t="s">
        <v>154</v>
      </c>
      <c r="N51" s="12" t="s">
        <v>147</v>
      </c>
      <c r="Q51" s="8" t="s">
        <v>155</v>
      </c>
    </row>
    <row r="52">
      <c r="A52" s="1">
        <v>46024.648086180554</v>
      </c>
      <c r="B52" s="2" t="s">
        <v>55</v>
      </c>
      <c r="C52" s="5">
        <v>45659.0</v>
      </c>
      <c r="D52" s="2" t="s">
        <v>19</v>
      </c>
      <c r="E52" s="2" t="s">
        <v>20</v>
      </c>
      <c r="G52" s="2">
        <v>3.0</v>
      </c>
      <c r="H52" s="2" t="s">
        <v>156</v>
      </c>
      <c r="I52" s="2" t="s">
        <v>157</v>
      </c>
      <c r="J52" s="3">
        <v>300.0</v>
      </c>
      <c r="K52" s="3">
        <v>900.0</v>
      </c>
      <c r="L52" s="3">
        <v>990.0</v>
      </c>
      <c r="M52" s="2" t="s">
        <v>158</v>
      </c>
      <c r="N52" s="12" t="s">
        <v>147</v>
      </c>
      <c r="Q52" s="9" t="s">
        <v>159</v>
      </c>
    </row>
    <row r="53">
      <c r="A53" s="1">
        <v>46024.648086180554</v>
      </c>
      <c r="B53" s="2" t="s">
        <v>55</v>
      </c>
      <c r="C53" s="5">
        <v>45659.0</v>
      </c>
      <c r="D53" s="2" t="s">
        <v>19</v>
      </c>
      <c r="E53" s="2" t="s">
        <v>20</v>
      </c>
      <c r="G53" s="2">
        <v>3.0</v>
      </c>
      <c r="H53" s="2" t="s">
        <v>156</v>
      </c>
      <c r="I53" s="2" t="s">
        <v>160</v>
      </c>
      <c r="J53" s="3">
        <v>30.0</v>
      </c>
      <c r="K53" s="3">
        <v>90.0</v>
      </c>
      <c r="L53" s="3">
        <v>990.0</v>
      </c>
      <c r="M53" s="2" t="s">
        <v>158</v>
      </c>
      <c r="N53" s="12" t="s">
        <v>147</v>
      </c>
      <c r="Q53" s="9" t="s">
        <v>159</v>
      </c>
    </row>
    <row r="54">
      <c r="A54" s="1">
        <v>46026.37118901621</v>
      </c>
      <c r="B54" s="2" t="s">
        <v>95</v>
      </c>
      <c r="C54" s="5">
        <v>46026.0</v>
      </c>
      <c r="D54" s="2" t="s">
        <v>19</v>
      </c>
      <c r="E54" s="2" t="s">
        <v>20</v>
      </c>
      <c r="G54" s="2">
        <v>1.0</v>
      </c>
      <c r="I54" s="2" t="s">
        <v>161</v>
      </c>
      <c r="J54" s="3">
        <v>50000.0</v>
      </c>
      <c r="K54" s="3">
        <v>50000.0</v>
      </c>
      <c r="L54" s="3">
        <v>50000.0</v>
      </c>
      <c r="M54" s="2" t="s">
        <v>162</v>
      </c>
      <c r="N54" s="12" t="s">
        <v>147</v>
      </c>
      <c r="Q54" s="9" t="s">
        <v>163</v>
      </c>
    </row>
    <row r="55">
      <c r="A55" s="1">
        <v>46026.44423241898</v>
      </c>
      <c r="B55" s="2" t="s">
        <v>164</v>
      </c>
      <c r="C55" s="5">
        <v>46026.0</v>
      </c>
      <c r="D55" s="2" t="s">
        <v>19</v>
      </c>
      <c r="E55" s="2" t="s">
        <v>20</v>
      </c>
      <c r="G55" s="2">
        <v>1.0</v>
      </c>
      <c r="I55" s="2" t="s">
        <v>165</v>
      </c>
      <c r="J55" s="3">
        <v>1945.0</v>
      </c>
      <c r="K55" s="3">
        <v>1945.0</v>
      </c>
      <c r="L55" s="3">
        <v>1945.0</v>
      </c>
      <c r="M55" s="2" t="s">
        <v>166</v>
      </c>
      <c r="N55" s="12" t="s">
        <v>147</v>
      </c>
      <c r="Q55" s="9" t="s">
        <v>167</v>
      </c>
    </row>
    <row r="56">
      <c r="A56" s="1">
        <v>46026.47134427083</v>
      </c>
      <c r="B56" s="2" t="s">
        <v>164</v>
      </c>
      <c r="C56" s="5">
        <v>46026.0</v>
      </c>
      <c r="D56" s="2" t="s">
        <v>19</v>
      </c>
      <c r="E56" s="2" t="s">
        <v>20</v>
      </c>
      <c r="G56" s="2">
        <v>1.0</v>
      </c>
      <c r="I56" s="2" t="s">
        <v>168</v>
      </c>
      <c r="J56" s="3">
        <v>10000.0</v>
      </c>
      <c r="K56" s="3">
        <v>10000.0</v>
      </c>
      <c r="L56" s="3">
        <v>10000.0</v>
      </c>
      <c r="M56" s="2" t="s">
        <v>166</v>
      </c>
      <c r="N56" s="12" t="s">
        <v>147</v>
      </c>
      <c r="Q56" s="9" t="s">
        <v>169</v>
      </c>
    </row>
    <row r="57">
      <c r="A57" s="1">
        <v>46026.54867966435</v>
      </c>
      <c r="B57" s="2" t="s">
        <v>108</v>
      </c>
      <c r="C57" s="5">
        <v>46026.0</v>
      </c>
      <c r="D57" s="2" t="s">
        <v>19</v>
      </c>
      <c r="E57" s="2" t="s">
        <v>20</v>
      </c>
      <c r="G57" s="2">
        <v>1.0</v>
      </c>
      <c r="H57" s="2" t="s">
        <v>170</v>
      </c>
      <c r="I57" s="2" t="s">
        <v>171</v>
      </c>
      <c r="J57" s="3">
        <v>10127.0</v>
      </c>
      <c r="K57" s="3">
        <v>10127.0</v>
      </c>
      <c r="L57" s="3">
        <v>10127.0</v>
      </c>
      <c r="M57" s="2" t="s">
        <v>172</v>
      </c>
      <c r="N57" s="12" t="s">
        <v>147</v>
      </c>
      <c r="Q57" s="9" t="s">
        <v>173</v>
      </c>
    </row>
    <row r="58">
      <c r="A58" s="1">
        <v>46026.56908857639</v>
      </c>
      <c r="B58" s="2" t="s">
        <v>174</v>
      </c>
      <c r="C58" s="5">
        <v>46026.0</v>
      </c>
      <c r="D58" s="2" t="s">
        <v>19</v>
      </c>
      <c r="E58" s="2" t="s">
        <v>20</v>
      </c>
      <c r="G58" s="2">
        <v>3.0</v>
      </c>
      <c r="H58" s="2" t="s">
        <v>66</v>
      </c>
      <c r="I58" s="2" t="s">
        <v>175</v>
      </c>
      <c r="J58" s="3">
        <v>2500.0</v>
      </c>
      <c r="K58" s="3">
        <v>7500.0</v>
      </c>
      <c r="L58" s="3">
        <v>7500.0</v>
      </c>
      <c r="M58" s="2" t="s">
        <v>176</v>
      </c>
      <c r="N58" s="12" t="s">
        <v>125</v>
      </c>
      <c r="Q58" s="9" t="s">
        <v>177</v>
      </c>
    </row>
    <row r="59">
      <c r="A59" s="1">
        <v>46026.622980381944</v>
      </c>
      <c r="B59" s="2" t="s">
        <v>164</v>
      </c>
      <c r="C59" s="5">
        <v>46026.0</v>
      </c>
      <c r="D59" s="2" t="s">
        <v>19</v>
      </c>
      <c r="E59" s="2" t="s">
        <v>20</v>
      </c>
      <c r="G59" s="2">
        <v>1.0</v>
      </c>
      <c r="I59" s="2" t="s">
        <v>178</v>
      </c>
      <c r="J59" s="3">
        <v>350.0</v>
      </c>
      <c r="K59" s="3">
        <v>350.0</v>
      </c>
      <c r="L59" s="3">
        <v>350.0</v>
      </c>
      <c r="M59" s="2" t="s">
        <v>166</v>
      </c>
      <c r="N59" s="12" t="s">
        <v>147</v>
      </c>
      <c r="Q59" s="9" t="s">
        <v>179</v>
      </c>
    </row>
    <row r="60">
      <c r="A60" s="1">
        <v>46027.3772665625</v>
      </c>
      <c r="B60" s="2" t="s">
        <v>89</v>
      </c>
      <c r="C60" s="5">
        <v>46027.0</v>
      </c>
      <c r="D60" s="2" t="s">
        <v>19</v>
      </c>
      <c r="E60" s="2" t="s">
        <v>20</v>
      </c>
      <c r="G60" s="2">
        <v>1.0</v>
      </c>
      <c r="I60" s="2" t="s">
        <v>180</v>
      </c>
      <c r="J60" s="3">
        <v>26000.0</v>
      </c>
      <c r="K60" s="3">
        <v>26000.0</v>
      </c>
      <c r="L60" s="3">
        <v>26000.0</v>
      </c>
      <c r="M60" s="2" t="s">
        <v>181</v>
      </c>
      <c r="N60" s="12" t="s">
        <v>147</v>
      </c>
      <c r="Q60" s="9" t="s">
        <v>182</v>
      </c>
    </row>
    <row r="61">
      <c r="A61" s="1">
        <v>46027.51134935185</v>
      </c>
      <c r="B61" s="2" t="s">
        <v>183</v>
      </c>
      <c r="C61" s="5">
        <v>46027.0</v>
      </c>
      <c r="D61" s="2" t="s">
        <v>19</v>
      </c>
      <c r="E61" s="2" t="s">
        <v>20</v>
      </c>
      <c r="G61" s="2">
        <v>1.0</v>
      </c>
      <c r="I61" s="2" t="s">
        <v>184</v>
      </c>
      <c r="J61" s="3">
        <v>8500.0</v>
      </c>
      <c r="K61" s="3">
        <v>8500.0</v>
      </c>
      <c r="L61" s="3">
        <v>8500.0</v>
      </c>
      <c r="M61" s="2" t="s">
        <v>185</v>
      </c>
      <c r="N61" s="12" t="s">
        <v>147</v>
      </c>
      <c r="Q61" s="9" t="s">
        <v>186</v>
      </c>
    </row>
    <row r="62">
      <c r="A62" s="1">
        <v>46027.54287174769</v>
      </c>
      <c r="B62" s="2" t="s">
        <v>174</v>
      </c>
      <c r="C62" s="5">
        <v>46361.0</v>
      </c>
      <c r="D62" s="2" t="s">
        <v>19</v>
      </c>
      <c r="E62" s="2" t="s">
        <v>20</v>
      </c>
      <c r="G62" s="2">
        <v>1.0</v>
      </c>
      <c r="I62" s="2" t="s">
        <v>187</v>
      </c>
      <c r="J62" s="3">
        <v>23000.0</v>
      </c>
      <c r="K62" s="3">
        <v>23000.0</v>
      </c>
      <c r="L62" s="3">
        <v>23000.0</v>
      </c>
      <c r="M62" s="2" t="s">
        <v>176</v>
      </c>
      <c r="N62" s="12" t="s">
        <v>147</v>
      </c>
      <c r="Q62" s="9" t="s">
        <v>188</v>
      </c>
    </row>
    <row r="63">
      <c r="A63" s="1">
        <v>46027.55505408565</v>
      </c>
      <c r="B63" s="2" t="s">
        <v>40</v>
      </c>
      <c r="C63" s="5">
        <v>46027.0</v>
      </c>
      <c r="D63" s="2" t="s">
        <v>19</v>
      </c>
      <c r="E63" s="2" t="s">
        <v>20</v>
      </c>
      <c r="G63" s="2">
        <v>2.0</v>
      </c>
      <c r="I63" s="2" t="s">
        <v>189</v>
      </c>
      <c r="J63" s="3">
        <v>1000.0</v>
      </c>
      <c r="K63" s="3">
        <v>2000.0</v>
      </c>
      <c r="L63" s="3">
        <v>2000.0</v>
      </c>
      <c r="M63" s="2" t="s">
        <v>190</v>
      </c>
      <c r="N63" s="12" t="s">
        <v>147</v>
      </c>
      <c r="Q63" s="9" t="s">
        <v>191</v>
      </c>
    </row>
    <row r="64">
      <c r="A64" s="1">
        <v>46027.57928276621</v>
      </c>
      <c r="B64" s="2" t="s">
        <v>26</v>
      </c>
      <c r="C64" s="5">
        <v>46027.0</v>
      </c>
      <c r="D64" s="2" t="s">
        <v>19</v>
      </c>
      <c r="E64" s="2" t="s">
        <v>20</v>
      </c>
      <c r="G64" s="2">
        <v>1.0</v>
      </c>
      <c r="I64" s="2" t="s">
        <v>192</v>
      </c>
      <c r="J64" s="3">
        <v>23000.0</v>
      </c>
      <c r="K64" s="3">
        <v>23000.0</v>
      </c>
      <c r="L64" s="3">
        <v>23000.0</v>
      </c>
      <c r="M64" s="2" t="s">
        <v>193</v>
      </c>
      <c r="N64" s="12" t="s">
        <v>147</v>
      </c>
      <c r="Q64" s="9" t="s">
        <v>194</v>
      </c>
    </row>
    <row r="65">
      <c r="A65" s="1">
        <v>46027.58208945602</v>
      </c>
      <c r="B65" s="2" t="s">
        <v>40</v>
      </c>
      <c r="C65" s="5">
        <v>46027.0</v>
      </c>
      <c r="D65" s="2" t="s">
        <v>19</v>
      </c>
      <c r="E65" s="2" t="s">
        <v>20</v>
      </c>
      <c r="G65" s="2">
        <v>2.0</v>
      </c>
      <c r="I65" s="2" t="s">
        <v>195</v>
      </c>
      <c r="J65" s="3">
        <v>1000.0</v>
      </c>
      <c r="K65" s="3">
        <v>2000.0</v>
      </c>
      <c r="L65" s="3">
        <v>2000.0</v>
      </c>
      <c r="M65" s="2" t="s">
        <v>190</v>
      </c>
      <c r="N65" s="12" t="s">
        <v>147</v>
      </c>
      <c r="Q65" s="9" t="s">
        <v>196</v>
      </c>
    </row>
    <row r="66">
      <c r="A66" s="1">
        <v>46027.61506858796</v>
      </c>
      <c r="B66" s="2" t="s">
        <v>43</v>
      </c>
      <c r="C66" s="5">
        <v>46027.0</v>
      </c>
      <c r="D66" s="2" t="s">
        <v>19</v>
      </c>
      <c r="E66" s="2" t="s">
        <v>20</v>
      </c>
      <c r="G66" s="2">
        <v>1.0</v>
      </c>
      <c r="I66" s="2" t="s">
        <v>197</v>
      </c>
      <c r="J66" s="3">
        <v>3500.0</v>
      </c>
      <c r="K66" s="3">
        <v>3500.0</v>
      </c>
      <c r="L66" s="3">
        <v>3500.0</v>
      </c>
      <c r="M66" s="2" t="s">
        <v>198</v>
      </c>
      <c r="N66" s="12" t="s">
        <v>147</v>
      </c>
      <c r="Q66" s="9" t="s">
        <v>199</v>
      </c>
    </row>
    <row r="67">
      <c r="A67" s="1">
        <v>46027.747854050926</v>
      </c>
      <c r="B67" s="2" t="s">
        <v>200</v>
      </c>
      <c r="C67" s="5">
        <v>46027.0</v>
      </c>
      <c r="D67" s="2" t="s">
        <v>19</v>
      </c>
      <c r="E67" s="2" t="s">
        <v>20</v>
      </c>
      <c r="G67" s="2">
        <v>1.0</v>
      </c>
      <c r="H67" s="2">
        <v>15000.0</v>
      </c>
      <c r="I67" s="2" t="s">
        <v>201</v>
      </c>
      <c r="J67" s="3">
        <v>15000.0</v>
      </c>
      <c r="K67" s="3">
        <v>15000.0</v>
      </c>
      <c r="L67" s="3">
        <v>15000.0</v>
      </c>
      <c r="M67" s="2" t="s">
        <v>202</v>
      </c>
      <c r="N67" s="12" t="s">
        <v>147</v>
      </c>
      <c r="Q67" s="9" t="s">
        <v>203</v>
      </c>
    </row>
    <row r="68">
      <c r="A68" s="1">
        <v>46027.75560884259</v>
      </c>
      <c r="B68" s="2" t="s">
        <v>200</v>
      </c>
      <c r="C68" s="5">
        <v>46027.0</v>
      </c>
      <c r="D68" s="2" t="s">
        <v>19</v>
      </c>
      <c r="E68" s="2" t="s">
        <v>20</v>
      </c>
      <c r="G68" s="2">
        <v>96.0</v>
      </c>
      <c r="H68" s="2" t="s">
        <v>204</v>
      </c>
      <c r="I68" s="2" t="s">
        <v>205</v>
      </c>
      <c r="J68" s="3">
        <v>345.0</v>
      </c>
      <c r="K68" s="3">
        <v>33120.0</v>
      </c>
      <c r="L68" s="3">
        <v>41760.0</v>
      </c>
      <c r="M68" s="2" t="s">
        <v>202</v>
      </c>
      <c r="N68" s="12" t="s">
        <v>147</v>
      </c>
      <c r="Q68" s="9" t="s">
        <v>206</v>
      </c>
    </row>
    <row r="69">
      <c r="A69" s="1">
        <v>46027.75560884259</v>
      </c>
      <c r="B69" s="2" t="s">
        <v>200</v>
      </c>
      <c r="C69" s="5">
        <v>46027.0</v>
      </c>
      <c r="D69" s="2" t="s">
        <v>19</v>
      </c>
      <c r="E69" s="2" t="s">
        <v>20</v>
      </c>
      <c r="G69" s="2">
        <v>144.0</v>
      </c>
      <c r="H69" s="2" t="s">
        <v>204</v>
      </c>
      <c r="I69" s="2" t="s">
        <v>207</v>
      </c>
      <c r="J69" s="3">
        <v>60.0</v>
      </c>
      <c r="K69" s="3">
        <v>8640.0</v>
      </c>
      <c r="L69" s="3">
        <v>41760.0</v>
      </c>
      <c r="M69" s="2" t="s">
        <v>202</v>
      </c>
      <c r="N69" s="12" t="s">
        <v>147</v>
      </c>
      <c r="Q69" s="9" t="s">
        <v>206</v>
      </c>
    </row>
    <row r="70">
      <c r="A70" s="1">
        <v>46028.39567528935</v>
      </c>
      <c r="B70" s="2" t="s">
        <v>71</v>
      </c>
      <c r="C70" s="5">
        <v>46028.0</v>
      </c>
      <c r="D70" s="2" t="s">
        <v>19</v>
      </c>
      <c r="E70" s="2" t="s">
        <v>20</v>
      </c>
      <c r="G70" s="2">
        <v>1.0</v>
      </c>
      <c r="I70" s="2" t="s">
        <v>208</v>
      </c>
      <c r="J70" s="3">
        <v>500.0</v>
      </c>
      <c r="K70" s="3">
        <v>500.0</v>
      </c>
      <c r="L70" s="3">
        <v>500.0</v>
      </c>
      <c r="M70" s="2" t="s">
        <v>209</v>
      </c>
      <c r="N70" s="12" t="s">
        <v>131</v>
      </c>
      <c r="Q70" s="9" t="s">
        <v>210</v>
      </c>
    </row>
    <row r="71">
      <c r="A71" s="1">
        <v>46028.4001894213</v>
      </c>
      <c r="B71" s="2" t="s">
        <v>55</v>
      </c>
      <c r="C71" s="5">
        <v>46028.0</v>
      </c>
      <c r="D71" s="2" t="s">
        <v>19</v>
      </c>
      <c r="E71" s="2" t="s">
        <v>20</v>
      </c>
      <c r="G71" s="2">
        <v>1.0</v>
      </c>
      <c r="I71" s="2" t="s">
        <v>211</v>
      </c>
      <c r="J71" s="3">
        <v>9595.0</v>
      </c>
      <c r="K71" s="3">
        <v>9595.0</v>
      </c>
      <c r="L71" s="3">
        <v>11175.0</v>
      </c>
      <c r="M71" s="2" t="s">
        <v>158</v>
      </c>
      <c r="N71" s="12" t="s">
        <v>147</v>
      </c>
      <c r="Q71" s="9" t="s">
        <v>212</v>
      </c>
    </row>
    <row r="72">
      <c r="A72" s="1">
        <v>46028.4001894213</v>
      </c>
      <c r="B72" s="2" t="s">
        <v>55</v>
      </c>
      <c r="C72" s="5">
        <v>46028.0</v>
      </c>
      <c r="D72" s="2" t="s">
        <v>19</v>
      </c>
      <c r="E72" s="2" t="s">
        <v>20</v>
      </c>
      <c r="G72" s="2">
        <v>1.0</v>
      </c>
      <c r="I72" s="2" t="s">
        <v>213</v>
      </c>
      <c r="J72" s="3">
        <v>1250.0</v>
      </c>
      <c r="K72" s="3">
        <v>1250.0</v>
      </c>
      <c r="L72" s="3">
        <v>11175.0</v>
      </c>
      <c r="M72" s="2" t="s">
        <v>158</v>
      </c>
      <c r="N72" s="12" t="s">
        <v>147</v>
      </c>
      <c r="Q72" s="9" t="s">
        <v>212</v>
      </c>
    </row>
    <row r="73">
      <c r="A73" s="1">
        <v>46028.4001894213</v>
      </c>
      <c r="B73" s="2" t="s">
        <v>55</v>
      </c>
      <c r="C73" s="5">
        <v>46028.0</v>
      </c>
      <c r="D73" s="2" t="s">
        <v>19</v>
      </c>
      <c r="E73" s="2" t="s">
        <v>20</v>
      </c>
      <c r="G73" s="2">
        <v>1.0</v>
      </c>
      <c r="I73" s="2" t="s">
        <v>214</v>
      </c>
      <c r="J73" s="3">
        <v>330.0</v>
      </c>
      <c r="K73" s="3">
        <v>330.0</v>
      </c>
      <c r="L73" s="3">
        <v>11175.0</v>
      </c>
      <c r="M73" s="2" t="s">
        <v>158</v>
      </c>
      <c r="N73" s="12" t="s">
        <v>147</v>
      </c>
      <c r="Q73" s="9" t="s">
        <v>212</v>
      </c>
    </row>
    <row r="74">
      <c r="A74" s="1">
        <v>46028.40031631944</v>
      </c>
      <c r="B74" s="2" t="s">
        <v>95</v>
      </c>
      <c r="C74" s="5">
        <v>46028.0</v>
      </c>
      <c r="D74" s="2" t="s">
        <v>19</v>
      </c>
      <c r="E74" s="2" t="s">
        <v>20</v>
      </c>
      <c r="G74" s="2">
        <v>1.0</v>
      </c>
      <c r="I74" s="2" t="s">
        <v>195</v>
      </c>
      <c r="J74" s="3">
        <v>1000.0</v>
      </c>
      <c r="K74" s="3">
        <v>1000.0</v>
      </c>
      <c r="L74" s="3">
        <v>1000.0</v>
      </c>
      <c r="M74" s="2" t="s">
        <v>162</v>
      </c>
      <c r="N74" s="12" t="s">
        <v>147</v>
      </c>
      <c r="Q74" s="9" t="s">
        <v>215</v>
      </c>
    </row>
    <row r="75">
      <c r="A75" s="1">
        <v>46028.412914988425</v>
      </c>
      <c r="B75" s="2" t="s">
        <v>65</v>
      </c>
      <c r="C75" s="5">
        <v>46028.0</v>
      </c>
      <c r="D75" s="2" t="s">
        <v>19</v>
      </c>
      <c r="E75" s="2" t="s">
        <v>20</v>
      </c>
      <c r="G75" s="2">
        <v>1.0</v>
      </c>
      <c r="I75" s="2" t="s">
        <v>216</v>
      </c>
      <c r="J75" s="3">
        <v>2030.0</v>
      </c>
      <c r="K75" s="3">
        <v>2030.0</v>
      </c>
      <c r="L75" s="3">
        <v>26778.0</v>
      </c>
      <c r="M75" s="2" t="s">
        <v>217</v>
      </c>
      <c r="N75" s="12" t="s">
        <v>147</v>
      </c>
      <c r="Q75" s="9" t="s">
        <v>218</v>
      </c>
    </row>
    <row r="76">
      <c r="A76" s="1">
        <v>46028.412914988425</v>
      </c>
      <c r="B76" s="2" t="s">
        <v>65</v>
      </c>
      <c r="C76" s="5">
        <v>46028.0</v>
      </c>
      <c r="D76" s="2" t="s">
        <v>19</v>
      </c>
      <c r="E76" s="2" t="s">
        <v>20</v>
      </c>
      <c r="G76" s="2">
        <v>1.0</v>
      </c>
      <c r="I76" s="2" t="s">
        <v>219</v>
      </c>
      <c r="J76" s="3">
        <v>24748.0</v>
      </c>
      <c r="K76" s="3">
        <v>24748.0</v>
      </c>
      <c r="L76" s="3">
        <v>26778.0</v>
      </c>
      <c r="M76" s="2" t="s">
        <v>217</v>
      </c>
      <c r="N76" s="12" t="s">
        <v>147</v>
      </c>
      <c r="Q76" s="9" t="s">
        <v>218</v>
      </c>
    </row>
    <row r="77">
      <c r="A77" s="1">
        <v>46028.45347766204</v>
      </c>
      <c r="B77" s="2" t="s">
        <v>220</v>
      </c>
      <c r="C77" s="5">
        <v>46028.0</v>
      </c>
      <c r="D77" s="2" t="s">
        <v>19</v>
      </c>
      <c r="E77" s="2" t="s">
        <v>20</v>
      </c>
      <c r="G77" s="2">
        <v>1.0</v>
      </c>
      <c r="I77" s="2" t="s">
        <v>221</v>
      </c>
      <c r="J77" s="3">
        <v>35000.0</v>
      </c>
      <c r="K77" s="3">
        <v>35000.0</v>
      </c>
      <c r="L77" s="3">
        <v>35000.0</v>
      </c>
      <c r="M77" s="2" t="s">
        <v>222</v>
      </c>
      <c r="N77" s="12" t="s">
        <v>147</v>
      </c>
      <c r="Q77" s="9" t="s">
        <v>223</v>
      </c>
    </row>
    <row r="78">
      <c r="A78" s="1">
        <v>46028.67818474537</v>
      </c>
      <c r="B78" s="2" t="s">
        <v>40</v>
      </c>
      <c r="C78" s="5">
        <v>46028.0</v>
      </c>
      <c r="D78" s="2" t="s">
        <v>19</v>
      </c>
      <c r="E78" s="2" t="s">
        <v>20</v>
      </c>
      <c r="G78" s="2">
        <v>1.0</v>
      </c>
      <c r="I78" s="2" t="s">
        <v>224</v>
      </c>
      <c r="J78" s="3">
        <v>2875.0</v>
      </c>
      <c r="K78" s="3">
        <v>2875.0</v>
      </c>
      <c r="L78" s="3">
        <v>2875.0</v>
      </c>
      <c r="M78" s="2" t="s">
        <v>225</v>
      </c>
      <c r="N78" s="12" t="s">
        <v>147</v>
      </c>
      <c r="Q78" s="9" t="s">
        <v>226</v>
      </c>
    </row>
    <row r="79">
      <c r="A79" s="1">
        <v>46028.683793344906</v>
      </c>
      <c r="B79" s="2" t="s">
        <v>89</v>
      </c>
      <c r="C79" s="5">
        <v>46028.0</v>
      </c>
      <c r="D79" s="2" t="s">
        <v>19</v>
      </c>
      <c r="E79" s="2" t="s">
        <v>20</v>
      </c>
      <c r="G79" s="2">
        <v>1.0</v>
      </c>
      <c r="I79" s="2" t="s">
        <v>227</v>
      </c>
      <c r="J79" s="3">
        <v>70805.0</v>
      </c>
      <c r="K79" s="3">
        <v>70805.0</v>
      </c>
      <c r="L79" s="3">
        <v>70805.0</v>
      </c>
      <c r="M79" s="2" t="s">
        <v>228</v>
      </c>
      <c r="N79" s="12" t="s">
        <v>147</v>
      </c>
      <c r="Q79" s="9" t="s">
        <v>229</v>
      </c>
    </row>
    <row r="80">
      <c r="A80" s="1">
        <v>46028.71960921296</v>
      </c>
      <c r="B80" s="2" t="s">
        <v>144</v>
      </c>
      <c r="C80" s="5">
        <v>46028.0</v>
      </c>
      <c r="D80" s="2" t="s">
        <v>19</v>
      </c>
      <c r="E80" s="2" t="s">
        <v>20</v>
      </c>
      <c r="G80" s="2">
        <v>1.0</v>
      </c>
      <c r="I80" s="2" t="s">
        <v>230</v>
      </c>
      <c r="J80" s="3">
        <v>1000.0</v>
      </c>
      <c r="K80" s="3">
        <v>1000.0</v>
      </c>
      <c r="L80" s="3">
        <v>2000.0</v>
      </c>
      <c r="M80" s="2" t="s">
        <v>231</v>
      </c>
      <c r="N80" s="12" t="s">
        <v>147</v>
      </c>
      <c r="Q80" s="9" t="s">
        <v>232</v>
      </c>
    </row>
    <row r="81">
      <c r="A81" s="1">
        <v>46028.71960921296</v>
      </c>
      <c r="B81" s="2" t="s">
        <v>144</v>
      </c>
      <c r="C81" s="5">
        <v>46028.0</v>
      </c>
      <c r="D81" s="2" t="s">
        <v>19</v>
      </c>
      <c r="E81" s="2" t="s">
        <v>20</v>
      </c>
      <c r="G81" s="2">
        <v>1.0</v>
      </c>
      <c r="I81" s="2" t="s">
        <v>233</v>
      </c>
      <c r="J81" s="3">
        <v>1000.0</v>
      </c>
      <c r="K81" s="3">
        <v>1000.0</v>
      </c>
      <c r="L81" s="3">
        <v>2000.0</v>
      </c>
      <c r="M81" s="2" t="s">
        <v>231</v>
      </c>
      <c r="N81" s="12" t="s">
        <v>147</v>
      </c>
      <c r="Q81" s="9" t="s">
        <v>232</v>
      </c>
    </row>
    <row r="82">
      <c r="A82" s="1">
        <v>46028.72736601852</v>
      </c>
      <c r="B82" s="2" t="s">
        <v>55</v>
      </c>
      <c r="C82" s="5">
        <v>46028.0</v>
      </c>
      <c r="D82" s="2" t="s">
        <v>19</v>
      </c>
      <c r="E82" s="2" t="s">
        <v>20</v>
      </c>
      <c r="G82" s="2">
        <v>1.0</v>
      </c>
      <c r="I82" s="2" t="s">
        <v>234</v>
      </c>
      <c r="J82" s="3">
        <v>300.0</v>
      </c>
      <c r="K82" s="3">
        <v>300.0</v>
      </c>
      <c r="L82" s="3">
        <v>300.0</v>
      </c>
      <c r="M82" s="2" t="s">
        <v>235</v>
      </c>
      <c r="N82" s="12" t="s">
        <v>147</v>
      </c>
      <c r="Q82" s="9" t="s">
        <v>236</v>
      </c>
    </row>
    <row r="83">
      <c r="A83" s="1">
        <v>46029.359850486115</v>
      </c>
      <c r="B83" s="2" t="s">
        <v>36</v>
      </c>
      <c r="C83" s="5">
        <v>46029.0</v>
      </c>
      <c r="D83" s="2" t="s">
        <v>19</v>
      </c>
      <c r="E83" s="2" t="s">
        <v>20</v>
      </c>
      <c r="G83" s="2">
        <v>1.0</v>
      </c>
      <c r="I83" s="2" t="s">
        <v>237</v>
      </c>
      <c r="J83" s="3">
        <v>6345.0</v>
      </c>
      <c r="K83" s="3">
        <v>6345.0</v>
      </c>
      <c r="L83" s="3">
        <v>6345.0</v>
      </c>
      <c r="M83" s="2" t="s">
        <v>238</v>
      </c>
      <c r="N83" s="12" t="s">
        <v>147</v>
      </c>
      <c r="Q83" s="9" t="s">
        <v>239</v>
      </c>
    </row>
    <row r="84">
      <c r="A84" s="1">
        <v>46029.359850486115</v>
      </c>
      <c r="B84" s="2" t="s">
        <v>36</v>
      </c>
      <c r="C84" s="5">
        <v>46029.0</v>
      </c>
      <c r="D84" s="2" t="s">
        <v>19</v>
      </c>
      <c r="E84" s="2" t="s">
        <v>20</v>
      </c>
      <c r="G84" s="2">
        <v>1.0</v>
      </c>
      <c r="I84" s="2" t="s">
        <v>240</v>
      </c>
      <c r="J84" s="6"/>
      <c r="K84" s="3">
        <v>0.0</v>
      </c>
      <c r="L84" s="3">
        <v>6345.0</v>
      </c>
      <c r="M84" s="2" t="s">
        <v>238</v>
      </c>
      <c r="N84" s="12" t="s">
        <v>147</v>
      </c>
      <c r="Q84" s="9" t="s">
        <v>239</v>
      </c>
    </row>
    <row r="85">
      <c r="A85" s="1">
        <v>46029.36592930555</v>
      </c>
      <c r="B85" s="2" t="s">
        <v>75</v>
      </c>
      <c r="C85" s="5">
        <v>46029.0</v>
      </c>
      <c r="D85" s="2" t="s">
        <v>19</v>
      </c>
      <c r="E85" s="2" t="s">
        <v>20</v>
      </c>
      <c r="G85" s="2">
        <v>1.0</v>
      </c>
      <c r="I85" s="2" t="s">
        <v>241</v>
      </c>
      <c r="J85" s="3">
        <v>28000.0</v>
      </c>
      <c r="K85" s="3">
        <v>28000.0</v>
      </c>
      <c r="L85" s="3">
        <v>28000.0</v>
      </c>
      <c r="M85" s="2" t="s">
        <v>242</v>
      </c>
      <c r="N85" s="12" t="s">
        <v>147</v>
      </c>
      <c r="Q85" s="9" t="s">
        <v>243</v>
      </c>
    </row>
    <row r="86">
      <c r="A86" s="1">
        <v>46029.368942905094</v>
      </c>
      <c r="B86" s="2" t="s">
        <v>244</v>
      </c>
      <c r="C86" s="5">
        <v>46029.0</v>
      </c>
      <c r="D86" s="2" t="s">
        <v>19</v>
      </c>
      <c r="E86" s="2" t="s">
        <v>20</v>
      </c>
      <c r="G86" s="2">
        <v>1.0</v>
      </c>
      <c r="I86" s="2" t="s">
        <v>245</v>
      </c>
      <c r="J86" s="3">
        <v>22000.0</v>
      </c>
      <c r="K86" s="3">
        <v>22000.0</v>
      </c>
      <c r="L86" s="3">
        <v>22000.0</v>
      </c>
      <c r="M86" s="2" t="s">
        <v>246</v>
      </c>
      <c r="N86" s="12" t="s">
        <v>147</v>
      </c>
      <c r="Q86" s="9" t="s">
        <v>247</v>
      </c>
    </row>
    <row r="87">
      <c r="A87" s="1">
        <v>46029.38185262731</v>
      </c>
      <c r="B87" s="2" t="s">
        <v>108</v>
      </c>
      <c r="C87" s="5">
        <v>46029.0</v>
      </c>
      <c r="D87" s="2" t="s">
        <v>19</v>
      </c>
      <c r="E87" s="2" t="s">
        <v>20</v>
      </c>
      <c r="G87" s="2">
        <v>6.0</v>
      </c>
      <c r="I87" s="2" t="s">
        <v>195</v>
      </c>
      <c r="J87" s="3">
        <v>1000.0</v>
      </c>
      <c r="K87" s="3">
        <v>6000.0</v>
      </c>
      <c r="L87" s="3">
        <v>6000.0</v>
      </c>
      <c r="M87" s="2" t="s">
        <v>172</v>
      </c>
      <c r="N87" s="12" t="s">
        <v>147</v>
      </c>
      <c r="Q87" s="9" t="s">
        <v>248</v>
      </c>
    </row>
    <row r="88">
      <c r="A88" s="1">
        <v>46029.40619121528</v>
      </c>
      <c r="B88" s="2" t="s">
        <v>164</v>
      </c>
      <c r="C88" s="5">
        <v>46029.0</v>
      </c>
      <c r="D88" s="2" t="s">
        <v>19</v>
      </c>
      <c r="E88" s="2" t="s">
        <v>20</v>
      </c>
      <c r="G88" s="2">
        <v>1.0</v>
      </c>
      <c r="I88" s="2" t="s">
        <v>249</v>
      </c>
      <c r="J88" s="3">
        <v>20000.0</v>
      </c>
      <c r="K88" s="3">
        <v>20000.0</v>
      </c>
      <c r="L88" s="3">
        <v>20000.0</v>
      </c>
      <c r="M88" s="2" t="s">
        <v>166</v>
      </c>
      <c r="N88" s="12" t="s">
        <v>147</v>
      </c>
      <c r="Q88" s="9" t="s">
        <v>250</v>
      </c>
    </row>
    <row r="89">
      <c r="A89" s="1">
        <v>46029.42398910879</v>
      </c>
      <c r="B89" s="2" t="s">
        <v>40</v>
      </c>
      <c r="C89" s="5">
        <v>46007.0</v>
      </c>
      <c r="D89" s="2" t="s">
        <v>19</v>
      </c>
      <c r="E89" s="2" t="s">
        <v>20</v>
      </c>
      <c r="G89" s="2">
        <v>1.0</v>
      </c>
      <c r="H89" s="2" t="s">
        <v>21</v>
      </c>
      <c r="I89" s="2" t="s">
        <v>251</v>
      </c>
      <c r="J89" s="3">
        <v>500.0</v>
      </c>
      <c r="K89" s="3">
        <v>500.0</v>
      </c>
      <c r="L89" s="3">
        <v>500.0</v>
      </c>
      <c r="M89" s="2" t="s">
        <v>252</v>
      </c>
      <c r="N89" s="12" t="s">
        <v>125</v>
      </c>
      <c r="Q89" s="9" t="s">
        <v>253</v>
      </c>
    </row>
    <row r="90">
      <c r="A90" s="1">
        <v>46029.45360133101</v>
      </c>
      <c r="B90" s="2" t="s">
        <v>183</v>
      </c>
      <c r="C90" s="5">
        <v>46029.0</v>
      </c>
      <c r="D90" s="2" t="s">
        <v>19</v>
      </c>
      <c r="E90" s="2" t="s">
        <v>20</v>
      </c>
      <c r="G90" s="2">
        <v>1.0</v>
      </c>
      <c r="I90" s="2" t="s">
        <v>254</v>
      </c>
      <c r="J90" s="3">
        <v>36437.0</v>
      </c>
      <c r="K90" s="3">
        <v>36437.0</v>
      </c>
      <c r="L90" s="3">
        <v>36437.0</v>
      </c>
      <c r="M90" s="2" t="s">
        <v>185</v>
      </c>
      <c r="N90" s="12" t="s">
        <v>147</v>
      </c>
      <c r="Q90" s="9" t="s">
        <v>255</v>
      </c>
    </row>
    <row r="91">
      <c r="A91" s="1">
        <v>46029.46344179398</v>
      </c>
      <c r="B91" s="2" t="s">
        <v>149</v>
      </c>
      <c r="C91" s="5">
        <v>46029.0</v>
      </c>
      <c r="D91" s="2" t="s">
        <v>19</v>
      </c>
      <c r="E91" s="2" t="s">
        <v>20</v>
      </c>
      <c r="G91" s="2">
        <v>24.0</v>
      </c>
      <c r="H91" s="2" t="s">
        <v>256</v>
      </c>
      <c r="I91" s="2" t="s">
        <v>257</v>
      </c>
      <c r="J91" s="3">
        <v>335.0</v>
      </c>
      <c r="K91" s="3">
        <v>8040.0</v>
      </c>
      <c r="L91" s="3">
        <v>22320.0</v>
      </c>
      <c r="M91" s="2" t="s">
        <v>258</v>
      </c>
      <c r="N91" s="12" t="s">
        <v>147</v>
      </c>
      <c r="Q91" s="9" t="s">
        <v>259</v>
      </c>
    </row>
    <row r="92">
      <c r="A92" s="1">
        <v>46029.46344179398</v>
      </c>
      <c r="B92" s="2" t="s">
        <v>149</v>
      </c>
      <c r="C92" s="5">
        <v>46029.0</v>
      </c>
      <c r="D92" s="2" t="s">
        <v>19</v>
      </c>
      <c r="E92" s="2" t="s">
        <v>20</v>
      </c>
      <c r="G92" s="2">
        <v>24.0</v>
      </c>
      <c r="H92" s="2" t="s">
        <v>256</v>
      </c>
      <c r="I92" s="2" t="s">
        <v>260</v>
      </c>
      <c r="J92" s="3">
        <v>345.0</v>
      </c>
      <c r="K92" s="3">
        <v>8280.0</v>
      </c>
      <c r="L92" s="3">
        <v>22320.0</v>
      </c>
      <c r="M92" s="2" t="s">
        <v>258</v>
      </c>
      <c r="N92" s="12" t="s">
        <v>147</v>
      </c>
      <c r="Q92" s="9" t="s">
        <v>259</v>
      </c>
    </row>
    <row r="93">
      <c r="A93" s="1">
        <v>46029.46344179398</v>
      </c>
      <c r="B93" s="2" t="s">
        <v>149</v>
      </c>
      <c r="C93" s="5">
        <v>46029.0</v>
      </c>
      <c r="D93" s="2" t="s">
        <v>19</v>
      </c>
      <c r="E93" s="2" t="s">
        <v>20</v>
      </c>
      <c r="G93" s="2">
        <v>24.0</v>
      </c>
      <c r="H93" s="2" t="s">
        <v>256</v>
      </c>
      <c r="I93" s="2" t="s">
        <v>261</v>
      </c>
      <c r="J93" s="3">
        <v>250.0</v>
      </c>
      <c r="K93" s="3">
        <v>6000.0</v>
      </c>
      <c r="L93" s="3">
        <v>22320.0</v>
      </c>
      <c r="M93" s="2" t="s">
        <v>258</v>
      </c>
      <c r="N93" s="12" t="s">
        <v>147</v>
      </c>
      <c r="Q93" s="9" t="s">
        <v>259</v>
      </c>
    </row>
    <row r="94">
      <c r="A94" s="1">
        <v>46029.54418744213</v>
      </c>
      <c r="B94" s="2" t="s">
        <v>29</v>
      </c>
      <c r="C94" s="5">
        <v>46029.0</v>
      </c>
      <c r="D94" s="2" t="s">
        <v>19</v>
      </c>
      <c r="E94" s="2" t="s">
        <v>20</v>
      </c>
      <c r="G94" s="2">
        <v>1.0</v>
      </c>
      <c r="I94" s="2" t="s">
        <v>262</v>
      </c>
      <c r="J94" s="3">
        <v>37382.0</v>
      </c>
      <c r="K94" s="3">
        <v>37382.0</v>
      </c>
      <c r="L94" s="3">
        <v>41592.0</v>
      </c>
      <c r="M94" s="2" t="s">
        <v>263</v>
      </c>
      <c r="N94" s="12" t="s">
        <v>147</v>
      </c>
      <c r="Q94" s="9" t="s">
        <v>264</v>
      </c>
    </row>
    <row r="95">
      <c r="A95" s="1">
        <v>46029.54418744213</v>
      </c>
      <c r="B95" s="2" t="s">
        <v>29</v>
      </c>
      <c r="C95" s="5">
        <v>46029.0</v>
      </c>
      <c r="D95" s="2" t="s">
        <v>19</v>
      </c>
      <c r="E95" s="2" t="s">
        <v>20</v>
      </c>
      <c r="G95" s="2">
        <v>1.0</v>
      </c>
      <c r="I95" s="2" t="s">
        <v>216</v>
      </c>
      <c r="J95" s="3">
        <v>1200.0</v>
      </c>
      <c r="K95" s="3">
        <v>1200.0</v>
      </c>
      <c r="L95" s="3">
        <v>41592.0</v>
      </c>
      <c r="M95" s="2" t="s">
        <v>263</v>
      </c>
      <c r="N95" s="12" t="s">
        <v>147</v>
      </c>
      <c r="Q95" s="9" t="s">
        <v>264</v>
      </c>
    </row>
    <row r="96">
      <c r="A96" s="1">
        <v>46029.54418744213</v>
      </c>
      <c r="B96" s="2" t="s">
        <v>29</v>
      </c>
      <c r="C96" s="5">
        <v>46029.0</v>
      </c>
      <c r="D96" s="2" t="s">
        <v>19</v>
      </c>
      <c r="E96" s="2" t="s">
        <v>20</v>
      </c>
      <c r="G96" s="2">
        <v>1.0</v>
      </c>
      <c r="I96" s="2" t="s">
        <v>265</v>
      </c>
      <c r="J96" s="3">
        <v>1775.0</v>
      </c>
      <c r="K96" s="3">
        <v>1775.0</v>
      </c>
      <c r="L96" s="3">
        <v>41592.0</v>
      </c>
      <c r="M96" s="2" t="s">
        <v>263</v>
      </c>
      <c r="N96" s="12" t="s">
        <v>147</v>
      </c>
      <c r="Q96" s="9" t="s">
        <v>264</v>
      </c>
    </row>
    <row r="97">
      <c r="A97" s="1">
        <v>46029.54418744213</v>
      </c>
      <c r="B97" s="2" t="s">
        <v>29</v>
      </c>
      <c r="C97" s="5">
        <v>46029.0</v>
      </c>
      <c r="D97" s="2" t="s">
        <v>19</v>
      </c>
      <c r="E97" s="2" t="s">
        <v>20</v>
      </c>
      <c r="G97" s="2">
        <v>1.0</v>
      </c>
      <c r="I97" s="2" t="s">
        <v>266</v>
      </c>
      <c r="J97" s="3">
        <v>1235.0</v>
      </c>
      <c r="K97" s="3">
        <v>1235.0</v>
      </c>
      <c r="L97" s="3">
        <v>41592.0</v>
      </c>
      <c r="M97" s="2" t="s">
        <v>263</v>
      </c>
      <c r="N97" s="12" t="s">
        <v>147</v>
      </c>
      <c r="Q97" s="9" t="s">
        <v>264</v>
      </c>
    </row>
    <row r="98">
      <c r="A98" s="1">
        <v>46029.59970168982</v>
      </c>
      <c r="B98" s="2" t="s">
        <v>105</v>
      </c>
      <c r="C98" s="5">
        <v>46029.0</v>
      </c>
      <c r="D98" s="2" t="s">
        <v>19</v>
      </c>
      <c r="E98" s="2" t="s">
        <v>20</v>
      </c>
      <c r="G98" s="2">
        <v>1.0</v>
      </c>
      <c r="I98" s="2" t="s">
        <v>267</v>
      </c>
      <c r="J98" s="3">
        <v>1000.0</v>
      </c>
      <c r="K98" s="3">
        <v>1000.0</v>
      </c>
      <c r="L98" s="3">
        <v>6000.0</v>
      </c>
      <c r="M98" s="2" t="s">
        <v>268</v>
      </c>
      <c r="N98" s="12" t="s">
        <v>147</v>
      </c>
      <c r="Q98" s="9" t="s">
        <v>269</v>
      </c>
    </row>
    <row r="99">
      <c r="A99" s="1">
        <v>46029.59970168982</v>
      </c>
      <c r="B99" s="2" t="s">
        <v>105</v>
      </c>
      <c r="C99" s="5">
        <v>46029.0</v>
      </c>
      <c r="D99" s="2" t="s">
        <v>19</v>
      </c>
      <c r="E99" s="2" t="s">
        <v>20</v>
      </c>
      <c r="G99" s="2">
        <v>1.0</v>
      </c>
      <c r="I99" s="2" t="s">
        <v>270</v>
      </c>
      <c r="J99" s="3">
        <v>1000.0</v>
      </c>
      <c r="K99" s="3">
        <v>1000.0</v>
      </c>
      <c r="L99" s="3">
        <v>6000.0</v>
      </c>
      <c r="M99" s="2" t="s">
        <v>268</v>
      </c>
      <c r="N99" s="12" t="s">
        <v>147</v>
      </c>
      <c r="Q99" s="9" t="s">
        <v>269</v>
      </c>
    </row>
    <row r="100">
      <c r="A100" s="1">
        <v>46029.59970168982</v>
      </c>
      <c r="B100" s="2" t="s">
        <v>105</v>
      </c>
      <c r="C100" s="5">
        <v>46029.0</v>
      </c>
      <c r="D100" s="2" t="s">
        <v>19</v>
      </c>
      <c r="E100" s="2" t="s">
        <v>20</v>
      </c>
      <c r="G100" s="2">
        <v>1.0</v>
      </c>
      <c r="I100" s="2" t="s">
        <v>271</v>
      </c>
      <c r="J100" s="3">
        <v>1000.0</v>
      </c>
      <c r="K100" s="3">
        <v>1000.0</v>
      </c>
      <c r="L100" s="3">
        <v>6000.0</v>
      </c>
      <c r="M100" s="2" t="s">
        <v>268</v>
      </c>
      <c r="N100" s="12" t="s">
        <v>147</v>
      </c>
      <c r="Q100" s="9" t="s">
        <v>269</v>
      </c>
    </row>
    <row r="101">
      <c r="A101" s="1">
        <v>46029.59970168982</v>
      </c>
      <c r="B101" s="2" t="s">
        <v>105</v>
      </c>
      <c r="C101" s="5">
        <v>46029.0</v>
      </c>
      <c r="D101" s="2" t="s">
        <v>19</v>
      </c>
      <c r="E101" s="2" t="s">
        <v>20</v>
      </c>
      <c r="G101" s="2">
        <v>1.0</v>
      </c>
      <c r="I101" s="2" t="s">
        <v>272</v>
      </c>
      <c r="J101" s="3">
        <v>1000.0</v>
      </c>
      <c r="K101" s="3">
        <v>1000.0</v>
      </c>
      <c r="L101" s="3">
        <v>6000.0</v>
      </c>
      <c r="M101" s="2" t="s">
        <v>268</v>
      </c>
      <c r="N101" s="12" t="s">
        <v>147</v>
      </c>
      <c r="Q101" s="9" t="s">
        <v>269</v>
      </c>
    </row>
    <row r="102">
      <c r="A102" s="1">
        <v>46029.59970168982</v>
      </c>
      <c r="B102" s="2" t="s">
        <v>105</v>
      </c>
      <c r="C102" s="5">
        <v>46029.0</v>
      </c>
      <c r="D102" s="2" t="s">
        <v>19</v>
      </c>
      <c r="E102" s="2" t="s">
        <v>20</v>
      </c>
      <c r="G102" s="2">
        <v>1.0</v>
      </c>
      <c r="I102" s="2" t="s">
        <v>273</v>
      </c>
      <c r="J102" s="3">
        <v>1000.0</v>
      </c>
      <c r="K102" s="3">
        <v>1000.0</v>
      </c>
      <c r="L102" s="3">
        <v>6000.0</v>
      </c>
      <c r="M102" s="2" t="s">
        <v>268</v>
      </c>
      <c r="N102" s="12" t="s">
        <v>147</v>
      </c>
      <c r="Q102" s="9" t="s">
        <v>269</v>
      </c>
    </row>
    <row r="103">
      <c r="A103" s="1">
        <v>46029.59970168982</v>
      </c>
      <c r="B103" s="2" t="s">
        <v>105</v>
      </c>
      <c r="C103" s="5">
        <v>46029.0</v>
      </c>
      <c r="D103" s="2" t="s">
        <v>19</v>
      </c>
      <c r="E103" s="2" t="s">
        <v>20</v>
      </c>
      <c r="G103" s="2">
        <v>1.0</v>
      </c>
      <c r="I103" s="2" t="s">
        <v>274</v>
      </c>
      <c r="J103" s="3">
        <v>1000.0</v>
      </c>
      <c r="K103" s="3">
        <v>1000.0</v>
      </c>
      <c r="L103" s="3">
        <v>6000.0</v>
      </c>
      <c r="M103" s="2" t="s">
        <v>268</v>
      </c>
      <c r="N103" s="12" t="s">
        <v>147</v>
      </c>
      <c r="Q103" s="9" t="s">
        <v>269</v>
      </c>
    </row>
    <row r="104">
      <c r="A104" s="1">
        <v>46029.61991912037</v>
      </c>
      <c r="B104" s="2" t="s">
        <v>105</v>
      </c>
      <c r="C104" s="5">
        <v>46029.0</v>
      </c>
      <c r="D104" s="2" t="s">
        <v>19</v>
      </c>
      <c r="E104" s="2" t="s">
        <v>20</v>
      </c>
      <c r="G104" s="2">
        <v>1.0</v>
      </c>
      <c r="I104" s="2" t="s">
        <v>275</v>
      </c>
      <c r="J104" s="3">
        <v>20000.0</v>
      </c>
      <c r="K104" s="3">
        <v>20000.0</v>
      </c>
      <c r="L104" s="3">
        <v>20000.0</v>
      </c>
      <c r="M104" s="2" t="s">
        <v>268</v>
      </c>
      <c r="N104" s="12" t="s">
        <v>147</v>
      </c>
      <c r="Q104" s="9" t="s">
        <v>276</v>
      </c>
    </row>
    <row r="105">
      <c r="A105" s="1">
        <v>46029.629674814816</v>
      </c>
      <c r="B105" s="2" t="s">
        <v>244</v>
      </c>
      <c r="C105" s="5">
        <v>46029.0</v>
      </c>
      <c r="D105" s="2" t="s">
        <v>19</v>
      </c>
      <c r="E105" s="2" t="s">
        <v>20</v>
      </c>
      <c r="G105" s="2">
        <v>1.0</v>
      </c>
      <c r="I105" s="2" t="s">
        <v>277</v>
      </c>
      <c r="J105" s="3">
        <v>2280.0</v>
      </c>
      <c r="K105" s="3">
        <v>2280.0</v>
      </c>
      <c r="L105" s="3">
        <v>2280.0</v>
      </c>
      <c r="M105" s="2" t="s">
        <v>246</v>
      </c>
      <c r="N105" s="12" t="s">
        <v>147</v>
      </c>
      <c r="Q105" s="9" t="s">
        <v>278</v>
      </c>
    </row>
    <row r="106">
      <c r="A106" s="1">
        <v>46029.64108987269</v>
      </c>
      <c r="B106" s="2" t="s">
        <v>43</v>
      </c>
      <c r="C106" s="5">
        <v>46029.0</v>
      </c>
      <c r="D106" s="2" t="s">
        <v>19</v>
      </c>
      <c r="E106" s="2" t="s">
        <v>20</v>
      </c>
      <c r="G106" s="2">
        <v>1.0</v>
      </c>
      <c r="I106" s="2" t="s">
        <v>279</v>
      </c>
      <c r="J106" s="3">
        <v>2380.0</v>
      </c>
      <c r="K106" s="3">
        <v>2380.0</v>
      </c>
      <c r="L106" s="3">
        <v>2380.0</v>
      </c>
      <c r="M106" s="2" t="s">
        <v>198</v>
      </c>
      <c r="N106" s="12" t="s">
        <v>147</v>
      </c>
      <c r="Q106" s="9" t="s">
        <v>280</v>
      </c>
    </row>
    <row r="107">
      <c r="A107" s="1">
        <v>46029.64180993056</v>
      </c>
      <c r="B107" s="2" t="s">
        <v>26</v>
      </c>
      <c r="C107" s="5">
        <v>46029.0</v>
      </c>
      <c r="D107" s="2" t="s">
        <v>19</v>
      </c>
      <c r="E107" s="2" t="s">
        <v>20</v>
      </c>
      <c r="G107" s="2">
        <v>1.0</v>
      </c>
      <c r="I107" s="2" t="s">
        <v>281</v>
      </c>
      <c r="J107" s="3">
        <v>4000.0</v>
      </c>
      <c r="K107" s="3">
        <v>4000.0</v>
      </c>
      <c r="L107" s="3">
        <v>4000.0</v>
      </c>
      <c r="M107" s="2" t="s">
        <v>193</v>
      </c>
      <c r="N107" s="12" t="s">
        <v>147</v>
      </c>
      <c r="Q107" s="9" t="s">
        <v>282</v>
      </c>
    </row>
    <row r="108">
      <c r="A108" s="1">
        <v>46029.65851365741</v>
      </c>
      <c r="B108" s="2" t="s">
        <v>132</v>
      </c>
      <c r="C108" s="5">
        <v>45664.0</v>
      </c>
      <c r="D108" s="2" t="s">
        <v>19</v>
      </c>
      <c r="E108" s="2" t="s">
        <v>20</v>
      </c>
      <c r="G108" s="2">
        <v>5.0</v>
      </c>
      <c r="I108" s="2" t="s">
        <v>283</v>
      </c>
      <c r="J108" s="3">
        <v>1000.0</v>
      </c>
      <c r="K108" s="3">
        <v>5000.0</v>
      </c>
      <c r="L108" s="3">
        <v>5000.0</v>
      </c>
      <c r="M108" s="2" t="s">
        <v>284</v>
      </c>
      <c r="N108" s="12" t="s">
        <v>147</v>
      </c>
      <c r="Q108" s="9" t="s">
        <v>285</v>
      </c>
    </row>
    <row r="109">
      <c r="A109" s="1">
        <v>46029.658728009264</v>
      </c>
      <c r="B109" s="2" t="s">
        <v>132</v>
      </c>
      <c r="C109" s="5">
        <v>45664.0</v>
      </c>
      <c r="D109" s="2" t="s">
        <v>19</v>
      </c>
      <c r="E109" s="2" t="s">
        <v>20</v>
      </c>
      <c r="G109" s="2">
        <v>5.0</v>
      </c>
      <c r="I109" s="2" t="s">
        <v>283</v>
      </c>
      <c r="J109" s="3">
        <v>1000.0</v>
      </c>
      <c r="K109" s="3">
        <v>5000.0</v>
      </c>
      <c r="L109" s="3">
        <v>5000.0</v>
      </c>
      <c r="M109" s="2" t="s">
        <v>284</v>
      </c>
      <c r="N109" s="12" t="s">
        <v>147</v>
      </c>
      <c r="Q109" s="9" t="s">
        <v>286</v>
      </c>
    </row>
    <row r="110">
      <c r="A110" s="1">
        <v>46029.660965613424</v>
      </c>
      <c r="B110" s="2" t="s">
        <v>51</v>
      </c>
      <c r="C110" s="5">
        <v>46029.0</v>
      </c>
      <c r="D110" s="2" t="s">
        <v>19</v>
      </c>
      <c r="E110" s="2" t="s">
        <v>20</v>
      </c>
      <c r="G110" s="2">
        <v>1.0</v>
      </c>
      <c r="I110" s="2" t="s">
        <v>287</v>
      </c>
      <c r="J110" s="3">
        <v>25000.0</v>
      </c>
      <c r="K110" s="3">
        <v>25000.0</v>
      </c>
      <c r="L110" s="3">
        <v>25000.0</v>
      </c>
      <c r="M110" s="2" t="s">
        <v>288</v>
      </c>
      <c r="N110" s="12" t="s">
        <v>147</v>
      </c>
      <c r="Q110" s="9" t="s">
        <v>289</v>
      </c>
    </row>
    <row r="111">
      <c r="A111" s="1">
        <v>46029.72386788194</v>
      </c>
      <c r="B111" s="2" t="s">
        <v>144</v>
      </c>
      <c r="C111" s="5">
        <v>46029.0</v>
      </c>
      <c r="D111" s="2" t="s">
        <v>19</v>
      </c>
      <c r="E111" s="2" t="s">
        <v>20</v>
      </c>
      <c r="G111" s="2">
        <v>1.0</v>
      </c>
      <c r="I111" s="2" t="s">
        <v>290</v>
      </c>
      <c r="J111" s="3">
        <v>1000.0</v>
      </c>
      <c r="K111" s="3">
        <v>1000.0</v>
      </c>
      <c r="L111" s="3">
        <v>1000.0</v>
      </c>
      <c r="M111" s="2" t="s">
        <v>231</v>
      </c>
      <c r="N111" s="12" t="s">
        <v>147</v>
      </c>
      <c r="Q111" s="9" t="s">
        <v>291</v>
      </c>
    </row>
    <row r="112">
      <c r="A112" s="1">
        <v>46029.72427716435</v>
      </c>
      <c r="B112" s="2" t="s">
        <v>43</v>
      </c>
      <c r="C112" s="5">
        <v>46029.0</v>
      </c>
      <c r="D112" s="2" t="s">
        <v>19</v>
      </c>
      <c r="E112" s="2" t="s">
        <v>20</v>
      </c>
      <c r="G112" s="2">
        <v>1.0</v>
      </c>
      <c r="I112" s="2" t="s">
        <v>279</v>
      </c>
      <c r="J112" s="3">
        <v>2830.0</v>
      </c>
      <c r="K112" s="3">
        <v>2830.0</v>
      </c>
      <c r="L112" s="3">
        <v>2830.0</v>
      </c>
      <c r="M112" s="2" t="s">
        <v>198</v>
      </c>
      <c r="N112" s="12" t="s">
        <v>147</v>
      </c>
      <c r="Q112" s="9" t="s">
        <v>292</v>
      </c>
    </row>
    <row r="113">
      <c r="A113" s="1">
        <v>46030.35722034722</v>
      </c>
      <c r="B113" s="2" t="s">
        <v>65</v>
      </c>
      <c r="C113" s="5">
        <v>46030.0</v>
      </c>
      <c r="D113" s="2" t="s">
        <v>19</v>
      </c>
      <c r="E113" s="2" t="s">
        <v>20</v>
      </c>
      <c r="G113" s="2">
        <v>1.0</v>
      </c>
      <c r="I113" s="2" t="s">
        <v>293</v>
      </c>
      <c r="J113" s="3">
        <v>984.45</v>
      </c>
      <c r="K113" s="3">
        <v>984.45</v>
      </c>
      <c r="L113" s="3">
        <v>984.45</v>
      </c>
      <c r="M113" s="2" t="s">
        <v>294</v>
      </c>
      <c r="N113" s="12" t="s">
        <v>147</v>
      </c>
      <c r="Q113" s="9" t="s">
        <v>295</v>
      </c>
    </row>
    <row r="114">
      <c r="A114" s="1">
        <v>46030.37734096065</v>
      </c>
      <c r="B114" s="2" t="s">
        <v>65</v>
      </c>
      <c r="C114" s="5">
        <v>46030.0</v>
      </c>
      <c r="D114" s="2" t="s">
        <v>19</v>
      </c>
      <c r="E114" s="2" t="s">
        <v>20</v>
      </c>
      <c r="G114" s="2">
        <v>5.0</v>
      </c>
      <c r="H114" s="2" t="s">
        <v>66</v>
      </c>
      <c r="I114" s="2" t="s">
        <v>296</v>
      </c>
      <c r="J114" s="3">
        <v>15.0</v>
      </c>
      <c r="K114" s="3">
        <v>75.0</v>
      </c>
      <c r="L114" s="3">
        <v>75.0</v>
      </c>
      <c r="M114" s="2" t="s">
        <v>294</v>
      </c>
      <c r="N114" s="12" t="s">
        <v>24</v>
      </c>
      <c r="O114" s="2" t="s">
        <v>113</v>
      </c>
      <c r="Q114" s="9" t="s">
        <v>297</v>
      </c>
    </row>
    <row r="115">
      <c r="A115" s="1">
        <v>46030.39800310185</v>
      </c>
      <c r="B115" s="2" t="s">
        <v>200</v>
      </c>
      <c r="C115" s="5">
        <v>46030.0</v>
      </c>
      <c r="D115" s="2" t="s">
        <v>19</v>
      </c>
      <c r="E115" s="2" t="s">
        <v>20</v>
      </c>
      <c r="G115" s="2">
        <v>1.0</v>
      </c>
      <c r="I115" s="2" t="s">
        <v>298</v>
      </c>
      <c r="J115" s="3">
        <v>2400.0</v>
      </c>
      <c r="K115" s="3">
        <v>2400.0</v>
      </c>
      <c r="L115" s="3">
        <v>2400.0</v>
      </c>
      <c r="M115" s="2" t="s">
        <v>299</v>
      </c>
      <c r="N115" s="12" t="s">
        <v>147</v>
      </c>
      <c r="Q115" s="9" t="s">
        <v>300</v>
      </c>
    </row>
    <row r="116">
      <c r="A116" s="1">
        <v>46030.40274527778</v>
      </c>
      <c r="B116" s="2" t="s">
        <v>101</v>
      </c>
      <c r="C116" s="5">
        <v>46030.0</v>
      </c>
      <c r="D116" s="2" t="s">
        <v>19</v>
      </c>
      <c r="E116" s="2" t="s">
        <v>20</v>
      </c>
      <c r="G116" s="2">
        <v>2.0</v>
      </c>
      <c r="H116" s="2" t="s">
        <v>301</v>
      </c>
      <c r="I116" s="2" t="s">
        <v>302</v>
      </c>
      <c r="J116" s="3">
        <v>2160.0</v>
      </c>
      <c r="K116" s="3">
        <v>4320.0</v>
      </c>
      <c r="L116" s="3">
        <v>45240.0</v>
      </c>
      <c r="M116" s="2" t="s">
        <v>303</v>
      </c>
      <c r="N116" s="12" t="s">
        <v>147</v>
      </c>
      <c r="Q116" s="9" t="s">
        <v>304</v>
      </c>
    </row>
    <row r="117">
      <c r="A117" s="1">
        <v>46030.40274527778</v>
      </c>
      <c r="B117" s="2" t="s">
        <v>101</v>
      </c>
      <c r="C117" s="5">
        <v>46030.0</v>
      </c>
      <c r="D117" s="2" t="s">
        <v>19</v>
      </c>
      <c r="E117" s="2" t="s">
        <v>20</v>
      </c>
      <c r="G117" s="2">
        <v>3.0</v>
      </c>
      <c r="H117" s="2" t="s">
        <v>301</v>
      </c>
      <c r="I117" s="2" t="s">
        <v>305</v>
      </c>
      <c r="J117" s="3">
        <v>8280.0</v>
      </c>
      <c r="K117" s="3">
        <v>24840.0</v>
      </c>
      <c r="L117" s="3">
        <v>45240.0</v>
      </c>
      <c r="M117" s="2" t="s">
        <v>303</v>
      </c>
      <c r="N117" s="12" t="s">
        <v>147</v>
      </c>
      <c r="Q117" s="9" t="s">
        <v>304</v>
      </c>
    </row>
    <row r="118">
      <c r="A118" s="1">
        <v>46030.40274527778</v>
      </c>
      <c r="B118" s="2" t="s">
        <v>101</v>
      </c>
      <c r="C118" s="5">
        <v>46030.0</v>
      </c>
      <c r="D118" s="2" t="s">
        <v>19</v>
      </c>
      <c r="E118" s="2" t="s">
        <v>20</v>
      </c>
      <c r="G118" s="2">
        <v>2.0</v>
      </c>
      <c r="H118" s="2" t="s">
        <v>301</v>
      </c>
      <c r="I118" s="2" t="s">
        <v>306</v>
      </c>
      <c r="J118" s="3">
        <v>8040.0</v>
      </c>
      <c r="K118" s="3">
        <v>16080.0</v>
      </c>
      <c r="L118" s="3">
        <v>45240.0</v>
      </c>
      <c r="M118" s="2" t="s">
        <v>303</v>
      </c>
      <c r="N118" s="12" t="s">
        <v>147</v>
      </c>
      <c r="Q118" s="9" t="s">
        <v>304</v>
      </c>
    </row>
    <row r="119">
      <c r="A119" s="1">
        <v>46030.56235841435</v>
      </c>
      <c r="B119" s="2" t="s">
        <v>307</v>
      </c>
      <c r="C119" s="5">
        <v>46030.0</v>
      </c>
      <c r="D119" s="2" t="s">
        <v>19</v>
      </c>
      <c r="E119" s="2" t="s">
        <v>20</v>
      </c>
      <c r="G119" s="2">
        <v>24.0</v>
      </c>
      <c r="H119" s="2" t="s">
        <v>308</v>
      </c>
      <c r="I119" s="2" t="s">
        <v>309</v>
      </c>
      <c r="J119" s="3">
        <v>204.0</v>
      </c>
      <c r="K119" s="3">
        <v>4896.0</v>
      </c>
      <c r="L119" s="3">
        <v>13980.0</v>
      </c>
      <c r="M119" s="2" t="s">
        <v>310</v>
      </c>
      <c r="N119" s="12" t="s">
        <v>147</v>
      </c>
      <c r="Q119" s="9" t="s">
        <v>311</v>
      </c>
    </row>
    <row r="120">
      <c r="A120" s="1">
        <v>46030.56235841435</v>
      </c>
      <c r="B120" s="2" t="s">
        <v>307</v>
      </c>
      <c r="C120" s="5">
        <v>46030.0</v>
      </c>
      <c r="D120" s="2" t="s">
        <v>19</v>
      </c>
      <c r="E120" s="2" t="s">
        <v>20</v>
      </c>
      <c r="G120" s="2">
        <v>24.0</v>
      </c>
      <c r="H120" s="2" t="s">
        <v>308</v>
      </c>
      <c r="I120" s="2" t="s">
        <v>205</v>
      </c>
      <c r="J120" s="3">
        <v>335.0</v>
      </c>
      <c r="K120" s="3">
        <v>8040.0</v>
      </c>
      <c r="L120" s="3">
        <v>13980.0</v>
      </c>
      <c r="M120" s="2" t="s">
        <v>310</v>
      </c>
      <c r="N120" s="12" t="s">
        <v>147</v>
      </c>
      <c r="Q120" s="9" t="s">
        <v>311</v>
      </c>
    </row>
    <row r="121">
      <c r="A121" s="1">
        <v>46030.56235841435</v>
      </c>
      <c r="B121" s="2" t="s">
        <v>307</v>
      </c>
      <c r="C121" s="5">
        <v>46030.0</v>
      </c>
      <c r="D121" s="2" t="s">
        <v>19</v>
      </c>
      <c r="E121" s="2" t="s">
        <v>20</v>
      </c>
      <c r="G121" s="2">
        <v>18.0</v>
      </c>
      <c r="H121" s="2" t="s">
        <v>308</v>
      </c>
      <c r="I121" s="2" t="s">
        <v>207</v>
      </c>
      <c r="J121" s="3">
        <v>58.0</v>
      </c>
      <c r="K121" s="3">
        <v>1044.0</v>
      </c>
      <c r="L121" s="3">
        <v>13980.0</v>
      </c>
      <c r="M121" s="2" t="s">
        <v>310</v>
      </c>
      <c r="N121" s="12" t="s">
        <v>147</v>
      </c>
      <c r="Q121" s="9" t="s">
        <v>311</v>
      </c>
    </row>
    <row r="122">
      <c r="A122" s="1">
        <v>46030.56472778935</v>
      </c>
      <c r="B122" s="2" t="s">
        <v>307</v>
      </c>
      <c r="C122" s="5">
        <v>46030.0</v>
      </c>
      <c r="D122" s="2" t="s">
        <v>19</v>
      </c>
      <c r="E122" s="2" t="s">
        <v>20</v>
      </c>
      <c r="G122" s="2">
        <v>1.0</v>
      </c>
      <c r="I122" s="2" t="s">
        <v>201</v>
      </c>
      <c r="J122" s="3">
        <v>25928.0</v>
      </c>
      <c r="K122" s="3">
        <v>25928.0</v>
      </c>
      <c r="L122" s="3">
        <v>25928.0</v>
      </c>
      <c r="M122" s="2" t="s">
        <v>310</v>
      </c>
      <c r="N122" s="12" t="s">
        <v>147</v>
      </c>
      <c r="Q122" s="9" t="s">
        <v>312</v>
      </c>
    </row>
    <row r="123">
      <c r="A123" s="1">
        <v>46030.58258158565</v>
      </c>
      <c r="B123" s="2" t="s">
        <v>313</v>
      </c>
      <c r="C123" s="5">
        <v>46030.0</v>
      </c>
      <c r="D123" s="2" t="s">
        <v>19</v>
      </c>
      <c r="E123" s="2" t="s">
        <v>20</v>
      </c>
      <c r="G123" s="2">
        <v>1.0</v>
      </c>
      <c r="I123" s="2" t="s">
        <v>314</v>
      </c>
      <c r="J123" s="3">
        <v>76416.0</v>
      </c>
      <c r="K123" s="3">
        <v>76416.0</v>
      </c>
      <c r="L123" s="3">
        <v>78416.0</v>
      </c>
      <c r="M123" s="2" t="s">
        <v>315</v>
      </c>
      <c r="N123" s="12" t="s">
        <v>147</v>
      </c>
      <c r="Q123" s="9" t="s">
        <v>316</v>
      </c>
    </row>
    <row r="124">
      <c r="A124" s="1">
        <v>46030.58258158565</v>
      </c>
      <c r="B124" s="2" t="s">
        <v>313</v>
      </c>
      <c r="C124" s="5">
        <v>46030.0</v>
      </c>
      <c r="D124" s="2" t="s">
        <v>19</v>
      </c>
      <c r="E124" s="2" t="s">
        <v>20</v>
      </c>
      <c r="G124" s="2">
        <v>2.0</v>
      </c>
      <c r="I124" s="2" t="s">
        <v>317</v>
      </c>
      <c r="J124" s="3">
        <v>1000.0</v>
      </c>
      <c r="K124" s="3">
        <v>2000.0</v>
      </c>
      <c r="L124" s="3">
        <v>78416.0</v>
      </c>
      <c r="M124" s="2" t="s">
        <v>315</v>
      </c>
      <c r="N124" s="12" t="s">
        <v>147</v>
      </c>
      <c r="Q124" s="9" t="s">
        <v>316</v>
      </c>
    </row>
    <row r="125">
      <c r="A125" s="1">
        <v>46030.662099444446</v>
      </c>
      <c r="B125" s="2" t="s">
        <v>105</v>
      </c>
      <c r="C125" s="5">
        <v>46030.0</v>
      </c>
      <c r="D125" s="2" t="s">
        <v>19</v>
      </c>
      <c r="E125" s="2" t="s">
        <v>20</v>
      </c>
      <c r="G125" s="2">
        <v>1.0</v>
      </c>
      <c r="I125" s="2" t="s">
        <v>318</v>
      </c>
      <c r="J125" s="3">
        <v>1000.0</v>
      </c>
      <c r="K125" s="3">
        <v>1000.0</v>
      </c>
      <c r="L125" s="3">
        <v>3000.0</v>
      </c>
      <c r="M125" s="2" t="s">
        <v>268</v>
      </c>
      <c r="N125" s="12" t="s">
        <v>147</v>
      </c>
      <c r="Q125" s="9" t="s">
        <v>319</v>
      </c>
    </row>
    <row r="126">
      <c r="A126" s="1">
        <v>46030.662099444446</v>
      </c>
      <c r="B126" s="2" t="s">
        <v>105</v>
      </c>
      <c r="C126" s="5">
        <v>46030.0</v>
      </c>
      <c r="D126" s="2" t="s">
        <v>19</v>
      </c>
      <c r="E126" s="2" t="s">
        <v>20</v>
      </c>
      <c r="G126" s="2">
        <v>1.0</v>
      </c>
      <c r="I126" s="2" t="s">
        <v>320</v>
      </c>
      <c r="J126" s="3">
        <v>1000.0</v>
      </c>
      <c r="K126" s="3">
        <v>1000.0</v>
      </c>
      <c r="L126" s="3">
        <v>3000.0</v>
      </c>
      <c r="M126" s="2" t="s">
        <v>268</v>
      </c>
      <c r="N126" s="12" t="s">
        <v>147</v>
      </c>
      <c r="Q126" s="9" t="s">
        <v>319</v>
      </c>
    </row>
    <row r="127">
      <c r="A127" s="1">
        <v>46030.662099444446</v>
      </c>
      <c r="B127" s="2" t="s">
        <v>105</v>
      </c>
      <c r="C127" s="5">
        <v>46030.0</v>
      </c>
      <c r="D127" s="2" t="s">
        <v>19</v>
      </c>
      <c r="E127" s="2" t="s">
        <v>20</v>
      </c>
      <c r="G127" s="2">
        <v>1.0</v>
      </c>
      <c r="I127" s="2" t="s">
        <v>321</v>
      </c>
      <c r="J127" s="3">
        <v>1000.0</v>
      </c>
      <c r="K127" s="3">
        <v>1000.0</v>
      </c>
      <c r="L127" s="3">
        <v>3000.0</v>
      </c>
      <c r="M127" s="2" t="s">
        <v>268</v>
      </c>
      <c r="N127" s="12" t="s">
        <v>147</v>
      </c>
      <c r="Q127" s="9" t="s">
        <v>319</v>
      </c>
    </row>
    <row r="128">
      <c r="A128" s="1">
        <v>46030.68917305555</v>
      </c>
      <c r="B128" s="2" t="s">
        <v>183</v>
      </c>
      <c r="C128" s="5">
        <v>46030.0</v>
      </c>
      <c r="D128" s="2" t="s">
        <v>19</v>
      </c>
      <c r="E128" s="2" t="s">
        <v>20</v>
      </c>
      <c r="G128" s="2">
        <v>1.0</v>
      </c>
      <c r="I128" s="2" t="s">
        <v>322</v>
      </c>
      <c r="J128" s="3">
        <v>3000.0</v>
      </c>
      <c r="K128" s="3">
        <v>3000.0</v>
      </c>
      <c r="L128" s="3">
        <v>3000.0</v>
      </c>
      <c r="M128" s="2" t="s">
        <v>185</v>
      </c>
      <c r="N128" s="12" t="s">
        <v>147</v>
      </c>
      <c r="Q128" s="9" t="s">
        <v>323</v>
      </c>
    </row>
    <row r="129">
      <c r="A129" s="1">
        <v>46031.372164953704</v>
      </c>
      <c r="B129" s="2" t="s">
        <v>71</v>
      </c>
      <c r="C129" s="5">
        <v>46031.0</v>
      </c>
      <c r="D129" s="2" t="s">
        <v>19</v>
      </c>
      <c r="E129" s="2" t="s">
        <v>20</v>
      </c>
      <c r="G129" s="2">
        <v>1.0</v>
      </c>
      <c r="I129" s="2" t="s">
        <v>324</v>
      </c>
      <c r="J129" s="3">
        <v>350.0</v>
      </c>
      <c r="K129" s="3">
        <v>350.0</v>
      </c>
      <c r="L129" s="3">
        <v>350.0</v>
      </c>
      <c r="M129" s="2" t="s">
        <v>325</v>
      </c>
      <c r="N129" s="12" t="s">
        <v>131</v>
      </c>
      <c r="Q129" s="9" t="s">
        <v>326</v>
      </c>
    </row>
    <row r="130">
      <c r="A130" s="1">
        <v>46031.38837732639</v>
      </c>
      <c r="B130" s="2" t="s">
        <v>71</v>
      </c>
      <c r="C130" s="5">
        <v>46031.0</v>
      </c>
      <c r="D130" s="2" t="s">
        <v>19</v>
      </c>
      <c r="E130" s="2" t="s">
        <v>20</v>
      </c>
      <c r="G130" s="2">
        <v>1.0</v>
      </c>
      <c r="I130" s="2" t="s">
        <v>327</v>
      </c>
      <c r="J130" s="3">
        <v>350.0</v>
      </c>
      <c r="K130" s="3">
        <v>350.0</v>
      </c>
      <c r="L130" s="3">
        <v>350.0</v>
      </c>
      <c r="M130" s="2" t="s">
        <v>325</v>
      </c>
      <c r="N130" s="12" t="s">
        <v>131</v>
      </c>
      <c r="Q130" s="9" t="s">
        <v>328</v>
      </c>
    </row>
    <row r="131">
      <c r="A131" s="1">
        <v>46031.388886319444</v>
      </c>
      <c r="B131" s="2" t="s">
        <v>108</v>
      </c>
      <c r="C131" s="5">
        <v>46031.0</v>
      </c>
      <c r="D131" s="2" t="s">
        <v>19</v>
      </c>
      <c r="E131" s="2" t="s">
        <v>20</v>
      </c>
      <c r="G131" s="2">
        <v>1.0</v>
      </c>
      <c r="I131" s="2" t="s">
        <v>241</v>
      </c>
      <c r="J131" s="3">
        <v>14946.0</v>
      </c>
      <c r="K131" s="3">
        <v>14946.0</v>
      </c>
      <c r="L131" s="3">
        <v>14946.0</v>
      </c>
      <c r="M131" s="2" t="s">
        <v>172</v>
      </c>
      <c r="N131" s="12" t="s">
        <v>147</v>
      </c>
      <c r="Q131" s="9" t="s">
        <v>329</v>
      </c>
    </row>
    <row r="132">
      <c r="A132" s="1">
        <v>46031.391067951394</v>
      </c>
      <c r="B132" s="2" t="s">
        <v>71</v>
      </c>
      <c r="C132" s="5">
        <v>46031.0</v>
      </c>
      <c r="D132" s="2" t="s">
        <v>19</v>
      </c>
      <c r="E132" s="2" t="s">
        <v>20</v>
      </c>
      <c r="G132" s="2">
        <v>1.0</v>
      </c>
      <c r="I132" s="2" t="s">
        <v>330</v>
      </c>
      <c r="J132" s="3">
        <v>1200.0</v>
      </c>
      <c r="K132" s="3">
        <v>1200.0</v>
      </c>
      <c r="L132" s="3">
        <v>1200.0</v>
      </c>
      <c r="M132" s="2" t="s">
        <v>325</v>
      </c>
      <c r="N132" s="12" t="s">
        <v>147</v>
      </c>
      <c r="Q132" s="9" t="s">
        <v>331</v>
      </c>
    </row>
    <row r="133">
      <c r="A133" s="1">
        <v>46031.403956215276</v>
      </c>
      <c r="B133" s="2" t="s">
        <v>71</v>
      </c>
      <c r="C133" s="5">
        <v>46031.0</v>
      </c>
      <c r="D133" s="2" t="s">
        <v>19</v>
      </c>
      <c r="E133" s="2" t="s">
        <v>20</v>
      </c>
      <c r="G133" s="2">
        <v>1.0</v>
      </c>
      <c r="I133" s="2" t="s">
        <v>332</v>
      </c>
      <c r="J133" s="3">
        <v>47500.0</v>
      </c>
      <c r="K133" s="3">
        <v>47500.0</v>
      </c>
      <c r="L133" s="3">
        <v>47500.0</v>
      </c>
      <c r="M133" s="2" t="s">
        <v>325</v>
      </c>
      <c r="N133" s="12" t="s">
        <v>147</v>
      </c>
      <c r="Q133" s="9" t="s">
        <v>333</v>
      </c>
    </row>
    <row r="134">
      <c r="A134" s="1">
        <v>46031.610388877314</v>
      </c>
      <c r="B134" s="2" t="s">
        <v>132</v>
      </c>
      <c r="C134" s="5">
        <v>46031.0</v>
      </c>
      <c r="D134" s="2" t="s">
        <v>19</v>
      </c>
      <c r="E134" s="2" t="s">
        <v>20</v>
      </c>
      <c r="G134" s="2">
        <v>1.0</v>
      </c>
      <c r="I134" s="2" t="s">
        <v>334</v>
      </c>
      <c r="J134" s="3">
        <v>5620.0</v>
      </c>
      <c r="K134" s="3">
        <v>5620.0</v>
      </c>
      <c r="L134" s="3">
        <v>5620.0</v>
      </c>
      <c r="M134" s="2" t="s">
        <v>335</v>
      </c>
      <c r="N134" s="12" t="s">
        <v>147</v>
      </c>
      <c r="Q134" s="9" t="s">
        <v>336</v>
      </c>
    </row>
    <row r="135">
      <c r="A135" s="1">
        <v>46031.61691552083</v>
      </c>
      <c r="B135" s="2" t="s">
        <v>75</v>
      </c>
      <c r="C135" s="5">
        <v>46031.0</v>
      </c>
      <c r="D135" s="2" t="s">
        <v>19</v>
      </c>
      <c r="E135" s="2" t="s">
        <v>20</v>
      </c>
      <c r="F135" s="2" t="s">
        <v>337</v>
      </c>
      <c r="G135" s="2">
        <v>1.0</v>
      </c>
      <c r="H135" s="2" t="s">
        <v>48</v>
      </c>
      <c r="I135" s="2" t="s">
        <v>338</v>
      </c>
      <c r="J135" s="3">
        <v>130.0</v>
      </c>
      <c r="K135" s="3">
        <v>130.0</v>
      </c>
      <c r="L135" s="3">
        <v>130.0</v>
      </c>
      <c r="M135" s="2" t="s">
        <v>242</v>
      </c>
      <c r="N135" s="12" t="s">
        <v>24</v>
      </c>
      <c r="O135" s="2" t="s">
        <v>113</v>
      </c>
      <c r="Q135" s="9" t="s">
        <v>339</v>
      </c>
    </row>
    <row r="136">
      <c r="A136" s="1">
        <v>46031.6183884375</v>
      </c>
      <c r="B136" s="2" t="s">
        <v>71</v>
      </c>
      <c r="C136" s="5">
        <v>46031.0</v>
      </c>
      <c r="D136" s="2" t="s">
        <v>19</v>
      </c>
      <c r="E136" s="2" t="s">
        <v>20</v>
      </c>
      <c r="G136" s="2">
        <v>1.0</v>
      </c>
      <c r="I136" s="2" t="s">
        <v>340</v>
      </c>
      <c r="J136" s="3">
        <v>780.0</v>
      </c>
      <c r="K136" s="3">
        <v>780.0</v>
      </c>
      <c r="L136" s="3">
        <v>780.0</v>
      </c>
      <c r="M136" s="2" t="s">
        <v>325</v>
      </c>
      <c r="N136" s="12" t="s">
        <v>147</v>
      </c>
      <c r="Q136" s="9" t="s">
        <v>341</v>
      </c>
    </row>
    <row r="137">
      <c r="A137" s="1">
        <v>46031.64753971065</v>
      </c>
      <c r="B137" s="2" t="s">
        <v>174</v>
      </c>
      <c r="C137" s="5">
        <v>46031.0</v>
      </c>
      <c r="D137" s="2" t="s">
        <v>19</v>
      </c>
      <c r="E137" s="2" t="s">
        <v>20</v>
      </c>
      <c r="G137" s="2">
        <v>1.0</v>
      </c>
      <c r="H137" s="2" t="s">
        <v>21</v>
      </c>
      <c r="I137" s="2" t="s">
        <v>342</v>
      </c>
      <c r="J137" s="6"/>
      <c r="K137" s="3">
        <v>0.0</v>
      </c>
      <c r="L137" s="3">
        <v>0.0</v>
      </c>
      <c r="M137" s="2" t="s">
        <v>174</v>
      </c>
      <c r="N137" s="12" t="s">
        <v>24</v>
      </c>
      <c r="Q137" s="9" t="s">
        <v>343</v>
      </c>
    </row>
    <row r="138">
      <c r="A138" s="1">
        <v>46033.51714553241</v>
      </c>
      <c r="B138" s="2" t="s">
        <v>108</v>
      </c>
      <c r="C138" s="5">
        <v>46033.0</v>
      </c>
      <c r="D138" s="2" t="s">
        <v>19</v>
      </c>
      <c r="E138" s="2" t="s">
        <v>20</v>
      </c>
      <c r="G138" s="2">
        <v>2.0</v>
      </c>
      <c r="I138" s="2" t="s">
        <v>195</v>
      </c>
      <c r="J138" s="3">
        <v>1000.0</v>
      </c>
      <c r="K138" s="3">
        <v>2000.0</v>
      </c>
      <c r="L138" s="3">
        <v>2000.0</v>
      </c>
      <c r="M138" s="2" t="s">
        <v>172</v>
      </c>
      <c r="N138" s="12" t="s">
        <v>147</v>
      </c>
      <c r="Q138" s="9" t="s">
        <v>344</v>
      </c>
    </row>
    <row r="139">
      <c r="A139" s="1">
        <v>46033.54859167824</v>
      </c>
      <c r="B139" s="2" t="s">
        <v>40</v>
      </c>
      <c r="C139" s="5">
        <v>46033.0</v>
      </c>
      <c r="D139" s="2" t="s">
        <v>19</v>
      </c>
      <c r="E139" s="2" t="s">
        <v>20</v>
      </c>
      <c r="G139" s="2">
        <v>1.0</v>
      </c>
      <c r="H139" s="2">
        <v>1.0</v>
      </c>
      <c r="I139" s="2" t="s">
        <v>345</v>
      </c>
      <c r="J139" s="3">
        <v>1341.0</v>
      </c>
      <c r="K139" s="3">
        <v>1341.0</v>
      </c>
      <c r="L139" s="3">
        <v>1341.0</v>
      </c>
      <c r="M139" s="2" t="s">
        <v>346</v>
      </c>
      <c r="N139" s="12" t="s">
        <v>147</v>
      </c>
      <c r="Q139" s="9" t="s">
        <v>347</v>
      </c>
    </row>
    <row r="140">
      <c r="A140" s="1">
        <v>46033.56579392361</v>
      </c>
      <c r="B140" s="2" t="s">
        <v>105</v>
      </c>
      <c r="C140" s="5">
        <v>46033.0</v>
      </c>
      <c r="D140" s="2" t="s">
        <v>19</v>
      </c>
      <c r="E140" s="2" t="s">
        <v>20</v>
      </c>
      <c r="G140" s="2">
        <v>1.0</v>
      </c>
      <c r="I140" s="2" t="s">
        <v>348</v>
      </c>
      <c r="J140" s="3">
        <v>1000.0</v>
      </c>
      <c r="K140" s="3">
        <v>1000.0</v>
      </c>
      <c r="L140" s="3">
        <v>7000.0</v>
      </c>
      <c r="M140" s="2" t="s">
        <v>268</v>
      </c>
      <c r="N140" s="12" t="s">
        <v>147</v>
      </c>
      <c r="Q140" s="9" t="s">
        <v>349</v>
      </c>
    </row>
    <row r="141">
      <c r="A141" s="1">
        <v>46033.56579392361</v>
      </c>
      <c r="B141" s="2" t="s">
        <v>105</v>
      </c>
      <c r="C141" s="5">
        <v>46033.0</v>
      </c>
      <c r="D141" s="2" t="s">
        <v>19</v>
      </c>
      <c r="E141" s="2" t="s">
        <v>20</v>
      </c>
      <c r="G141" s="2">
        <v>1.0</v>
      </c>
      <c r="I141" s="2" t="s">
        <v>350</v>
      </c>
      <c r="J141" s="3">
        <v>1000.0</v>
      </c>
      <c r="K141" s="3">
        <v>1000.0</v>
      </c>
      <c r="L141" s="3">
        <v>7000.0</v>
      </c>
      <c r="M141" s="2" t="s">
        <v>268</v>
      </c>
      <c r="N141" s="12" t="s">
        <v>147</v>
      </c>
      <c r="Q141" s="9" t="s">
        <v>349</v>
      </c>
    </row>
    <row r="142">
      <c r="A142" s="1">
        <v>46033.56579392361</v>
      </c>
      <c r="B142" s="2" t="s">
        <v>105</v>
      </c>
      <c r="C142" s="5">
        <v>46033.0</v>
      </c>
      <c r="D142" s="2" t="s">
        <v>19</v>
      </c>
      <c r="E142" s="2" t="s">
        <v>20</v>
      </c>
      <c r="G142" s="2">
        <v>1.0</v>
      </c>
      <c r="I142" s="2" t="s">
        <v>351</v>
      </c>
      <c r="J142" s="3">
        <v>1000.0</v>
      </c>
      <c r="K142" s="3">
        <v>1000.0</v>
      </c>
      <c r="L142" s="3">
        <v>7000.0</v>
      </c>
      <c r="M142" s="2" t="s">
        <v>268</v>
      </c>
      <c r="N142" s="12" t="s">
        <v>147</v>
      </c>
      <c r="Q142" s="9" t="s">
        <v>349</v>
      </c>
    </row>
    <row r="143">
      <c r="A143" s="1">
        <v>46033.56579392361</v>
      </c>
      <c r="B143" s="2" t="s">
        <v>105</v>
      </c>
      <c r="C143" s="5">
        <v>46033.0</v>
      </c>
      <c r="D143" s="2" t="s">
        <v>19</v>
      </c>
      <c r="E143" s="2" t="s">
        <v>20</v>
      </c>
      <c r="G143" s="2">
        <v>1.0</v>
      </c>
      <c r="I143" s="2" t="s">
        <v>352</v>
      </c>
      <c r="J143" s="3">
        <v>1000.0</v>
      </c>
      <c r="K143" s="3">
        <v>1000.0</v>
      </c>
      <c r="L143" s="3">
        <v>7000.0</v>
      </c>
      <c r="M143" s="2" t="s">
        <v>268</v>
      </c>
      <c r="N143" s="12" t="s">
        <v>147</v>
      </c>
      <c r="Q143" s="9" t="s">
        <v>349</v>
      </c>
    </row>
    <row r="144">
      <c r="A144" s="1">
        <v>46033.56579392361</v>
      </c>
      <c r="B144" s="2" t="s">
        <v>105</v>
      </c>
      <c r="C144" s="5">
        <v>46033.0</v>
      </c>
      <c r="D144" s="2" t="s">
        <v>19</v>
      </c>
      <c r="E144" s="2" t="s">
        <v>20</v>
      </c>
      <c r="G144" s="2">
        <v>1.0</v>
      </c>
      <c r="I144" s="2" t="s">
        <v>353</v>
      </c>
      <c r="J144" s="3">
        <v>1000.0</v>
      </c>
      <c r="K144" s="3">
        <v>1000.0</v>
      </c>
      <c r="L144" s="3">
        <v>7000.0</v>
      </c>
      <c r="M144" s="2" t="s">
        <v>268</v>
      </c>
      <c r="N144" s="12" t="s">
        <v>147</v>
      </c>
      <c r="Q144" s="9" t="s">
        <v>349</v>
      </c>
    </row>
    <row r="145">
      <c r="A145" s="1">
        <v>46033.56579392361</v>
      </c>
      <c r="B145" s="2" t="s">
        <v>105</v>
      </c>
      <c r="C145" s="5">
        <v>46033.0</v>
      </c>
      <c r="D145" s="2" t="s">
        <v>19</v>
      </c>
      <c r="E145" s="2" t="s">
        <v>20</v>
      </c>
      <c r="G145" s="2">
        <v>1.0</v>
      </c>
      <c r="I145" s="2" t="s">
        <v>354</v>
      </c>
      <c r="J145" s="3">
        <v>1000.0</v>
      </c>
      <c r="K145" s="3">
        <v>1000.0</v>
      </c>
      <c r="L145" s="3">
        <v>7000.0</v>
      </c>
      <c r="M145" s="2" t="s">
        <v>268</v>
      </c>
      <c r="N145" s="12" t="s">
        <v>147</v>
      </c>
      <c r="Q145" s="9" t="s">
        <v>349</v>
      </c>
    </row>
    <row r="146">
      <c r="A146" s="1">
        <v>46033.56579392361</v>
      </c>
      <c r="B146" s="2" t="s">
        <v>105</v>
      </c>
      <c r="C146" s="5">
        <v>46033.0</v>
      </c>
      <c r="D146" s="2" t="s">
        <v>19</v>
      </c>
      <c r="E146" s="2" t="s">
        <v>20</v>
      </c>
      <c r="G146" s="2">
        <v>1.0</v>
      </c>
      <c r="I146" s="2" t="s">
        <v>355</v>
      </c>
      <c r="J146" s="3">
        <v>1000.0</v>
      </c>
      <c r="K146" s="3">
        <v>1000.0</v>
      </c>
      <c r="L146" s="3">
        <v>7000.0</v>
      </c>
      <c r="M146" s="2" t="s">
        <v>268</v>
      </c>
      <c r="N146" s="12" t="s">
        <v>147</v>
      </c>
      <c r="Q146" s="9" t="s">
        <v>349</v>
      </c>
    </row>
    <row r="147">
      <c r="A147" s="1">
        <v>46033.59708759259</v>
      </c>
      <c r="B147" s="2" t="s">
        <v>132</v>
      </c>
      <c r="C147" s="5">
        <v>46033.0</v>
      </c>
      <c r="D147" s="2" t="s">
        <v>19</v>
      </c>
      <c r="E147" s="2" t="s">
        <v>20</v>
      </c>
      <c r="G147" s="2">
        <v>1.0</v>
      </c>
      <c r="I147" s="2" t="s">
        <v>356</v>
      </c>
      <c r="J147" s="3">
        <v>11400.0</v>
      </c>
      <c r="K147" s="3">
        <v>11400.0</v>
      </c>
      <c r="L147" s="3">
        <v>11400.0</v>
      </c>
      <c r="M147" s="2" t="s">
        <v>132</v>
      </c>
      <c r="N147" s="12" t="s">
        <v>357</v>
      </c>
      <c r="Q147" s="9" t="s">
        <v>358</v>
      </c>
    </row>
    <row r="148">
      <c r="A148" s="1">
        <v>46033.602363750004</v>
      </c>
      <c r="B148" s="2" t="s">
        <v>91</v>
      </c>
      <c r="C148" s="5">
        <v>46033.0</v>
      </c>
      <c r="D148" s="2" t="s">
        <v>19</v>
      </c>
      <c r="E148" s="2" t="s">
        <v>20</v>
      </c>
      <c r="G148" s="2">
        <v>1.0</v>
      </c>
      <c r="H148" s="2" t="s">
        <v>21</v>
      </c>
      <c r="I148" s="2" t="s">
        <v>359</v>
      </c>
      <c r="J148" s="3">
        <v>31.0</v>
      </c>
      <c r="K148" s="3">
        <v>31.0</v>
      </c>
      <c r="L148" s="3">
        <v>31.0</v>
      </c>
      <c r="M148" s="2" t="s">
        <v>360</v>
      </c>
      <c r="N148" s="12" t="s">
        <v>24</v>
      </c>
      <c r="O148" s="2" t="s">
        <v>113</v>
      </c>
      <c r="Q148" s="9" t="s">
        <v>361</v>
      </c>
    </row>
    <row r="149">
      <c r="A149" s="1">
        <v>46033.60919148148</v>
      </c>
      <c r="B149" s="2" t="s">
        <v>144</v>
      </c>
      <c r="C149" s="5">
        <v>46033.0</v>
      </c>
      <c r="D149" s="2" t="s">
        <v>19</v>
      </c>
      <c r="E149" s="2" t="s">
        <v>20</v>
      </c>
      <c r="G149" s="2">
        <v>1.0</v>
      </c>
      <c r="I149" s="2" t="s">
        <v>362</v>
      </c>
      <c r="J149" s="6"/>
      <c r="K149" s="3">
        <v>0.0</v>
      </c>
      <c r="L149" s="3">
        <v>0.0</v>
      </c>
      <c r="M149" s="2" t="s">
        <v>231</v>
      </c>
      <c r="N149" s="12" t="s">
        <v>147</v>
      </c>
      <c r="Q149" s="9" t="s">
        <v>363</v>
      </c>
    </row>
    <row r="150">
      <c r="A150" s="1">
        <v>46033.612270972226</v>
      </c>
      <c r="B150" s="2" t="s">
        <v>144</v>
      </c>
      <c r="C150" s="5">
        <v>46033.0</v>
      </c>
      <c r="D150" s="2" t="s">
        <v>19</v>
      </c>
      <c r="E150" s="2" t="s">
        <v>20</v>
      </c>
      <c r="G150" s="2">
        <v>1.0</v>
      </c>
      <c r="I150" s="2" t="s">
        <v>362</v>
      </c>
      <c r="J150" s="3">
        <v>1000.0</v>
      </c>
      <c r="K150" s="3">
        <v>1000.0</v>
      </c>
      <c r="L150" s="3">
        <v>1000.0</v>
      </c>
      <c r="M150" s="2" t="s">
        <v>231</v>
      </c>
      <c r="N150" s="12" t="s">
        <v>147</v>
      </c>
      <c r="Q150" s="9" t="s">
        <v>364</v>
      </c>
    </row>
    <row r="151">
      <c r="A151" s="1">
        <v>46034.39709644676</v>
      </c>
      <c r="B151" s="2" t="s">
        <v>313</v>
      </c>
      <c r="C151" s="5">
        <v>46034.0</v>
      </c>
      <c r="D151" s="2" t="s">
        <v>19</v>
      </c>
      <c r="E151" s="2" t="s">
        <v>20</v>
      </c>
      <c r="G151" s="2">
        <v>1.0</v>
      </c>
      <c r="I151" s="2" t="s">
        <v>365</v>
      </c>
      <c r="J151" s="3">
        <v>1050.0</v>
      </c>
      <c r="K151" s="3">
        <v>1050.0</v>
      </c>
      <c r="L151" s="3">
        <v>1050.0</v>
      </c>
      <c r="M151" s="2" t="s">
        <v>315</v>
      </c>
      <c r="N151" s="12" t="s">
        <v>147</v>
      </c>
      <c r="Q151" s="9" t="s">
        <v>366</v>
      </c>
    </row>
    <row r="152">
      <c r="A152" s="1">
        <v>46034.43312666667</v>
      </c>
      <c r="B152" s="2" t="s">
        <v>91</v>
      </c>
      <c r="C152" s="5">
        <v>46034.0</v>
      </c>
      <c r="D152" s="2" t="s">
        <v>19</v>
      </c>
      <c r="E152" s="2" t="s">
        <v>20</v>
      </c>
      <c r="F152" s="2" t="s">
        <v>367</v>
      </c>
      <c r="G152" s="2">
        <v>10.0</v>
      </c>
      <c r="H152" s="2" t="s">
        <v>66</v>
      </c>
      <c r="I152" s="2" t="s">
        <v>368</v>
      </c>
      <c r="J152" s="3">
        <v>45.0</v>
      </c>
      <c r="K152" s="3">
        <v>450.0</v>
      </c>
      <c r="L152" s="3">
        <v>450.0</v>
      </c>
      <c r="M152" s="2" t="s">
        <v>369</v>
      </c>
      <c r="N152" s="12" t="s">
        <v>24</v>
      </c>
      <c r="O152" s="2" t="s">
        <v>113</v>
      </c>
      <c r="Q152" s="9" t="s">
        <v>370</v>
      </c>
    </row>
    <row r="153">
      <c r="A153" s="1">
        <v>46034.477252233795</v>
      </c>
      <c r="B153" s="2" t="s">
        <v>40</v>
      </c>
      <c r="C153" s="5">
        <v>46034.0</v>
      </c>
      <c r="D153" s="2" t="s">
        <v>19</v>
      </c>
      <c r="E153" s="2" t="s">
        <v>20</v>
      </c>
      <c r="G153" s="2">
        <v>1.0</v>
      </c>
      <c r="I153" s="2" t="s">
        <v>371</v>
      </c>
      <c r="J153" s="3">
        <v>7680.0</v>
      </c>
      <c r="K153" s="3">
        <v>7680.0</v>
      </c>
      <c r="L153" s="3">
        <v>7680.0</v>
      </c>
      <c r="M153" s="2" t="s">
        <v>372</v>
      </c>
      <c r="N153" s="12" t="s">
        <v>147</v>
      </c>
      <c r="Q153" s="9" t="s">
        <v>373</v>
      </c>
    </row>
    <row r="154">
      <c r="A154" s="1">
        <v>46034.55424938657</v>
      </c>
      <c r="B154" s="2" t="s">
        <v>149</v>
      </c>
      <c r="C154" s="5">
        <v>46034.0</v>
      </c>
      <c r="D154" s="2" t="s">
        <v>19</v>
      </c>
      <c r="E154" s="2" t="s">
        <v>20</v>
      </c>
      <c r="G154" s="2">
        <v>1.0</v>
      </c>
      <c r="I154" s="2" t="s">
        <v>374</v>
      </c>
      <c r="J154" s="3">
        <v>38400.0</v>
      </c>
      <c r="K154" s="3">
        <v>38400.0</v>
      </c>
      <c r="L154" s="3">
        <v>38400.0</v>
      </c>
      <c r="M154" s="2" t="s">
        <v>258</v>
      </c>
      <c r="N154" s="12" t="s">
        <v>147</v>
      </c>
      <c r="Q154" s="9" t="s">
        <v>375</v>
      </c>
    </row>
    <row r="155">
      <c r="A155" s="1">
        <v>46034.70790902778</v>
      </c>
      <c r="B155" s="2" t="s">
        <v>376</v>
      </c>
      <c r="C155" s="5">
        <v>46034.0</v>
      </c>
      <c r="D155" s="2" t="s">
        <v>19</v>
      </c>
      <c r="E155" s="2" t="s">
        <v>20</v>
      </c>
      <c r="G155" s="2">
        <v>1.0</v>
      </c>
      <c r="I155" s="2" t="s">
        <v>377</v>
      </c>
      <c r="J155" s="3">
        <v>15615.0</v>
      </c>
      <c r="K155" s="3">
        <v>15615.0</v>
      </c>
      <c r="L155" s="3">
        <v>15615.0</v>
      </c>
      <c r="M155" s="2" t="s">
        <v>378</v>
      </c>
      <c r="N155" s="12" t="s">
        <v>147</v>
      </c>
      <c r="Q155" s="9" t="s">
        <v>379</v>
      </c>
    </row>
    <row r="156">
      <c r="A156" s="1">
        <v>46034.719258576384</v>
      </c>
      <c r="B156" s="2" t="s">
        <v>95</v>
      </c>
      <c r="C156" s="5">
        <v>46034.0</v>
      </c>
      <c r="D156" s="2" t="s">
        <v>19</v>
      </c>
      <c r="E156" s="2" t="s">
        <v>20</v>
      </c>
      <c r="G156" s="2">
        <v>2.0</v>
      </c>
      <c r="I156" s="2" t="s">
        <v>195</v>
      </c>
      <c r="J156" s="3">
        <v>1000.0</v>
      </c>
      <c r="K156" s="3">
        <v>2000.0</v>
      </c>
      <c r="L156" s="3">
        <v>2000.0</v>
      </c>
      <c r="M156" s="2" t="s">
        <v>380</v>
      </c>
      <c r="N156" s="12" t="s">
        <v>147</v>
      </c>
      <c r="Q156" s="9" t="s">
        <v>381</v>
      </c>
    </row>
    <row r="157">
      <c r="A157" s="1">
        <v>46034.725130011575</v>
      </c>
      <c r="B157" s="2" t="s">
        <v>382</v>
      </c>
      <c r="C157" s="5">
        <v>46034.0</v>
      </c>
      <c r="D157" s="2" t="s">
        <v>19</v>
      </c>
      <c r="E157" s="2" t="s">
        <v>20</v>
      </c>
      <c r="G157" s="2">
        <v>1.0</v>
      </c>
      <c r="I157" s="2" t="s">
        <v>356</v>
      </c>
      <c r="J157" s="3">
        <v>11400.0</v>
      </c>
      <c r="K157" s="3">
        <v>11400.0</v>
      </c>
      <c r="L157" s="3">
        <v>18380.0</v>
      </c>
      <c r="M157" s="2" t="s">
        <v>382</v>
      </c>
      <c r="N157" s="12" t="s">
        <v>125</v>
      </c>
      <c r="Q157" s="9" t="s">
        <v>383</v>
      </c>
    </row>
    <row r="158">
      <c r="A158" s="1">
        <v>46034.725130011575</v>
      </c>
      <c r="B158" s="2" t="s">
        <v>382</v>
      </c>
      <c r="C158" s="5">
        <v>46034.0</v>
      </c>
      <c r="D158" s="2" t="s">
        <v>19</v>
      </c>
      <c r="E158" s="2" t="s">
        <v>20</v>
      </c>
      <c r="G158" s="2">
        <v>2.0</v>
      </c>
      <c r="I158" s="2" t="s">
        <v>384</v>
      </c>
      <c r="J158" s="3">
        <v>1990.0</v>
      </c>
      <c r="K158" s="3">
        <v>3980.0</v>
      </c>
      <c r="L158" s="3">
        <v>18380.0</v>
      </c>
      <c r="M158" s="2" t="s">
        <v>382</v>
      </c>
      <c r="N158" s="12" t="s">
        <v>125</v>
      </c>
      <c r="Q158" s="9" t="s">
        <v>383</v>
      </c>
    </row>
    <row r="159">
      <c r="A159" s="1">
        <v>46034.725130011575</v>
      </c>
      <c r="B159" s="2" t="s">
        <v>382</v>
      </c>
      <c r="C159" s="5">
        <v>46034.0</v>
      </c>
      <c r="D159" s="2" t="s">
        <v>19</v>
      </c>
      <c r="E159" s="2" t="s">
        <v>20</v>
      </c>
      <c r="G159" s="2">
        <v>1.0</v>
      </c>
      <c r="I159" s="2" t="s">
        <v>385</v>
      </c>
      <c r="J159" s="3">
        <v>1000.0</v>
      </c>
      <c r="K159" s="3">
        <v>1000.0</v>
      </c>
      <c r="L159" s="3">
        <v>18380.0</v>
      </c>
      <c r="M159" s="2" t="s">
        <v>382</v>
      </c>
      <c r="N159" s="12" t="s">
        <v>125</v>
      </c>
      <c r="Q159" s="9" t="s">
        <v>383</v>
      </c>
    </row>
    <row r="160">
      <c r="A160" s="1">
        <v>46034.725130011575</v>
      </c>
      <c r="B160" s="2" t="s">
        <v>382</v>
      </c>
      <c r="C160" s="5">
        <v>46034.0</v>
      </c>
      <c r="D160" s="2" t="s">
        <v>19</v>
      </c>
      <c r="E160" s="2" t="s">
        <v>20</v>
      </c>
      <c r="G160" s="2">
        <v>4.0</v>
      </c>
      <c r="I160" s="2" t="s">
        <v>386</v>
      </c>
      <c r="J160" s="3">
        <v>500.0</v>
      </c>
      <c r="K160" s="3">
        <v>2000.0</v>
      </c>
      <c r="L160" s="3">
        <v>18380.0</v>
      </c>
      <c r="M160" s="2" t="s">
        <v>382</v>
      </c>
      <c r="N160" s="12" t="s">
        <v>125</v>
      </c>
      <c r="Q160" s="9" t="s">
        <v>383</v>
      </c>
    </row>
    <row r="161">
      <c r="A161" s="1">
        <v>46035.38822479166</v>
      </c>
      <c r="B161" s="2" t="s">
        <v>108</v>
      </c>
      <c r="C161" s="5">
        <v>46035.0</v>
      </c>
      <c r="D161" s="2" t="s">
        <v>19</v>
      </c>
      <c r="E161" s="2" t="s">
        <v>20</v>
      </c>
      <c r="G161" s="2">
        <v>2.0</v>
      </c>
      <c r="I161" s="2" t="s">
        <v>387</v>
      </c>
      <c r="J161" s="6"/>
      <c r="K161" s="3">
        <v>0.0</v>
      </c>
      <c r="L161" s="3">
        <v>0.0</v>
      </c>
      <c r="M161" s="2" t="s">
        <v>388</v>
      </c>
      <c r="N161" s="12" t="s">
        <v>125</v>
      </c>
      <c r="Q161" s="9" t="s">
        <v>389</v>
      </c>
    </row>
    <row r="162">
      <c r="A162" s="1">
        <v>46035.39470585648</v>
      </c>
      <c r="B162" s="2" t="s">
        <v>40</v>
      </c>
      <c r="C162" s="5">
        <v>46035.0</v>
      </c>
      <c r="D162" s="2" t="s">
        <v>19</v>
      </c>
      <c r="E162" s="2" t="s">
        <v>20</v>
      </c>
      <c r="G162" s="2">
        <v>3.0</v>
      </c>
      <c r="I162" s="2" t="s">
        <v>195</v>
      </c>
      <c r="J162" s="3">
        <v>1000.0</v>
      </c>
      <c r="K162" s="3">
        <v>3000.0</v>
      </c>
      <c r="L162" s="3">
        <v>3000.0</v>
      </c>
      <c r="M162" s="2" t="s">
        <v>390</v>
      </c>
      <c r="N162" s="12" t="s">
        <v>147</v>
      </c>
      <c r="Q162" s="9" t="s">
        <v>391</v>
      </c>
    </row>
    <row r="163">
      <c r="A163" s="1">
        <v>46035.64979765046</v>
      </c>
      <c r="B163" s="2" t="s">
        <v>164</v>
      </c>
      <c r="C163" s="5">
        <v>46035.0</v>
      </c>
      <c r="D163" s="2" t="s">
        <v>19</v>
      </c>
      <c r="E163" s="2" t="s">
        <v>20</v>
      </c>
      <c r="G163" s="2">
        <v>50.0</v>
      </c>
      <c r="I163" s="2" t="s">
        <v>392</v>
      </c>
      <c r="J163" s="6"/>
      <c r="K163" s="3">
        <v>0.0</v>
      </c>
      <c r="L163" s="3">
        <v>0.0</v>
      </c>
      <c r="M163" s="2" t="s">
        <v>393</v>
      </c>
      <c r="N163" s="12" t="s">
        <v>394</v>
      </c>
      <c r="Q163" s="9" t="s">
        <v>395</v>
      </c>
    </row>
    <row r="164">
      <c r="A164" s="1">
        <v>46035.69095024306</v>
      </c>
      <c r="B164" s="2" t="s">
        <v>105</v>
      </c>
      <c r="C164" s="5">
        <v>46035.0</v>
      </c>
      <c r="D164" s="2" t="s">
        <v>19</v>
      </c>
      <c r="E164" s="2" t="s">
        <v>20</v>
      </c>
      <c r="G164" s="2">
        <v>1.0</v>
      </c>
      <c r="I164" s="2" t="s">
        <v>396</v>
      </c>
      <c r="J164" s="3">
        <v>1000.0</v>
      </c>
      <c r="K164" s="3">
        <v>1000.0</v>
      </c>
      <c r="L164" s="3">
        <v>2000.0</v>
      </c>
      <c r="M164" s="2" t="s">
        <v>268</v>
      </c>
      <c r="N164" s="12" t="s">
        <v>147</v>
      </c>
      <c r="Q164" s="9" t="s">
        <v>397</v>
      </c>
    </row>
    <row r="165">
      <c r="A165" s="1">
        <v>46035.69095024306</v>
      </c>
      <c r="B165" s="2" t="s">
        <v>105</v>
      </c>
      <c r="C165" s="5">
        <v>46035.0</v>
      </c>
      <c r="D165" s="2" t="s">
        <v>19</v>
      </c>
      <c r="E165" s="2" t="s">
        <v>20</v>
      </c>
      <c r="G165" s="2">
        <v>1.0</v>
      </c>
      <c r="I165" s="2" t="s">
        <v>398</v>
      </c>
      <c r="J165" s="3">
        <v>1000.0</v>
      </c>
      <c r="K165" s="3">
        <v>1000.0</v>
      </c>
      <c r="L165" s="3">
        <v>2000.0</v>
      </c>
      <c r="M165" s="2" t="s">
        <v>268</v>
      </c>
      <c r="N165" s="12" t="s">
        <v>147</v>
      </c>
      <c r="Q165" s="9" t="s">
        <v>397</v>
      </c>
    </row>
    <row r="166">
      <c r="A166" s="1">
        <v>46035.729629305555</v>
      </c>
      <c r="B166" s="2" t="s">
        <v>71</v>
      </c>
      <c r="C166" s="5">
        <v>46035.0</v>
      </c>
      <c r="D166" s="2" t="s">
        <v>19</v>
      </c>
      <c r="E166" s="2" t="s">
        <v>20</v>
      </c>
      <c r="G166" s="2">
        <v>1.0</v>
      </c>
      <c r="I166" s="2" t="s">
        <v>399</v>
      </c>
      <c r="J166" s="3">
        <v>1800.0</v>
      </c>
      <c r="K166" s="3">
        <v>1800.0</v>
      </c>
      <c r="L166" s="3">
        <v>1800.0</v>
      </c>
      <c r="M166" s="2" t="s">
        <v>325</v>
      </c>
      <c r="N166" s="12" t="s">
        <v>147</v>
      </c>
      <c r="Q166" s="9" t="s">
        <v>400</v>
      </c>
    </row>
    <row r="167">
      <c r="A167" s="1">
        <v>46036.35299533565</v>
      </c>
      <c r="B167" s="2" t="s">
        <v>29</v>
      </c>
      <c r="C167" s="5">
        <v>46036.0</v>
      </c>
      <c r="D167" s="2" t="s">
        <v>19</v>
      </c>
      <c r="E167" s="2" t="s">
        <v>20</v>
      </c>
      <c r="G167" s="2">
        <v>1.0</v>
      </c>
      <c r="I167" s="2" t="s">
        <v>401</v>
      </c>
      <c r="J167" s="3">
        <v>1650.0</v>
      </c>
      <c r="K167" s="3">
        <v>1650.0</v>
      </c>
      <c r="L167" s="3">
        <v>2150.0</v>
      </c>
      <c r="M167" s="2" t="s">
        <v>402</v>
      </c>
      <c r="N167" s="12" t="s">
        <v>147</v>
      </c>
      <c r="Q167" s="9" t="s">
        <v>403</v>
      </c>
    </row>
    <row r="168">
      <c r="A168" s="1">
        <v>46036.35299533565</v>
      </c>
      <c r="B168" s="2" t="s">
        <v>29</v>
      </c>
      <c r="C168" s="5">
        <v>46036.0</v>
      </c>
      <c r="D168" s="2" t="s">
        <v>19</v>
      </c>
      <c r="E168" s="2" t="s">
        <v>20</v>
      </c>
      <c r="G168" s="2">
        <v>1.0</v>
      </c>
      <c r="I168" s="2" t="s">
        <v>404</v>
      </c>
      <c r="J168" s="3">
        <v>500.0</v>
      </c>
      <c r="K168" s="3">
        <v>500.0</v>
      </c>
      <c r="L168" s="3">
        <v>2150.0</v>
      </c>
      <c r="M168" s="2" t="s">
        <v>402</v>
      </c>
      <c r="N168" s="12" t="s">
        <v>147</v>
      </c>
      <c r="Q168" s="9" t="s">
        <v>403</v>
      </c>
    </row>
    <row r="169">
      <c r="A169" s="1">
        <v>46036.35892815972</v>
      </c>
      <c r="B169" s="2" t="s">
        <v>51</v>
      </c>
      <c r="C169" s="5">
        <v>46036.0</v>
      </c>
      <c r="D169" s="2" t="s">
        <v>19</v>
      </c>
      <c r="E169" s="2" t="s">
        <v>20</v>
      </c>
      <c r="G169" s="2">
        <v>1.0</v>
      </c>
      <c r="I169" s="2" t="s">
        <v>405</v>
      </c>
      <c r="J169" s="3">
        <v>8000.0</v>
      </c>
      <c r="K169" s="3">
        <v>8000.0</v>
      </c>
      <c r="L169" s="3">
        <v>8000.0</v>
      </c>
      <c r="M169" s="2" t="s">
        <v>406</v>
      </c>
      <c r="N169" s="12" t="s">
        <v>147</v>
      </c>
      <c r="Q169" s="9" t="s">
        <v>407</v>
      </c>
    </row>
    <row r="170">
      <c r="A170" s="1">
        <v>46036.65453748843</v>
      </c>
      <c r="B170" s="2" t="s">
        <v>51</v>
      </c>
      <c r="C170" s="5">
        <v>46036.0</v>
      </c>
      <c r="D170" s="2" t="s">
        <v>19</v>
      </c>
      <c r="E170" s="2" t="s">
        <v>20</v>
      </c>
      <c r="G170" s="2">
        <v>1.0</v>
      </c>
      <c r="I170" s="2" t="s">
        <v>408</v>
      </c>
      <c r="J170" s="6"/>
      <c r="K170" s="3">
        <v>0.0</v>
      </c>
      <c r="L170" s="3">
        <v>0.0</v>
      </c>
      <c r="M170" s="2" t="s">
        <v>406</v>
      </c>
      <c r="N170" s="12" t="s">
        <v>147</v>
      </c>
      <c r="Q170" s="9" t="s">
        <v>409</v>
      </c>
    </row>
    <row r="171">
      <c r="A171" s="1">
        <v>46037.40704846065</v>
      </c>
      <c r="B171" s="2" t="s">
        <v>65</v>
      </c>
      <c r="C171" s="5">
        <v>46037.0</v>
      </c>
      <c r="D171" s="2" t="s">
        <v>19</v>
      </c>
      <c r="E171" s="2" t="s">
        <v>20</v>
      </c>
      <c r="G171" s="2">
        <v>1.0</v>
      </c>
      <c r="I171" s="2" t="s">
        <v>410</v>
      </c>
      <c r="J171" s="3">
        <v>840.0</v>
      </c>
      <c r="K171" s="3">
        <v>840.0</v>
      </c>
      <c r="L171" s="3">
        <v>840.0</v>
      </c>
      <c r="M171" s="2" t="s">
        <v>294</v>
      </c>
      <c r="N171" s="12" t="s">
        <v>147</v>
      </c>
      <c r="Q171" s="9" t="s">
        <v>411</v>
      </c>
    </row>
    <row r="172">
      <c r="A172" s="1">
        <v>46037.422796342595</v>
      </c>
      <c r="B172" s="2" t="s">
        <v>43</v>
      </c>
      <c r="C172" s="5">
        <v>46037.0</v>
      </c>
      <c r="D172" s="2" t="s">
        <v>19</v>
      </c>
      <c r="E172" s="2" t="s">
        <v>20</v>
      </c>
      <c r="G172" s="2">
        <v>2.0</v>
      </c>
      <c r="H172" s="2" t="s">
        <v>301</v>
      </c>
      <c r="I172" s="2" t="s">
        <v>205</v>
      </c>
      <c r="J172" s="6"/>
      <c r="K172" s="3">
        <v>0.0</v>
      </c>
      <c r="L172" s="3">
        <v>0.0</v>
      </c>
      <c r="M172" s="2" t="s">
        <v>412</v>
      </c>
      <c r="N172" s="12" t="s">
        <v>147</v>
      </c>
      <c r="Q172" s="9" t="s">
        <v>413</v>
      </c>
    </row>
    <row r="173">
      <c r="A173" s="1">
        <v>46037.422796342595</v>
      </c>
      <c r="B173" s="2" t="s">
        <v>43</v>
      </c>
      <c r="C173" s="5">
        <v>46037.0</v>
      </c>
      <c r="D173" s="2" t="s">
        <v>19</v>
      </c>
      <c r="E173" s="2" t="s">
        <v>20</v>
      </c>
      <c r="G173" s="2">
        <v>1.0</v>
      </c>
      <c r="I173" s="2" t="s">
        <v>414</v>
      </c>
      <c r="J173" s="6"/>
      <c r="K173" s="3">
        <v>0.0</v>
      </c>
      <c r="L173" s="3">
        <v>0.0</v>
      </c>
      <c r="M173" s="2" t="s">
        <v>412</v>
      </c>
      <c r="N173" s="12" t="s">
        <v>147</v>
      </c>
      <c r="Q173" s="9" t="s">
        <v>413</v>
      </c>
    </row>
    <row r="174">
      <c r="A174" s="1">
        <v>46037.457700520834</v>
      </c>
      <c r="B174" s="2" t="s">
        <v>26</v>
      </c>
      <c r="C174" s="5">
        <v>46037.0</v>
      </c>
      <c r="D174" s="2" t="s">
        <v>19</v>
      </c>
      <c r="E174" s="2" t="s">
        <v>20</v>
      </c>
      <c r="G174" s="2">
        <v>1.0</v>
      </c>
      <c r="I174" s="2" t="s">
        <v>415</v>
      </c>
      <c r="J174" s="3">
        <v>7500.0</v>
      </c>
      <c r="K174" s="3">
        <v>7500.0</v>
      </c>
      <c r="L174" s="3">
        <v>7500.0</v>
      </c>
      <c r="M174" s="2" t="s">
        <v>193</v>
      </c>
      <c r="N174" s="12" t="s">
        <v>147</v>
      </c>
      <c r="Q174" s="9" t="s">
        <v>416</v>
      </c>
    </row>
    <row r="175">
      <c r="A175" s="1">
        <v>46037.59281902778</v>
      </c>
      <c r="B175" s="2" t="s">
        <v>376</v>
      </c>
      <c r="C175" s="5">
        <v>46037.0</v>
      </c>
      <c r="D175" s="2" t="s">
        <v>19</v>
      </c>
      <c r="E175" s="2" t="s">
        <v>20</v>
      </c>
      <c r="G175" s="2">
        <v>5.0</v>
      </c>
      <c r="I175" s="2" t="s">
        <v>417</v>
      </c>
      <c r="J175" s="3">
        <v>1000.0</v>
      </c>
      <c r="K175" s="3">
        <v>5000.0</v>
      </c>
      <c r="L175" s="3">
        <v>5000.0</v>
      </c>
      <c r="M175" s="2" t="s">
        <v>378</v>
      </c>
      <c r="N175" s="12" t="s">
        <v>147</v>
      </c>
      <c r="Q175" s="9" t="s">
        <v>418</v>
      </c>
    </row>
    <row r="176">
      <c r="A176" s="1">
        <v>46037.71866155093</v>
      </c>
      <c r="B176" s="2" t="s">
        <v>105</v>
      </c>
      <c r="C176" s="5">
        <v>46037.0</v>
      </c>
      <c r="D176" s="2" t="s">
        <v>19</v>
      </c>
      <c r="E176" s="2" t="s">
        <v>20</v>
      </c>
      <c r="G176" s="2">
        <v>1.0</v>
      </c>
      <c r="I176" s="2" t="s">
        <v>419</v>
      </c>
      <c r="J176" s="3">
        <v>1000.0</v>
      </c>
      <c r="K176" s="3">
        <v>1000.0</v>
      </c>
      <c r="L176" s="3">
        <v>4000.0</v>
      </c>
      <c r="M176" s="2" t="s">
        <v>420</v>
      </c>
      <c r="N176" s="12" t="s">
        <v>147</v>
      </c>
      <c r="Q176" s="9" t="s">
        <v>421</v>
      </c>
    </row>
    <row r="177">
      <c r="A177" s="1">
        <v>46037.71866155093</v>
      </c>
      <c r="B177" s="2" t="s">
        <v>105</v>
      </c>
      <c r="C177" s="5">
        <v>46037.0</v>
      </c>
      <c r="D177" s="2" t="s">
        <v>19</v>
      </c>
      <c r="E177" s="2" t="s">
        <v>20</v>
      </c>
      <c r="G177" s="2">
        <v>1.0</v>
      </c>
      <c r="I177" s="2" t="s">
        <v>422</v>
      </c>
      <c r="J177" s="3">
        <v>1000.0</v>
      </c>
      <c r="K177" s="3">
        <v>1000.0</v>
      </c>
      <c r="L177" s="3">
        <v>4000.0</v>
      </c>
      <c r="M177" s="2" t="s">
        <v>420</v>
      </c>
      <c r="N177" s="12" t="s">
        <v>147</v>
      </c>
      <c r="Q177" s="9" t="s">
        <v>421</v>
      </c>
    </row>
    <row r="178">
      <c r="A178" s="1">
        <v>46037.71866155093</v>
      </c>
      <c r="B178" s="2" t="s">
        <v>105</v>
      </c>
      <c r="C178" s="5">
        <v>46037.0</v>
      </c>
      <c r="D178" s="2" t="s">
        <v>19</v>
      </c>
      <c r="E178" s="2" t="s">
        <v>20</v>
      </c>
      <c r="G178" s="2">
        <v>1.0</v>
      </c>
      <c r="I178" s="2" t="s">
        <v>423</v>
      </c>
      <c r="J178" s="3">
        <v>1000.0</v>
      </c>
      <c r="K178" s="3">
        <v>1000.0</v>
      </c>
      <c r="L178" s="3">
        <v>4000.0</v>
      </c>
      <c r="M178" s="2" t="s">
        <v>420</v>
      </c>
      <c r="N178" s="12" t="s">
        <v>147</v>
      </c>
      <c r="Q178" s="9" t="s">
        <v>421</v>
      </c>
    </row>
    <row r="179">
      <c r="A179" s="1">
        <v>46037.71866155093</v>
      </c>
      <c r="B179" s="2" t="s">
        <v>105</v>
      </c>
      <c r="C179" s="5">
        <v>46037.0</v>
      </c>
      <c r="D179" s="2" t="s">
        <v>19</v>
      </c>
      <c r="E179" s="2" t="s">
        <v>20</v>
      </c>
      <c r="G179" s="2">
        <v>1.0</v>
      </c>
      <c r="I179" s="2" t="s">
        <v>424</v>
      </c>
      <c r="J179" s="3">
        <v>1000.0</v>
      </c>
      <c r="K179" s="3">
        <v>1000.0</v>
      </c>
      <c r="L179" s="3">
        <v>4000.0</v>
      </c>
      <c r="M179" s="2" t="s">
        <v>420</v>
      </c>
      <c r="N179" s="12" t="s">
        <v>147</v>
      </c>
      <c r="Q179" s="9" t="s">
        <v>421</v>
      </c>
    </row>
    <row r="180">
      <c r="A180" s="1">
        <v>46037.723393356486</v>
      </c>
      <c r="B180" s="2" t="s">
        <v>101</v>
      </c>
      <c r="C180" s="5">
        <v>46037.0</v>
      </c>
      <c r="D180" s="2" t="s">
        <v>19</v>
      </c>
      <c r="E180" s="2" t="s">
        <v>20</v>
      </c>
      <c r="G180" s="2">
        <v>1.0</v>
      </c>
      <c r="I180" s="2" t="s">
        <v>425</v>
      </c>
      <c r="J180" s="6"/>
      <c r="K180" s="3">
        <v>0.0</v>
      </c>
      <c r="L180" s="3">
        <v>0.0</v>
      </c>
      <c r="M180" s="2" t="s">
        <v>426</v>
      </c>
      <c r="N180" s="12" t="s">
        <v>125</v>
      </c>
      <c r="Q180" s="9" t="s">
        <v>427</v>
      </c>
    </row>
    <row r="181">
      <c r="A181" s="1">
        <v>46037.723393356486</v>
      </c>
      <c r="B181" s="2" t="s">
        <v>101</v>
      </c>
      <c r="C181" s="5">
        <v>46037.0</v>
      </c>
      <c r="D181" s="2" t="s">
        <v>19</v>
      </c>
      <c r="E181" s="2" t="s">
        <v>20</v>
      </c>
      <c r="G181" s="2">
        <v>5.0</v>
      </c>
      <c r="I181" s="2" t="s">
        <v>428</v>
      </c>
      <c r="J181" s="6"/>
      <c r="K181" s="3">
        <v>0.0</v>
      </c>
      <c r="L181" s="3">
        <v>0.0</v>
      </c>
      <c r="M181" s="2" t="s">
        <v>426</v>
      </c>
      <c r="N181" s="12" t="s">
        <v>125</v>
      </c>
      <c r="Q181" s="9" t="s">
        <v>427</v>
      </c>
    </row>
    <row r="182">
      <c r="A182" s="1">
        <v>46037.723393356486</v>
      </c>
      <c r="B182" s="2" t="s">
        <v>101</v>
      </c>
      <c r="C182" s="5">
        <v>46037.0</v>
      </c>
      <c r="D182" s="2" t="s">
        <v>19</v>
      </c>
      <c r="E182" s="2" t="s">
        <v>20</v>
      </c>
      <c r="G182" s="2">
        <v>1.0</v>
      </c>
      <c r="I182" s="2" t="s">
        <v>429</v>
      </c>
      <c r="J182" s="6"/>
      <c r="K182" s="3">
        <v>0.0</v>
      </c>
      <c r="L182" s="3">
        <v>0.0</v>
      </c>
      <c r="M182" s="2" t="s">
        <v>426</v>
      </c>
      <c r="N182" s="12" t="s">
        <v>125</v>
      </c>
      <c r="Q182" s="9" t="s">
        <v>427</v>
      </c>
    </row>
    <row r="183">
      <c r="A183" s="1">
        <v>46038.37793291667</v>
      </c>
      <c r="B183" s="2" t="s">
        <v>65</v>
      </c>
      <c r="C183" s="5">
        <v>46038.0</v>
      </c>
      <c r="D183" s="2" t="s">
        <v>19</v>
      </c>
      <c r="E183" s="2" t="s">
        <v>20</v>
      </c>
      <c r="G183" s="2">
        <v>1.0</v>
      </c>
      <c r="I183" s="2" t="s">
        <v>430</v>
      </c>
      <c r="J183" s="3">
        <v>2000.0</v>
      </c>
      <c r="K183" s="3">
        <v>2000.0</v>
      </c>
      <c r="L183" s="3">
        <v>2000.0</v>
      </c>
      <c r="M183" s="2" t="s">
        <v>294</v>
      </c>
      <c r="N183" s="12" t="s">
        <v>147</v>
      </c>
      <c r="Q183" s="9" t="s">
        <v>431</v>
      </c>
    </row>
    <row r="184">
      <c r="A184" s="1">
        <v>46038.38526768518</v>
      </c>
      <c r="B184" s="2" t="s">
        <v>220</v>
      </c>
      <c r="C184" s="5">
        <v>46038.0</v>
      </c>
      <c r="D184" s="2" t="s">
        <v>19</v>
      </c>
      <c r="E184" s="2" t="s">
        <v>20</v>
      </c>
      <c r="G184" s="2">
        <v>1.0</v>
      </c>
      <c r="I184" s="2" t="s">
        <v>432</v>
      </c>
      <c r="J184" s="3">
        <v>6088.0</v>
      </c>
      <c r="K184" s="3">
        <v>6088.0</v>
      </c>
      <c r="L184" s="3">
        <v>6088.0</v>
      </c>
      <c r="M184" s="2" t="s">
        <v>222</v>
      </c>
      <c r="N184" s="12" t="s">
        <v>147</v>
      </c>
      <c r="Q184" s="9" t="s">
        <v>433</v>
      </c>
    </row>
    <row r="185">
      <c r="A185" s="1">
        <v>46038.410495937496</v>
      </c>
      <c r="B185" s="2" t="s">
        <v>220</v>
      </c>
      <c r="C185" s="5">
        <v>46038.0</v>
      </c>
      <c r="D185" s="2" t="s">
        <v>19</v>
      </c>
      <c r="E185" s="2" t="s">
        <v>20</v>
      </c>
      <c r="G185" s="2">
        <v>1.0</v>
      </c>
      <c r="I185" s="2" t="s">
        <v>434</v>
      </c>
      <c r="J185" s="3">
        <v>1708.0</v>
      </c>
      <c r="K185" s="3">
        <v>1708.0</v>
      </c>
      <c r="L185" s="3">
        <v>1708.0</v>
      </c>
      <c r="M185" s="2" t="s">
        <v>222</v>
      </c>
      <c r="N185" s="12" t="s">
        <v>147</v>
      </c>
      <c r="Q185" s="9" t="s">
        <v>435</v>
      </c>
    </row>
    <row r="186">
      <c r="A186" s="1">
        <v>46038.41414353009</v>
      </c>
      <c r="B186" s="2" t="s">
        <v>144</v>
      </c>
      <c r="C186" s="5">
        <v>46038.0</v>
      </c>
      <c r="D186" s="2" t="s">
        <v>19</v>
      </c>
      <c r="E186" s="2" t="s">
        <v>20</v>
      </c>
      <c r="G186" s="2">
        <v>1.0</v>
      </c>
      <c r="I186" s="2" t="s">
        <v>241</v>
      </c>
      <c r="J186" s="3">
        <v>5000.0</v>
      </c>
      <c r="K186" s="3">
        <v>5000.0</v>
      </c>
      <c r="L186" s="3">
        <v>5000.0</v>
      </c>
      <c r="M186" s="2" t="s">
        <v>146</v>
      </c>
      <c r="N186" s="12" t="s">
        <v>147</v>
      </c>
      <c r="Q186" s="9" t="s">
        <v>436</v>
      </c>
    </row>
    <row r="187">
      <c r="A187" s="1">
        <v>46038.665344548615</v>
      </c>
      <c r="B187" s="2" t="s">
        <v>244</v>
      </c>
      <c r="C187" s="5">
        <v>46038.0</v>
      </c>
      <c r="D187" s="2" t="s">
        <v>19</v>
      </c>
      <c r="E187" s="2" t="s">
        <v>20</v>
      </c>
      <c r="G187" s="2">
        <v>1.0</v>
      </c>
      <c r="I187" s="2" t="s">
        <v>437</v>
      </c>
      <c r="J187" s="3">
        <v>7500.0</v>
      </c>
      <c r="K187" s="3">
        <v>7500.0</v>
      </c>
      <c r="L187" s="3">
        <v>8200.0</v>
      </c>
      <c r="M187" s="2" t="s">
        <v>246</v>
      </c>
      <c r="N187" s="12" t="s">
        <v>147</v>
      </c>
      <c r="Q187" s="9" t="s">
        <v>438</v>
      </c>
    </row>
    <row r="188">
      <c r="A188" s="1">
        <v>46038.665344548615</v>
      </c>
      <c r="B188" s="2" t="s">
        <v>244</v>
      </c>
      <c r="C188" s="5">
        <v>46038.0</v>
      </c>
      <c r="D188" s="2" t="s">
        <v>19</v>
      </c>
      <c r="E188" s="2" t="s">
        <v>20</v>
      </c>
      <c r="G188" s="2">
        <v>1.0</v>
      </c>
      <c r="I188" s="2" t="s">
        <v>439</v>
      </c>
      <c r="J188" s="3">
        <v>700.0</v>
      </c>
      <c r="K188" s="3">
        <v>700.0</v>
      </c>
      <c r="L188" s="3">
        <v>8200.0</v>
      </c>
      <c r="M188" s="2" t="s">
        <v>246</v>
      </c>
      <c r="N188" s="12" t="s">
        <v>147</v>
      </c>
      <c r="Q188" s="9" t="s">
        <v>438</v>
      </c>
    </row>
    <row r="189">
      <c r="A189" s="1">
        <v>46040.40163233796</v>
      </c>
      <c r="B189" s="2" t="s">
        <v>108</v>
      </c>
      <c r="C189" s="5">
        <v>46040.0</v>
      </c>
      <c r="D189" s="2" t="s">
        <v>19</v>
      </c>
      <c r="E189" s="2" t="s">
        <v>20</v>
      </c>
      <c r="G189" s="2">
        <v>2.0</v>
      </c>
      <c r="I189" s="2" t="s">
        <v>195</v>
      </c>
      <c r="J189" s="3">
        <v>1000.0</v>
      </c>
      <c r="K189" s="3">
        <v>2000.0</v>
      </c>
      <c r="L189" s="3">
        <v>2000.0</v>
      </c>
      <c r="M189" s="2" t="s">
        <v>388</v>
      </c>
      <c r="N189" s="12" t="s">
        <v>147</v>
      </c>
      <c r="Q189" s="9" t="s">
        <v>440</v>
      </c>
    </row>
    <row r="190">
      <c r="A190" s="1">
        <v>46040.58055304398</v>
      </c>
      <c r="B190" s="2" t="s">
        <v>164</v>
      </c>
      <c r="C190" s="5">
        <v>46334.0</v>
      </c>
      <c r="D190" s="2" t="s">
        <v>19</v>
      </c>
      <c r="E190" s="2" t="s">
        <v>20</v>
      </c>
      <c r="G190" s="2">
        <v>1.0</v>
      </c>
      <c r="I190" s="2" t="s">
        <v>441</v>
      </c>
      <c r="J190" s="3">
        <v>1000.0</v>
      </c>
      <c r="K190" s="3">
        <v>1000.0</v>
      </c>
      <c r="L190" s="3">
        <v>1000.0</v>
      </c>
      <c r="M190" s="2" t="s">
        <v>166</v>
      </c>
      <c r="N190" s="12" t="s">
        <v>147</v>
      </c>
      <c r="Q190" s="9" t="s">
        <v>442</v>
      </c>
    </row>
    <row r="191">
      <c r="A191" s="1">
        <v>46040.58908460649</v>
      </c>
      <c r="B191" s="2" t="s">
        <v>164</v>
      </c>
      <c r="C191" s="5">
        <v>46040.0</v>
      </c>
      <c r="D191" s="2" t="s">
        <v>19</v>
      </c>
      <c r="E191" s="2" t="s">
        <v>20</v>
      </c>
      <c r="G191" s="2">
        <v>1.0</v>
      </c>
      <c r="I191" s="2" t="s">
        <v>443</v>
      </c>
      <c r="J191" s="3">
        <v>1000.0</v>
      </c>
      <c r="K191" s="3">
        <v>1000.0</v>
      </c>
      <c r="L191" s="3">
        <v>1000.0</v>
      </c>
      <c r="M191" s="2" t="s">
        <v>166</v>
      </c>
      <c r="N191" s="12" t="s">
        <v>147</v>
      </c>
      <c r="Q191" s="9" t="s">
        <v>444</v>
      </c>
    </row>
    <row r="192">
      <c r="A192" s="1">
        <v>46041.42584627315</v>
      </c>
      <c r="B192" s="2" t="s">
        <v>75</v>
      </c>
      <c r="C192" s="5">
        <v>46041.0</v>
      </c>
      <c r="D192" s="2" t="s">
        <v>19</v>
      </c>
      <c r="E192" s="2" t="s">
        <v>20</v>
      </c>
      <c r="G192" s="2">
        <v>1.0</v>
      </c>
      <c r="I192" s="2" t="s">
        <v>445</v>
      </c>
      <c r="J192" s="3">
        <v>1700.0</v>
      </c>
      <c r="K192" s="3">
        <v>1700.0</v>
      </c>
      <c r="L192" s="3">
        <v>1700.0</v>
      </c>
      <c r="M192" s="2" t="s">
        <v>242</v>
      </c>
      <c r="N192" s="12" t="s">
        <v>147</v>
      </c>
      <c r="Q192" s="9" t="s">
        <v>446</v>
      </c>
    </row>
    <row r="193">
      <c r="A193" s="1">
        <v>46041.47463972222</v>
      </c>
      <c r="B193" s="2" t="s">
        <v>144</v>
      </c>
      <c r="C193" s="5">
        <v>46041.0</v>
      </c>
      <c r="D193" s="2" t="s">
        <v>19</v>
      </c>
      <c r="E193" s="2" t="s">
        <v>20</v>
      </c>
      <c r="G193" s="2">
        <v>24.0</v>
      </c>
      <c r="H193" s="2" t="s">
        <v>447</v>
      </c>
      <c r="I193" s="2" t="s">
        <v>448</v>
      </c>
      <c r="J193" s="3">
        <v>210.0</v>
      </c>
      <c r="K193" s="3">
        <v>5040.0</v>
      </c>
      <c r="L193" s="3">
        <v>7200.0</v>
      </c>
      <c r="M193" s="2" t="s">
        <v>231</v>
      </c>
      <c r="N193" s="12" t="s">
        <v>147</v>
      </c>
      <c r="Q193" s="9" t="s">
        <v>449</v>
      </c>
    </row>
    <row r="194">
      <c r="A194" s="1">
        <v>46041.47463972222</v>
      </c>
      <c r="B194" s="2" t="s">
        <v>144</v>
      </c>
      <c r="C194" s="5">
        <v>46041.0</v>
      </c>
      <c r="D194" s="2" t="s">
        <v>19</v>
      </c>
      <c r="E194" s="2" t="s">
        <v>20</v>
      </c>
      <c r="G194" s="2">
        <v>36.0</v>
      </c>
      <c r="H194" s="2" t="s">
        <v>447</v>
      </c>
      <c r="I194" s="2" t="s">
        <v>207</v>
      </c>
      <c r="J194" s="3">
        <v>60.0</v>
      </c>
      <c r="K194" s="3">
        <v>2160.0</v>
      </c>
      <c r="L194" s="3">
        <v>7200.0</v>
      </c>
      <c r="M194" s="2" t="s">
        <v>231</v>
      </c>
      <c r="N194" s="12" t="s">
        <v>147</v>
      </c>
      <c r="Q194" s="9" t="s">
        <v>449</v>
      </c>
    </row>
    <row r="195">
      <c r="A195" s="1">
        <v>46041.703679479164</v>
      </c>
      <c r="B195" s="2" t="s">
        <v>51</v>
      </c>
      <c r="C195" s="5">
        <v>46041.0</v>
      </c>
      <c r="D195" s="2" t="s">
        <v>19</v>
      </c>
      <c r="E195" s="2" t="s">
        <v>20</v>
      </c>
      <c r="G195" s="2">
        <v>4.0</v>
      </c>
      <c r="I195" s="2" t="s">
        <v>450</v>
      </c>
      <c r="J195" s="3">
        <v>300.0</v>
      </c>
      <c r="K195" s="3">
        <v>1200.0</v>
      </c>
      <c r="L195" s="3">
        <v>1460.0</v>
      </c>
      <c r="M195" s="2" t="s">
        <v>406</v>
      </c>
      <c r="N195" s="12" t="s">
        <v>147</v>
      </c>
      <c r="Q195" s="9" t="s">
        <v>451</v>
      </c>
    </row>
    <row r="196">
      <c r="A196" s="1">
        <v>46041.703679479164</v>
      </c>
      <c r="B196" s="2" t="s">
        <v>51</v>
      </c>
      <c r="C196" s="5">
        <v>46041.0</v>
      </c>
      <c r="D196" s="2" t="s">
        <v>19</v>
      </c>
      <c r="E196" s="2" t="s">
        <v>20</v>
      </c>
      <c r="G196" s="2">
        <v>1.0</v>
      </c>
      <c r="I196" s="2" t="s">
        <v>452</v>
      </c>
      <c r="J196" s="3">
        <v>130.0</v>
      </c>
      <c r="K196" s="3">
        <v>130.0</v>
      </c>
      <c r="L196" s="3">
        <v>1460.0</v>
      </c>
      <c r="M196" s="2" t="s">
        <v>406</v>
      </c>
      <c r="N196" s="12" t="s">
        <v>147</v>
      </c>
      <c r="Q196" s="9" t="s">
        <v>451</v>
      </c>
    </row>
    <row r="197">
      <c r="A197" s="1">
        <v>46041.703679479164</v>
      </c>
      <c r="B197" s="2" t="s">
        <v>51</v>
      </c>
      <c r="C197" s="5">
        <v>46041.0</v>
      </c>
      <c r="D197" s="2" t="s">
        <v>19</v>
      </c>
      <c r="E197" s="2" t="s">
        <v>20</v>
      </c>
      <c r="G197" s="2">
        <v>1.0</v>
      </c>
      <c r="I197" s="2" t="s">
        <v>453</v>
      </c>
      <c r="J197" s="3">
        <v>30.0</v>
      </c>
      <c r="K197" s="3">
        <v>30.0</v>
      </c>
      <c r="L197" s="3">
        <v>1460.0</v>
      </c>
      <c r="M197" s="2" t="s">
        <v>406</v>
      </c>
      <c r="N197" s="12" t="s">
        <v>147</v>
      </c>
      <c r="Q197" s="9" t="s">
        <v>451</v>
      </c>
    </row>
    <row r="198">
      <c r="A198" s="1">
        <v>46041.703679479164</v>
      </c>
      <c r="B198" s="2" t="s">
        <v>51</v>
      </c>
      <c r="C198" s="5">
        <v>46041.0</v>
      </c>
      <c r="D198" s="2" t="s">
        <v>19</v>
      </c>
      <c r="E198" s="2" t="s">
        <v>20</v>
      </c>
      <c r="G198" s="2">
        <v>1.0</v>
      </c>
      <c r="I198" s="2" t="s">
        <v>454</v>
      </c>
      <c r="J198" s="3">
        <v>100.0</v>
      </c>
      <c r="K198" s="3">
        <v>100.0</v>
      </c>
      <c r="L198" s="3">
        <v>1460.0</v>
      </c>
      <c r="M198" s="2" t="s">
        <v>406</v>
      </c>
      <c r="N198" s="12" t="s">
        <v>147</v>
      </c>
      <c r="Q198" s="9" t="s">
        <v>451</v>
      </c>
    </row>
    <row r="199">
      <c r="A199" s="1">
        <v>46042.373302465276</v>
      </c>
      <c r="B199" s="2" t="s">
        <v>149</v>
      </c>
      <c r="C199" s="5">
        <v>46042.0</v>
      </c>
      <c r="D199" s="2" t="s">
        <v>19</v>
      </c>
      <c r="E199" s="2" t="s">
        <v>20</v>
      </c>
      <c r="G199" s="2">
        <v>14.0</v>
      </c>
      <c r="I199" s="2" t="s">
        <v>455</v>
      </c>
      <c r="J199" s="3">
        <v>350.0</v>
      </c>
      <c r="K199" s="3">
        <v>4900.0</v>
      </c>
      <c r="L199" s="3">
        <v>4900.0</v>
      </c>
      <c r="M199" s="2" t="s">
        <v>258</v>
      </c>
      <c r="N199" s="12" t="s">
        <v>147</v>
      </c>
      <c r="Q199" s="9" t="s">
        <v>456</v>
      </c>
    </row>
    <row r="200">
      <c r="A200" s="1">
        <v>46042.43127706018</v>
      </c>
      <c r="B200" s="2" t="s">
        <v>62</v>
      </c>
      <c r="C200" s="5">
        <v>46042.0</v>
      </c>
      <c r="D200" s="2" t="s">
        <v>19</v>
      </c>
      <c r="E200" s="2" t="s">
        <v>20</v>
      </c>
      <c r="G200" s="2">
        <v>1.0</v>
      </c>
      <c r="I200" s="2" t="s">
        <v>201</v>
      </c>
      <c r="J200" s="3">
        <v>8648.0</v>
      </c>
      <c r="K200" s="3">
        <v>8648.0</v>
      </c>
      <c r="L200" s="3">
        <v>8648.0</v>
      </c>
      <c r="M200" s="2" t="s">
        <v>457</v>
      </c>
      <c r="N200" s="12" t="s">
        <v>147</v>
      </c>
      <c r="Q200" s="9" t="s">
        <v>458</v>
      </c>
    </row>
    <row r="201">
      <c r="A201" s="1">
        <v>46042.45372334491</v>
      </c>
      <c r="B201" s="2" t="s">
        <v>71</v>
      </c>
      <c r="C201" s="5">
        <v>46042.0</v>
      </c>
      <c r="D201" s="2" t="s">
        <v>19</v>
      </c>
      <c r="E201" s="2" t="s">
        <v>20</v>
      </c>
      <c r="G201" s="2">
        <v>1.0</v>
      </c>
      <c r="I201" s="2" t="s">
        <v>459</v>
      </c>
      <c r="J201" s="3">
        <v>4800.0</v>
      </c>
      <c r="K201" s="3">
        <v>4800.0</v>
      </c>
      <c r="L201" s="3">
        <v>4800.0</v>
      </c>
      <c r="M201" s="2" t="s">
        <v>325</v>
      </c>
      <c r="N201" s="12" t="s">
        <v>147</v>
      </c>
      <c r="Q201" s="9" t="s">
        <v>460</v>
      </c>
    </row>
    <row r="202">
      <c r="A202" s="1">
        <v>46042.558935740744</v>
      </c>
      <c r="B202" s="2" t="s">
        <v>132</v>
      </c>
      <c r="C202" s="5">
        <v>46042.0</v>
      </c>
      <c r="D202" s="2" t="s">
        <v>19</v>
      </c>
      <c r="E202" s="2" t="s">
        <v>20</v>
      </c>
      <c r="G202" s="2">
        <v>4.0</v>
      </c>
      <c r="I202" s="2" t="s">
        <v>461</v>
      </c>
      <c r="J202" s="3">
        <v>1000.0</v>
      </c>
      <c r="K202" s="3">
        <v>4000.0</v>
      </c>
      <c r="L202" s="3">
        <v>4250.0</v>
      </c>
      <c r="M202" s="2" t="s">
        <v>335</v>
      </c>
      <c r="N202" s="12" t="s">
        <v>147</v>
      </c>
      <c r="Q202" s="9" t="s">
        <v>462</v>
      </c>
    </row>
    <row r="203">
      <c r="A203" s="1">
        <v>46042.558935740744</v>
      </c>
      <c r="B203" s="2" t="s">
        <v>132</v>
      </c>
      <c r="C203" s="5">
        <v>46042.0</v>
      </c>
      <c r="D203" s="2" t="s">
        <v>19</v>
      </c>
      <c r="E203" s="2" t="s">
        <v>20</v>
      </c>
      <c r="G203" s="2">
        <v>1.0</v>
      </c>
      <c r="I203" s="2" t="s">
        <v>463</v>
      </c>
      <c r="J203" s="3">
        <v>250.0</v>
      </c>
      <c r="K203" s="3">
        <v>250.0</v>
      </c>
      <c r="L203" s="3">
        <v>4250.0</v>
      </c>
      <c r="M203" s="2" t="s">
        <v>335</v>
      </c>
      <c r="N203" s="12" t="s">
        <v>147</v>
      </c>
      <c r="Q203" s="9" t="s">
        <v>462</v>
      </c>
    </row>
    <row r="204">
      <c r="A204" s="1">
        <v>46042.58487789352</v>
      </c>
      <c r="B204" s="2" t="s">
        <v>132</v>
      </c>
      <c r="C204" s="5">
        <v>46042.0</v>
      </c>
      <c r="D204" s="2" t="s">
        <v>19</v>
      </c>
      <c r="E204" s="2" t="s">
        <v>20</v>
      </c>
      <c r="G204" s="2">
        <v>4.0</v>
      </c>
      <c r="I204" s="2" t="s">
        <v>461</v>
      </c>
      <c r="J204" s="3">
        <v>1000.0</v>
      </c>
      <c r="K204" s="3">
        <v>4000.0</v>
      </c>
      <c r="L204" s="3">
        <v>4500.0</v>
      </c>
      <c r="M204" s="2" t="s">
        <v>335</v>
      </c>
      <c r="N204" s="12" t="s">
        <v>147</v>
      </c>
      <c r="Q204" s="9" t="s">
        <v>464</v>
      </c>
    </row>
    <row r="205">
      <c r="A205" s="1">
        <v>46042.58487789352</v>
      </c>
      <c r="B205" s="2" t="s">
        <v>132</v>
      </c>
      <c r="C205" s="5">
        <v>46042.0</v>
      </c>
      <c r="D205" s="2" t="s">
        <v>19</v>
      </c>
      <c r="E205" s="2" t="s">
        <v>20</v>
      </c>
      <c r="G205" s="2">
        <v>1.0</v>
      </c>
      <c r="I205" s="2" t="s">
        <v>463</v>
      </c>
      <c r="J205" s="3">
        <v>500.0</v>
      </c>
      <c r="K205" s="3">
        <v>500.0</v>
      </c>
      <c r="L205" s="3">
        <v>4500.0</v>
      </c>
      <c r="M205" s="2" t="s">
        <v>335</v>
      </c>
      <c r="N205" s="12" t="s">
        <v>147</v>
      </c>
      <c r="Q205" s="9" t="s">
        <v>464</v>
      </c>
    </row>
    <row r="206">
      <c r="A206" s="1">
        <v>46042.692648530094</v>
      </c>
      <c r="B206" s="2" t="s">
        <v>144</v>
      </c>
      <c r="C206" s="5">
        <v>46042.0</v>
      </c>
      <c r="D206" s="2" t="s">
        <v>19</v>
      </c>
      <c r="E206" s="2" t="s">
        <v>20</v>
      </c>
      <c r="G206" s="2">
        <v>1.0</v>
      </c>
      <c r="I206" s="2" t="s">
        <v>465</v>
      </c>
      <c r="J206" s="3">
        <v>1000.0</v>
      </c>
      <c r="K206" s="3">
        <v>1000.0</v>
      </c>
      <c r="L206" s="3">
        <v>1000.0</v>
      </c>
      <c r="M206" s="2" t="s">
        <v>231</v>
      </c>
      <c r="N206" s="12" t="s">
        <v>147</v>
      </c>
      <c r="Q206" s="9" t="s">
        <v>466</v>
      </c>
    </row>
    <row r="207">
      <c r="A207" s="1">
        <v>46042.70757375</v>
      </c>
      <c r="B207" s="2" t="s">
        <v>164</v>
      </c>
      <c r="C207" s="5">
        <v>46042.0</v>
      </c>
      <c r="D207" s="2" t="s">
        <v>19</v>
      </c>
      <c r="E207" s="2" t="s">
        <v>20</v>
      </c>
      <c r="G207" s="2">
        <v>4.0</v>
      </c>
      <c r="I207" s="2" t="s">
        <v>467</v>
      </c>
      <c r="J207" s="6"/>
      <c r="K207" s="3">
        <v>0.0</v>
      </c>
      <c r="L207" s="3">
        <v>0.0</v>
      </c>
      <c r="M207" s="2" t="s">
        <v>393</v>
      </c>
      <c r="N207" s="12" t="s">
        <v>394</v>
      </c>
      <c r="Q207" s="9" t="s">
        <v>468</v>
      </c>
    </row>
    <row r="208">
      <c r="A208" s="1">
        <v>46042.70757375</v>
      </c>
      <c r="B208" s="2" t="s">
        <v>164</v>
      </c>
      <c r="C208" s="5">
        <v>46042.0</v>
      </c>
      <c r="D208" s="2" t="s">
        <v>19</v>
      </c>
      <c r="E208" s="2" t="s">
        <v>20</v>
      </c>
      <c r="G208" s="2">
        <v>50.0</v>
      </c>
      <c r="I208" s="2" t="s">
        <v>469</v>
      </c>
      <c r="J208" s="6"/>
      <c r="K208" s="3">
        <v>0.0</v>
      </c>
      <c r="L208" s="3">
        <v>0.0</v>
      </c>
      <c r="M208" s="2" t="s">
        <v>393</v>
      </c>
      <c r="N208" s="12" t="s">
        <v>394</v>
      </c>
      <c r="Q208" s="9" t="s">
        <v>468</v>
      </c>
    </row>
    <row r="209">
      <c r="A209" s="1">
        <v>46043.460027187495</v>
      </c>
      <c r="B209" s="2" t="s">
        <v>105</v>
      </c>
      <c r="C209" s="5">
        <v>46043.0</v>
      </c>
      <c r="D209" s="2" t="s">
        <v>19</v>
      </c>
      <c r="E209" s="2" t="s">
        <v>20</v>
      </c>
      <c r="G209" s="2">
        <v>36.0</v>
      </c>
      <c r="H209" s="2" t="s">
        <v>66</v>
      </c>
      <c r="I209" s="2" t="s">
        <v>207</v>
      </c>
      <c r="J209" s="3">
        <v>60.0</v>
      </c>
      <c r="K209" s="3">
        <v>2160.0</v>
      </c>
      <c r="L209" s="3">
        <v>30240.0</v>
      </c>
      <c r="M209" s="2" t="s">
        <v>420</v>
      </c>
      <c r="N209" s="12" t="s">
        <v>147</v>
      </c>
      <c r="Q209" s="9" t="s">
        <v>470</v>
      </c>
    </row>
    <row r="210">
      <c r="A210" s="1">
        <v>46043.460027187495</v>
      </c>
      <c r="B210" s="2" t="s">
        <v>105</v>
      </c>
      <c r="C210" s="5">
        <v>46043.0</v>
      </c>
      <c r="D210" s="2" t="s">
        <v>19</v>
      </c>
      <c r="E210" s="2" t="s">
        <v>20</v>
      </c>
      <c r="G210" s="2">
        <v>12.0</v>
      </c>
      <c r="H210" s="2" t="s">
        <v>66</v>
      </c>
      <c r="I210" s="2" t="s">
        <v>471</v>
      </c>
      <c r="J210" s="6"/>
      <c r="K210" s="3">
        <v>0.0</v>
      </c>
      <c r="L210" s="3">
        <v>30240.0</v>
      </c>
      <c r="M210" s="2" t="s">
        <v>420</v>
      </c>
      <c r="N210" s="12" t="s">
        <v>147</v>
      </c>
      <c r="Q210" s="9" t="s">
        <v>470</v>
      </c>
    </row>
    <row r="211">
      <c r="A211" s="1">
        <v>46043.460027187495</v>
      </c>
      <c r="B211" s="2" t="s">
        <v>105</v>
      </c>
      <c r="C211" s="5">
        <v>46043.0</v>
      </c>
      <c r="D211" s="2" t="s">
        <v>19</v>
      </c>
      <c r="E211" s="2" t="s">
        <v>20</v>
      </c>
      <c r="G211" s="2">
        <v>24.0</v>
      </c>
      <c r="H211" s="2" t="s">
        <v>66</v>
      </c>
      <c r="I211" s="2" t="s">
        <v>472</v>
      </c>
      <c r="J211" s="3">
        <v>345.0</v>
      </c>
      <c r="K211" s="3">
        <v>8280.0</v>
      </c>
      <c r="L211" s="3">
        <v>30240.0</v>
      </c>
      <c r="M211" s="2" t="s">
        <v>420</v>
      </c>
      <c r="N211" s="12" t="s">
        <v>147</v>
      </c>
      <c r="Q211" s="9" t="s">
        <v>470</v>
      </c>
    </row>
    <row r="212">
      <c r="A212" s="1">
        <v>46043.460027187495</v>
      </c>
      <c r="B212" s="2" t="s">
        <v>105</v>
      </c>
      <c r="C212" s="5">
        <v>46043.0</v>
      </c>
      <c r="D212" s="2" t="s">
        <v>19</v>
      </c>
      <c r="E212" s="2" t="s">
        <v>20</v>
      </c>
      <c r="G212" s="2">
        <v>24.0</v>
      </c>
      <c r="H212" s="2" t="s">
        <v>66</v>
      </c>
      <c r="I212" s="2" t="s">
        <v>309</v>
      </c>
      <c r="J212" s="3">
        <v>230.0</v>
      </c>
      <c r="K212" s="3">
        <v>5520.0</v>
      </c>
      <c r="L212" s="3">
        <v>30240.0</v>
      </c>
      <c r="M212" s="2" t="s">
        <v>420</v>
      </c>
      <c r="N212" s="12" t="s">
        <v>147</v>
      </c>
      <c r="Q212" s="9" t="s">
        <v>470</v>
      </c>
    </row>
    <row r="213">
      <c r="A213" s="1">
        <v>46043.460027187495</v>
      </c>
      <c r="B213" s="2" t="s">
        <v>105</v>
      </c>
      <c r="C213" s="5">
        <v>46043.0</v>
      </c>
      <c r="D213" s="2" t="s">
        <v>19</v>
      </c>
      <c r="E213" s="2" t="s">
        <v>20</v>
      </c>
      <c r="G213" s="2">
        <v>24.0</v>
      </c>
      <c r="H213" s="2" t="s">
        <v>66</v>
      </c>
      <c r="I213" s="2" t="s">
        <v>473</v>
      </c>
      <c r="J213" s="3">
        <v>260.0</v>
      </c>
      <c r="K213" s="3">
        <v>6240.0</v>
      </c>
      <c r="L213" s="3">
        <v>30240.0</v>
      </c>
      <c r="M213" s="2" t="s">
        <v>420</v>
      </c>
      <c r="N213" s="12" t="s">
        <v>147</v>
      </c>
      <c r="Q213" s="9" t="s">
        <v>470</v>
      </c>
    </row>
    <row r="214">
      <c r="A214" s="1">
        <v>46043.460027187495</v>
      </c>
      <c r="B214" s="2" t="s">
        <v>105</v>
      </c>
      <c r="C214" s="5">
        <v>46043.0</v>
      </c>
      <c r="D214" s="2" t="s">
        <v>19</v>
      </c>
      <c r="E214" s="2" t="s">
        <v>20</v>
      </c>
      <c r="G214" s="2">
        <v>24.0</v>
      </c>
      <c r="H214" s="2" t="s">
        <v>66</v>
      </c>
      <c r="I214" s="2" t="s">
        <v>474</v>
      </c>
      <c r="J214" s="3">
        <v>335.0</v>
      </c>
      <c r="K214" s="3">
        <v>8040.0</v>
      </c>
      <c r="L214" s="3">
        <v>30240.0</v>
      </c>
      <c r="M214" s="2" t="s">
        <v>420</v>
      </c>
      <c r="N214" s="12" t="s">
        <v>147</v>
      </c>
      <c r="Q214" s="9" t="s">
        <v>470</v>
      </c>
    </row>
    <row r="215">
      <c r="A215" s="1">
        <v>46043.460027187495</v>
      </c>
      <c r="B215" s="2" t="s">
        <v>105</v>
      </c>
      <c r="C215" s="5">
        <v>46043.0</v>
      </c>
      <c r="D215" s="2" t="s">
        <v>19</v>
      </c>
      <c r="E215" s="2" t="s">
        <v>20</v>
      </c>
      <c r="G215" s="2">
        <v>24.0</v>
      </c>
      <c r="H215" s="2" t="s">
        <v>66</v>
      </c>
      <c r="I215" s="2" t="s">
        <v>475</v>
      </c>
      <c r="J215" s="6"/>
      <c r="K215" s="3">
        <v>0.0</v>
      </c>
      <c r="L215" s="3">
        <v>30240.0</v>
      </c>
      <c r="M215" s="2" t="s">
        <v>420</v>
      </c>
      <c r="N215" s="12" t="s">
        <v>147</v>
      </c>
      <c r="Q215" s="9" t="s">
        <v>470</v>
      </c>
    </row>
    <row r="216">
      <c r="A216" s="1">
        <v>46043.5718872338</v>
      </c>
      <c r="B216" s="2" t="s">
        <v>51</v>
      </c>
      <c r="C216" s="5">
        <v>46043.0</v>
      </c>
      <c r="D216" s="2" t="s">
        <v>19</v>
      </c>
      <c r="E216" s="2" t="s">
        <v>20</v>
      </c>
      <c r="G216" s="2">
        <v>1.0</v>
      </c>
      <c r="H216" s="2" t="s">
        <v>21</v>
      </c>
      <c r="I216" s="2" t="s">
        <v>476</v>
      </c>
      <c r="J216" s="3">
        <v>2300.0</v>
      </c>
      <c r="K216" s="3">
        <v>2300.0</v>
      </c>
      <c r="L216" s="3">
        <v>2300.0</v>
      </c>
      <c r="M216" s="2" t="s">
        <v>477</v>
      </c>
      <c r="N216" s="12" t="s">
        <v>478</v>
      </c>
      <c r="Q216" s="9" t="s">
        <v>479</v>
      </c>
    </row>
    <row r="217">
      <c r="A217" s="1">
        <v>46043.59173872686</v>
      </c>
      <c r="B217" s="2" t="s">
        <v>149</v>
      </c>
      <c r="C217" s="5">
        <v>46043.0</v>
      </c>
      <c r="D217" s="2" t="s">
        <v>19</v>
      </c>
      <c r="E217" s="2" t="s">
        <v>20</v>
      </c>
      <c r="G217" s="2">
        <v>1.0</v>
      </c>
      <c r="I217" s="2" t="s">
        <v>480</v>
      </c>
      <c r="J217" s="3">
        <v>600.0</v>
      </c>
      <c r="K217" s="3">
        <v>600.0</v>
      </c>
      <c r="L217" s="3">
        <v>600.0</v>
      </c>
      <c r="M217" s="2" t="s">
        <v>258</v>
      </c>
      <c r="N217" s="12" t="s">
        <v>147</v>
      </c>
      <c r="Q217" s="9" t="s">
        <v>481</v>
      </c>
    </row>
    <row r="218">
      <c r="A218" s="1">
        <v>46043.61782703704</v>
      </c>
      <c r="B218" s="2" t="s">
        <v>244</v>
      </c>
      <c r="C218" s="5">
        <v>46043.0</v>
      </c>
      <c r="D218" s="2" t="s">
        <v>19</v>
      </c>
      <c r="E218" s="2" t="s">
        <v>20</v>
      </c>
      <c r="G218" s="2">
        <v>1.0</v>
      </c>
      <c r="I218" s="2" t="s">
        <v>482</v>
      </c>
      <c r="J218" s="3">
        <v>1600.0</v>
      </c>
      <c r="K218" s="3">
        <v>1600.0</v>
      </c>
      <c r="L218" s="3">
        <v>1600.0</v>
      </c>
      <c r="M218" s="2" t="s">
        <v>246</v>
      </c>
      <c r="N218" s="12" t="s">
        <v>147</v>
      </c>
      <c r="Q218" s="9" t="s">
        <v>483</v>
      </c>
    </row>
    <row r="219">
      <c r="A219" s="1">
        <v>46043.667290694444</v>
      </c>
      <c r="B219" s="2" t="s">
        <v>313</v>
      </c>
      <c r="C219" s="5">
        <v>46043.0</v>
      </c>
      <c r="D219" s="2" t="s">
        <v>19</v>
      </c>
      <c r="E219" s="2" t="s">
        <v>20</v>
      </c>
      <c r="G219" s="2">
        <v>1.0</v>
      </c>
      <c r="I219" s="2" t="s">
        <v>484</v>
      </c>
      <c r="J219" s="3">
        <v>1000.0</v>
      </c>
      <c r="K219" s="3">
        <v>1000.0</v>
      </c>
      <c r="L219" s="3">
        <v>1250.0</v>
      </c>
      <c r="M219" s="2" t="s">
        <v>315</v>
      </c>
      <c r="N219" s="12" t="s">
        <v>147</v>
      </c>
      <c r="Q219" s="9" t="s">
        <v>485</v>
      </c>
    </row>
    <row r="220">
      <c r="A220" s="1">
        <v>46043.667290694444</v>
      </c>
      <c r="B220" s="2" t="s">
        <v>313</v>
      </c>
      <c r="C220" s="5">
        <v>46043.0</v>
      </c>
      <c r="D220" s="2" t="s">
        <v>19</v>
      </c>
      <c r="E220" s="2" t="s">
        <v>20</v>
      </c>
      <c r="G220" s="2">
        <v>1.0</v>
      </c>
      <c r="I220" s="2" t="s">
        <v>486</v>
      </c>
      <c r="J220" s="3">
        <v>250.0</v>
      </c>
      <c r="K220" s="3">
        <v>250.0</v>
      </c>
      <c r="L220" s="3">
        <v>1250.0</v>
      </c>
      <c r="M220" s="2" t="s">
        <v>315</v>
      </c>
      <c r="N220" s="12" t="s">
        <v>147</v>
      </c>
      <c r="Q220" s="9" t="s">
        <v>485</v>
      </c>
    </row>
    <row r="221">
      <c r="A221" s="1">
        <v>46044.389428553244</v>
      </c>
      <c r="B221" s="2" t="s">
        <v>29</v>
      </c>
      <c r="C221" s="5">
        <v>46044.0</v>
      </c>
      <c r="D221" s="2" t="s">
        <v>19</v>
      </c>
      <c r="E221" s="2" t="s">
        <v>20</v>
      </c>
      <c r="G221" s="2">
        <v>5.0</v>
      </c>
      <c r="I221" s="2" t="s">
        <v>487</v>
      </c>
      <c r="J221" s="3">
        <v>33000.0</v>
      </c>
      <c r="K221" s="3">
        <v>165000.0</v>
      </c>
      <c r="L221" s="3">
        <v>165000.0</v>
      </c>
      <c r="M221" s="2" t="s">
        <v>488</v>
      </c>
      <c r="N221" s="12" t="s">
        <v>147</v>
      </c>
      <c r="Q221" s="9" t="s">
        <v>489</v>
      </c>
    </row>
    <row r="222">
      <c r="A222" s="1">
        <v>46044.423352384256</v>
      </c>
      <c r="B222" s="2" t="s">
        <v>26</v>
      </c>
      <c r="C222" s="5">
        <v>46044.0</v>
      </c>
      <c r="D222" s="2" t="s">
        <v>19</v>
      </c>
      <c r="E222" s="2" t="s">
        <v>20</v>
      </c>
      <c r="G222" s="2">
        <v>1.0</v>
      </c>
      <c r="I222" s="2" t="s">
        <v>490</v>
      </c>
      <c r="J222" s="3">
        <v>1600.0</v>
      </c>
      <c r="K222" s="3">
        <v>1600.0</v>
      </c>
      <c r="L222" s="3">
        <v>1600.0</v>
      </c>
      <c r="M222" s="2" t="s">
        <v>193</v>
      </c>
      <c r="N222" s="12" t="s">
        <v>147</v>
      </c>
      <c r="Q222" s="9" t="s">
        <v>491</v>
      </c>
    </row>
    <row r="223">
      <c r="A223" s="1">
        <v>46044.43404641203</v>
      </c>
      <c r="B223" s="2" t="s">
        <v>91</v>
      </c>
      <c r="C223" s="5">
        <v>46044.0</v>
      </c>
      <c r="D223" s="2" t="s">
        <v>19</v>
      </c>
      <c r="E223" s="2" t="s">
        <v>20</v>
      </c>
      <c r="G223" s="2">
        <v>1.0</v>
      </c>
      <c r="H223" s="2" t="s">
        <v>21</v>
      </c>
      <c r="I223" s="2" t="s">
        <v>492</v>
      </c>
      <c r="J223" s="3">
        <v>2250.0</v>
      </c>
      <c r="K223" s="3">
        <v>2250.0</v>
      </c>
      <c r="L223" s="3">
        <v>4050.0</v>
      </c>
      <c r="M223" s="2" t="s">
        <v>369</v>
      </c>
      <c r="N223" s="12" t="s">
        <v>493</v>
      </c>
      <c r="Q223" s="9" t="s">
        <v>494</v>
      </c>
    </row>
    <row r="224">
      <c r="A224" s="1">
        <v>46044.43404641203</v>
      </c>
      <c r="B224" s="2" t="s">
        <v>91</v>
      </c>
      <c r="C224" s="5">
        <v>46044.0</v>
      </c>
      <c r="D224" s="2" t="s">
        <v>19</v>
      </c>
      <c r="E224" s="2" t="s">
        <v>20</v>
      </c>
      <c r="G224" s="2">
        <v>1.0</v>
      </c>
      <c r="H224" s="2" t="s">
        <v>21</v>
      </c>
      <c r="I224" s="2" t="s">
        <v>495</v>
      </c>
      <c r="J224" s="3">
        <v>1800.0</v>
      </c>
      <c r="K224" s="3">
        <v>1800.0</v>
      </c>
      <c r="L224" s="3">
        <v>4050.0</v>
      </c>
      <c r="M224" s="2" t="s">
        <v>369</v>
      </c>
      <c r="N224" s="12" t="s">
        <v>493</v>
      </c>
      <c r="Q224" s="9" t="s">
        <v>494</v>
      </c>
    </row>
    <row r="225">
      <c r="A225" s="1">
        <v>46044.448445347225</v>
      </c>
      <c r="B225" s="2" t="s">
        <v>89</v>
      </c>
      <c r="C225" s="5">
        <v>46044.0</v>
      </c>
      <c r="D225" s="2" t="s">
        <v>19</v>
      </c>
      <c r="E225" s="2" t="s">
        <v>20</v>
      </c>
      <c r="G225" s="2">
        <v>1.0</v>
      </c>
      <c r="I225" s="2" t="s">
        <v>496</v>
      </c>
      <c r="J225" s="3">
        <v>6580.0</v>
      </c>
      <c r="K225" s="3">
        <v>6580.0</v>
      </c>
      <c r="L225" s="3">
        <v>6580.0</v>
      </c>
      <c r="M225" s="2" t="s">
        <v>228</v>
      </c>
      <c r="N225" s="12" t="s">
        <v>147</v>
      </c>
      <c r="Q225" s="9" t="s">
        <v>497</v>
      </c>
    </row>
    <row r="226">
      <c r="A226" s="1">
        <v>46044.47368664352</v>
      </c>
      <c r="B226" s="2" t="s">
        <v>132</v>
      </c>
      <c r="C226" s="5">
        <v>46044.0</v>
      </c>
      <c r="D226" s="2" t="s">
        <v>19</v>
      </c>
      <c r="E226" s="2" t="s">
        <v>20</v>
      </c>
      <c r="G226" s="2">
        <v>1.0</v>
      </c>
      <c r="I226" s="2" t="s">
        <v>498</v>
      </c>
      <c r="J226" s="3">
        <v>4952.0</v>
      </c>
      <c r="K226" s="3">
        <v>4952.0</v>
      </c>
      <c r="L226" s="3">
        <v>4952.0</v>
      </c>
      <c r="M226" s="2" t="s">
        <v>335</v>
      </c>
      <c r="N226" s="12" t="s">
        <v>147</v>
      </c>
      <c r="Q226" s="9" t="s">
        <v>499</v>
      </c>
    </row>
    <row r="227">
      <c r="A227" s="14"/>
      <c r="J227" s="6"/>
      <c r="K227" s="6"/>
      <c r="L227" s="6"/>
      <c r="N227" s="4"/>
    </row>
    <row r="228">
      <c r="A228" s="14"/>
      <c r="J228" s="6"/>
      <c r="K228" s="6"/>
      <c r="L228" s="6"/>
      <c r="N228" s="4"/>
    </row>
    <row r="229">
      <c r="A229" s="14"/>
      <c r="J229" s="6"/>
      <c r="K229" s="6"/>
      <c r="L229" s="6"/>
      <c r="N229" s="4"/>
    </row>
    <row r="230">
      <c r="A230" s="14"/>
      <c r="J230" s="6"/>
      <c r="K230" s="6"/>
      <c r="L230" s="6"/>
      <c r="N230" s="4"/>
    </row>
    <row r="231">
      <c r="A231" s="14"/>
      <c r="J231" s="6"/>
      <c r="K231" s="6"/>
      <c r="L231" s="6"/>
      <c r="N231" s="4"/>
    </row>
    <row r="232">
      <c r="A232" s="14"/>
      <c r="J232" s="6"/>
      <c r="K232" s="6"/>
      <c r="L232" s="6"/>
      <c r="N232" s="4"/>
    </row>
    <row r="233">
      <c r="A233" s="14"/>
      <c r="J233" s="6"/>
      <c r="K233" s="6"/>
      <c r="L233" s="6"/>
      <c r="N233" s="4"/>
    </row>
    <row r="234">
      <c r="A234" s="14"/>
      <c r="J234" s="6"/>
      <c r="K234" s="6"/>
      <c r="L234" s="6"/>
      <c r="N234" s="4"/>
    </row>
    <row r="235">
      <c r="A235" s="14"/>
      <c r="J235" s="6"/>
      <c r="K235" s="6"/>
      <c r="L235" s="6"/>
      <c r="N235" s="4"/>
    </row>
    <row r="236">
      <c r="A236" s="14"/>
      <c r="J236" s="6"/>
      <c r="K236" s="6"/>
      <c r="L236" s="6"/>
      <c r="N236" s="4"/>
    </row>
    <row r="237">
      <c r="A237" s="14"/>
      <c r="J237" s="6"/>
      <c r="K237" s="6"/>
      <c r="L237" s="6"/>
      <c r="N237" s="4"/>
    </row>
    <row r="238">
      <c r="A238" s="14"/>
      <c r="J238" s="6"/>
      <c r="K238" s="6"/>
      <c r="L238" s="6"/>
      <c r="N238" s="4"/>
    </row>
    <row r="239">
      <c r="A239" s="14"/>
      <c r="J239" s="6"/>
      <c r="K239" s="6"/>
      <c r="L239" s="6"/>
      <c r="N239" s="4"/>
    </row>
    <row r="240">
      <c r="A240" s="14"/>
      <c r="J240" s="6"/>
      <c r="K240" s="6"/>
      <c r="L240" s="6"/>
      <c r="N240" s="4"/>
    </row>
    <row r="241">
      <c r="A241" s="14"/>
      <c r="J241" s="6"/>
      <c r="K241" s="6"/>
      <c r="L241" s="6"/>
      <c r="N241" s="4"/>
    </row>
    <row r="242">
      <c r="A242" s="14"/>
      <c r="J242" s="6"/>
      <c r="K242" s="6"/>
      <c r="L242" s="6"/>
      <c r="N242" s="4"/>
    </row>
    <row r="243">
      <c r="A243" s="14"/>
      <c r="J243" s="6"/>
      <c r="K243" s="6"/>
      <c r="L243" s="6"/>
      <c r="N243" s="4"/>
    </row>
    <row r="244">
      <c r="A244" s="14"/>
      <c r="J244" s="6"/>
      <c r="K244" s="6"/>
      <c r="L244" s="6"/>
      <c r="N244" s="4"/>
    </row>
    <row r="245">
      <c r="A245" s="14"/>
      <c r="J245" s="6"/>
      <c r="K245" s="6"/>
      <c r="L245" s="6"/>
      <c r="N245" s="4"/>
    </row>
    <row r="246">
      <c r="A246" s="14"/>
      <c r="J246" s="6"/>
      <c r="K246" s="6"/>
      <c r="L246" s="6"/>
      <c r="N246" s="4"/>
    </row>
    <row r="247">
      <c r="A247" s="14"/>
      <c r="J247" s="6"/>
      <c r="K247" s="6"/>
      <c r="L247" s="6"/>
      <c r="N247" s="4"/>
    </row>
    <row r="248">
      <c r="A248" s="14"/>
      <c r="J248" s="6"/>
      <c r="K248" s="6"/>
      <c r="L248" s="6"/>
      <c r="N248" s="4"/>
    </row>
    <row r="249">
      <c r="A249" s="14"/>
      <c r="J249" s="6"/>
      <c r="K249" s="6"/>
      <c r="L249" s="6"/>
      <c r="N249" s="4"/>
    </row>
    <row r="250">
      <c r="A250" s="14"/>
      <c r="J250" s="6"/>
      <c r="K250" s="6"/>
      <c r="L250" s="6"/>
      <c r="N250" s="4"/>
    </row>
    <row r="251">
      <c r="A251" s="14"/>
      <c r="J251" s="6"/>
      <c r="K251" s="6"/>
      <c r="L251" s="6"/>
      <c r="N251" s="4"/>
    </row>
    <row r="252">
      <c r="A252" s="14"/>
      <c r="J252" s="6"/>
      <c r="K252" s="6"/>
      <c r="L252" s="6"/>
      <c r="N252" s="4"/>
    </row>
    <row r="253">
      <c r="A253" s="14"/>
      <c r="J253" s="6"/>
      <c r="K253" s="6"/>
      <c r="L253" s="6"/>
      <c r="N253" s="4"/>
    </row>
    <row r="254">
      <c r="A254" s="14"/>
      <c r="J254" s="6"/>
      <c r="K254" s="6"/>
      <c r="L254" s="6"/>
      <c r="N254" s="4"/>
    </row>
    <row r="255">
      <c r="A255" s="14"/>
      <c r="J255" s="6"/>
      <c r="K255" s="6"/>
      <c r="L255" s="6"/>
      <c r="N255" s="4"/>
    </row>
    <row r="256">
      <c r="A256" s="14"/>
      <c r="J256" s="6"/>
      <c r="K256" s="6"/>
      <c r="L256" s="6"/>
      <c r="N256" s="4"/>
    </row>
    <row r="257">
      <c r="A257" s="14"/>
      <c r="J257" s="6"/>
      <c r="K257" s="6"/>
      <c r="L257" s="6"/>
      <c r="N257" s="4"/>
    </row>
    <row r="258">
      <c r="A258" s="14"/>
      <c r="J258" s="6"/>
      <c r="K258" s="6"/>
      <c r="L258" s="6"/>
      <c r="N258" s="4"/>
    </row>
    <row r="259">
      <c r="A259" s="14"/>
      <c r="J259" s="6"/>
      <c r="K259" s="6"/>
      <c r="L259" s="6"/>
      <c r="N259" s="4"/>
    </row>
    <row r="260">
      <c r="A260" s="14"/>
      <c r="J260" s="6"/>
      <c r="K260" s="6"/>
      <c r="L260" s="6"/>
      <c r="N260" s="4"/>
    </row>
    <row r="261">
      <c r="A261" s="14"/>
      <c r="J261" s="6"/>
      <c r="K261" s="6"/>
      <c r="L261" s="6"/>
      <c r="N261" s="4"/>
    </row>
    <row r="262">
      <c r="A262" s="14"/>
      <c r="J262" s="6"/>
      <c r="K262" s="6"/>
      <c r="L262" s="6"/>
      <c r="N262" s="4"/>
    </row>
    <row r="263">
      <c r="A263" s="14"/>
      <c r="J263" s="6"/>
      <c r="K263" s="6"/>
      <c r="L263" s="6"/>
      <c r="N263" s="4"/>
    </row>
    <row r="264">
      <c r="A264" s="14"/>
      <c r="J264" s="6"/>
      <c r="K264" s="6"/>
      <c r="L264" s="6"/>
      <c r="N264" s="4"/>
    </row>
    <row r="265">
      <c r="A265" s="14"/>
      <c r="J265" s="6"/>
      <c r="K265" s="6"/>
      <c r="L265" s="6"/>
      <c r="N265" s="4"/>
    </row>
    <row r="266">
      <c r="A266" s="14"/>
      <c r="J266" s="6"/>
      <c r="K266" s="6"/>
      <c r="L266" s="6"/>
      <c r="N266" s="4"/>
    </row>
    <row r="267">
      <c r="A267" s="14"/>
      <c r="J267" s="6"/>
      <c r="K267" s="6"/>
      <c r="L267" s="6"/>
      <c r="N267" s="4"/>
    </row>
    <row r="268">
      <c r="A268" s="14"/>
      <c r="J268" s="6"/>
      <c r="K268" s="6"/>
      <c r="L268" s="6"/>
      <c r="N268" s="4"/>
    </row>
    <row r="269">
      <c r="A269" s="14"/>
      <c r="J269" s="6"/>
      <c r="K269" s="6"/>
      <c r="L269" s="6"/>
      <c r="N269" s="4"/>
    </row>
    <row r="270">
      <c r="A270" s="14"/>
      <c r="J270" s="6"/>
      <c r="K270" s="6"/>
      <c r="L270" s="6"/>
      <c r="N270" s="4"/>
    </row>
    <row r="271">
      <c r="A271" s="14"/>
      <c r="J271" s="6"/>
      <c r="K271" s="6"/>
      <c r="L271" s="6"/>
      <c r="N271" s="4"/>
    </row>
    <row r="272">
      <c r="A272" s="14"/>
      <c r="J272" s="6"/>
      <c r="K272" s="6"/>
      <c r="L272" s="6"/>
      <c r="N272" s="4"/>
    </row>
    <row r="273">
      <c r="A273" s="14"/>
      <c r="J273" s="6"/>
      <c r="K273" s="6"/>
      <c r="L273" s="6"/>
      <c r="N273" s="4"/>
    </row>
    <row r="274">
      <c r="A274" s="14"/>
      <c r="J274" s="6"/>
      <c r="K274" s="6"/>
      <c r="L274" s="6"/>
      <c r="N274" s="4"/>
    </row>
    <row r="275">
      <c r="A275" s="14"/>
      <c r="J275" s="6"/>
      <c r="K275" s="6"/>
      <c r="L275" s="6"/>
      <c r="N275" s="4"/>
    </row>
    <row r="276">
      <c r="A276" s="14"/>
      <c r="J276" s="6"/>
      <c r="K276" s="6"/>
      <c r="L276" s="6"/>
      <c r="N276" s="4"/>
    </row>
    <row r="277">
      <c r="A277" s="14"/>
      <c r="J277" s="6"/>
      <c r="K277" s="6"/>
      <c r="L277" s="6"/>
      <c r="N277" s="4"/>
    </row>
    <row r="278">
      <c r="A278" s="14"/>
      <c r="J278" s="6"/>
      <c r="K278" s="6"/>
      <c r="L278" s="6"/>
      <c r="N278" s="4"/>
    </row>
    <row r="279">
      <c r="A279" s="14"/>
      <c r="J279" s="6"/>
      <c r="K279" s="6"/>
      <c r="L279" s="6"/>
      <c r="N279" s="4"/>
    </row>
    <row r="280">
      <c r="A280" s="14"/>
      <c r="J280" s="6"/>
      <c r="K280" s="6"/>
      <c r="L280" s="6"/>
      <c r="N280" s="4"/>
    </row>
    <row r="281">
      <c r="A281" s="14"/>
      <c r="J281" s="6"/>
      <c r="K281" s="6"/>
      <c r="L281" s="6"/>
      <c r="N281" s="4"/>
    </row>
    <row r="282">
      <c r="A282" s="14"/>
      <c r="J282" s="6"/>
      <c r="K282" s="6"/>
      <c r="L282" s="6"/>
      <c r="N282" s="4"/>
    </row>
    <row r="283">
      <c r="A283" s="14"/>
      <c r="J283" s="6"/>
      <c r="K283" s="6"/>
      <c r="L283" s="6"/>
      <c r="N283" s="4"/>
    </row>
    <row r="284">
      <c r="A284" s="14"/>
      <c r="J284" s="6"/>
      <c r="K284" s="6"/>
      <c r="L284" s="6"/>
      <c r="N284" s="4"/>
    </row>
    <row r="285">
      <c r="A285" s="14"/>
      <c r="J285" s="6"/>
      <c r="K285" s="6"/>
      <c r="L285" s="6"/>
      <c r="N285" s="4"/>
    </row>
    <row r="286">
      <c r="A286" s="14"/>
      <c r="J286" s="6"/>
      <c r="K286" s="6"/>
      <c r="L286" s="6"/>
      <c r="N286" s="4"/>
    </row>
    <row r="287">
      <c r="A287" s="14"/>
      <c r="J287" s="6"/>
      <c r="K287" s="6"/>
      <c r="L287" s="6"/>
      <c r="N287" s="4"/>
    </row>
    <row r="288">
      <c r="A288" s="14"/>
      <c r="J288" s="6"/>
      <c r="K288" s="6"/>
      <c r="L288" s="6"/>
      <c r="N288" s="4"/>
    </row>
    <row r="289">
      <c r="A289" s="14"/>
      <c r="J289" s="6"/>
      <c r="K289" s="6"/>
      <c r="L289" s="6"/>
      <c r="N289" s="4"/>
    </row>
    <row r="290">
      <c r="A290" s="14"/>
      <c r="J290" s="6"/>
      <c r="K290" s="6"/>
      <c r="L290" s="6"/>
      <c r="N290" s="4"/>
    </row>
    <row r="291">
      <c r="A291" s="14"/>
      <c r="J291" s="6"/>
      <c r="K291" s="6"/>
      <c r="L291" s="6"/>
      <c r="N291" s="4"/>
    </row>
    <row r="292">
      <c r="A292" s="14"/>
      <c r="J292" s="6"/>
      <c r="K292" s="6"/>
      <c r="L292" s="6"/>
      <c r="N292" s="4"/>
    </row>
    <row r="293">
      <c r="A293" s="14"/>
      <c r="J293" s="6"/>
      <c r="K293" s="6"/>
      <c r="L293" s="6"/>
      <c r="N293" s="4"/>
    </row>
    <row r="294">
      <c r="A294" s="14"/>
      <c r="J294" s="6"/>
      <c r="K294" s="6"/>
      <c r="L294" s="6"/>
      <c r="N294" s="4"/>
    </row>
    <row r="295">
      <c r="A295" s="14"/>
      <c r="J295" s="6"/>
      <c r="K295" s="6"/>
      <c r="L295" s="6"/>
      <c r="N295" s="4"/>
    </row>
    <row r="296">
      <c r="A296" s="14"/>
      <c r="J296" s="6"/>
      <c r="K296" s="6"/>
      <c r="L296" s="6"/>
      <c r="N296" s="4"/>
    </row>
    <row r="297">
      <c r="A297" s="14"/>
      <c r="J297" s="6"/>
      <c r="K297" s="6"/>
      <c r="L297" s="6"/>
      <c r="N297" s="4"/>
    </row>
    <row r="298">
      <c r="A298" s="14"/>
      <c r="J298" s="6"/>
      <c r="K298" s="6"/>
      <c r="L298" s="6"/>
      <c r="N298" s="4"/>
    </row>
    <row r="299">
      <c r="A299" s="14"/>
      <c r="J299" s="6"/>
      <c r="K299" s="6"/>
      <c r="L299" s="6"/>
      <c r="N299" s="4"/>
    </row>
    <row r="300">
      <c r="A300" s="14"/>
      <c r="J300" s="6"/>
      <c r="K300" s="6"/>
      <c r="L300" s="6"/>
      <c r="N300" s="4"/>
    </row>
    <row r="301">
      <c r="A301" s="14"/>
      <c r="J301" s="6"/>
      <c r="K301" s="6"/>
      <c r="L301" s="6"/>
      <c r="N301" s="4"/>
    </row>
    <row r="302">
      <c r="A302" s="14"/>
      <c r="J302" s="6"/>
      <c r="K302" s="6"/>
      <c r="L302" s="6"/>
      <c r="N302" s="4"/>
    </row>
    <row r="303">
      <c r="A303" s="14"/>
      <c r="J303" s="6"/>
      <c r="K303" s="6"/>
      <c r="L303" s="6"/>
      <c r="N303" s="4"/>
    </row>
    <row r="304">
      <c r="A304" s="14"/>
      <c r="J304" s="6"/>
      <c r="K304" s="6"/>
      <c r="L304" s="6"/>
      <c r="N304" s="4"/>
    </row>
    <row r="305">
      <c r="A305" s="14"/>
      <c r="J305" s="6"/>
      <c r="K305" s="6"/>
      <c r="L305" s="6"/>
      <c r="N305" s="4"/>
    </row>
    <row r="306">
      <c r="A306" s="14"/>
      <c r="J306" s="6"/>
      <c r="K306" s="6"/>
      <c r="L306" s="6"/>
      <c r="N306" s="4"/>
    </row>
    <row r="307">
      <c r="A307" s="14"/>
      <c r="J307" s="6"/>
      <c r="K307" s="6"/>
      <c r="L307" s="6"/>
      <c r="N307" s="4"/>
    </row>
    <row r="308">
      <c r="A308" s="14"/>
      <c r="J308" s="6"/>
      <c r="K308" s="6"/>
      <c r="L308" s="6"/>
      <c r="N308" s="4"/>
    </row>
    <row r="309">
      <c r="A309" s="14"/>
      <c r="J309" s="6"/>
      <c r="K309" s="6"/>
      <c r="L309" s="6"/>
      <c r="N309" s="4"/>
    </row>
    <row r="310">
      <c r="A310" s="14"/>
      <c r="J310" s="6"/>
      <c r="K310" s="6"/>
      <c r="L310" s="6"/>
      <c r="N310" s="4"/>
    </row>
    <row r="311">
      <c r="A311" s="14"/>
      <c r="J311" s="6"/>
      <c r="K311" s="6"/>
      <c r="L311" s="6"/>
      <c r="N311" s="4"/>
    </row>
    <row r="312">
      <c r="A312" s="14"/>
      <c r="J312" s="6"/>
      <c r="K312" s="6"/>
      <c r="L312" s="6"/>
      <c r="N312" s="4"/>
    </row>
    <row r="313">
      <c r="A313" s="14"/>
      <c r="J313" s="6"/>
      <c r="K313" s="6"/>
      <c r="L313" s="6"/>
      <c r="N313" s="4"/>
    </row>
    <row r="314">
      <c r="A314" s="14"/>
      <c r="J314" s="6"/>
      <c r="K314" s="6"/>
      <c r="L314" s="6"/>
      <c r="N314" s="4"/>
    </row>
    <row r="315">
      <c r="A315" s="14"/>
      <c r="J315" s="6"/>
      <c r="K315" s="6"/>
      <c r="L315" s="6"/>
      <c r="N315" s="4"/>
    </row>
    <row r="316">
      <c r="A316" s="14"/>
      <c r="J316" s="6"/>
      <c r="K316" s="6"/>
      <c r="L316" s="6"/>
      <c r="N316" s="4"/>
    </row>
    <row r="317">
      <c r="A317" s="14"/>
      <c r="J317" s="6"/>
      <c r="K317" s="6"/>
      <c r="L317" s="6"/>
      <c r="N317" s="4"/>
    </row>
    <row r="318">
      <c r="A318" s="14"/>
      <c r="J318" s="6"/>
      <c r="K318" s="6"/>
      <c r="L318" s="6"/>
      <c r="N318" s="4"/>
    </row>
    <row r="319">
      <c r="A319" s="14"/>
      <c r="J319" s="6"/>
      <c r="K319" s="6"/>
      <c r="L319" s="6"/>
      <c r="N319" s="4"/>
    </row>
    <row r="320">
      <c r="A320" s="14"/>
      <c r="J320" s="6"/>
      <c r="K320" s="6"/>
      <c r="L320" s="6"/>
      <c r="N320" s="4"/>
    </row>
    <row r="321">
      <c r="A321" s="14"/>
      <c r="J321" s="6"/>
      <c r="K321" s="6"/>
      <c r="L321" s="6"/>
      <c r="N321" s="4"/>
    </row>
    <row r="322">
      <c r="A322" s="14"/>
      <c r="J322" s="6"/>
      <c r="K322" s="6"/>
      <c r="L322" s="6"/>
      <c r="N322" s="4"/>
    </row>
    <row r="323">
      <c r="A323" s="14"/>
      <c r="J323" s="6"/>
      <c r="K323" s="6"/>
      <c r="L323" s="6"/>
      <c r="N323" s="4"/>
    </row>
    <row r="324">
      <c r="A324" s="14"/>
      <c r="J324" s="6"/>
      <c r="K324" s="6"/>
      <c r="L324" s="6"/>
      <c r="N324" s="4"/>
    </row>
    <row r="325">
      <c r="A325" s="14"/>
      <c r="J325" s="6"/>
      <c r="K325" s="6"/>
      <c r="L325" s="6"/>
      <c r="N325" s="4"/>
    </row>
    <row r="326">
      <c r="A326" s="14"/>
      <c r="J326" s="6"/>
      <c r="K326" s="6"/>
      <c r="L326" s="6"/>
      <c r="N326" s="4"/>
    </row>
    <row r="327">
      <c r="A327" s="14"/>
      <c r="J327" s="6"/>
      <c r="K327" s="6"/>
      <c r="L327" s="6"/>
      <c r="N327" s="4"/>
    </row>
    <row r="328">
      <c r="A328" s="14"/>
      <c r="J328" s="6"/>
      <c r="K328" s="6"/>
      <c r="L328" s="6"/>
      <c r="N328" s="4"/>
    </row>
    <row r="329">
      <c r="A329" s="14"/>
      <c r="J329" s="6"/>
      <c r="K329" s="6"/>
      <c r="L329" s="6"/>
      <c r="N329" s="4"/>
    </row>
    <row r="330">
      <c r="A330" s="14"/>
      <c r="J330" s="6"/>
      <c r="K330" s="6"/>
      <c r="L330" s="6"/>
      <c r="N330" s="4"/>
    </row>
    <row r="331">
      <c r="A331" s="14"/>
      <c r="J331" s="6"/>
      <c r="K331" s="6"/>
      <c r="L331" s="6"/>
      <c r="N331" s="4"/>
    </row>
    <row r="332">
      <c r="A332" s="14"/>
      <c r="J332" s="6"/>
      <c r="K332" s="6"/>
      <c r="L332" s="6"/>
      <c r="N332" s="4"/>
    </row>
    <row r="333">
      <c r="A333" s="14"/>
      <c r="J333" s="6"/>
      <c r="K333" s="6"/>
      <c r="L333" s="6"/>
      <c r="N333" s="4"/>
    </row>
    <row r="334">
      <c r="A334" s="14"/>
      <c r="J334" s="6"/>
      <c r="K334" s="6"/>
      <c r="L334" s="6"/>
      <c r="N334" s="4"/>
    </row>
    <row r="335">
      <c r="A335" s="14"/>
      <c r="J335" s="6"/>
      <c r="K335" s="6"/>
      <c r="L335" s="6"/>
      <c r="N335" s="4"/>
    </row>
    <row r="336">
      <c r="A336" s="14"/>
      <c r="J336" s="6"/>
      <c r="K336" s="6"/>
      <c r="L336" s="6"/>
      <c r="N336" s="4"/>
    </row>
    <row r="337">
      <c r="A337" s="14"/>
      <c r="J337" s="6"/>
      <c r="K337" s="6"/>
      <c r="L337" s="6"/>
      <c r="N337" s="4"/>
    </row>
    <row r="338">
      <c r="A338" s="14"/>
      <c r="J338" s="6"/>
      <c r="K338" s="6"/>
      <c r="L338" s="6"/>
      <c r="N338" s="4"/>
    </row>
    <row r="339">
      <c r="A339" s="14"/>
      <c r="J339" s="6"/>
      <c r="K339" s="6"/>
      <c r="L339" s="6"/>
      <c r="N339" s="4"/>
    </row>
    <row r="340">
      <c r="A340" s="14"/>
      <c r="J340" s="6"/>
      <c r="K340" s="6"/>
      <c r="L340" s="6"/>
      <c r="N340" s="4"/>
    </row>
    <row r="341">
      <c r="A341" s="14"/>
      <c r="J341" s="6"/>
      <c r="K341" s="6"/>
      <c r="L341" s="6"/>
      <c r="N341" s="4"/>
    </row>
    <row r="342">
      <c r="A342" s="14"/>
      <c r="J342" s="6"/>
      <c r="K342" s="6"/>
      <c r="L342" s="6"/>
      <c r="N342" s="4"/>
    </row>
    <row r="343">
      <c r="A343" s="14"/>
      <c r="J343" s="6"/>
      <c r="K343" s="6"/>
      <c r="L343" s="6"/>
      <c r="N343" s="4"/>
    </row>
    <row r="344">
      <c r="A344" s="14"/>
      <c r="J344" s="6"/>
      <c r="K344" s="6"/>
      <c r="L344" s="6"/>
      <c r="N344" s="4"/>
    </row>
    <row r="345">
      <c r="A345" s="14"/>
      <c r="J345" s="6"/>
      <c r="K345" s="6"/>
      <c r="L345" s="6"/>
      <c r="N345" s="4"/>
    </row>
    <row r="346">
      <c r="A346" s="14"/>
      <c r="J346" s="6"/>
      <c r="K346" s="6"/>
      <c r="L346" s="6"/>
      <c r="N346" s="4"/>
    </row>
    <row r="347">
      <c r="A347" s="14"/>
      <c r="J347" s="6"/>
      <c r="K347" s="6"/>
      <c r="L347" s="6"/>
      <c r="N347" s="4"/>
    </row>
    <row r="348">
      <c r="A348" s="14"/>
      <c r="J348" s="6"/>
      <c r="K348" s="6"/>
      <c r="L348" s="6"/>
      <c r="N348" s="4"/>
    </row>
    <row r="349">
      <c r="A349" s="14"/>
      <c r="J349" s="6"/>
      <c r="K349" s="6"/>
      <c r="L349" s="6"/>
      <c r="N349" s="4"/>
    </row>
    <row r="350">
      <c r="A350" s="14"/>
      <c r="J350" s="6"/>
      <c r="K350" s="6"/>
      <c r="L350" s="6"/>
      <c r="N350" s="4"/>
    </row>
    <row r="351">
      <c r="A351" s="14"/>
      <c r="J351" s="6"/>
      <c r="K351" s="6"/>
      <c r="L351" s="6"/>
      <c r="N351" s="4"/>
    </row>
    <row r="352">
      <c r="A352" s="14"/>
      <c r="J352" s="6"/>
      <c r="K352" s="6"/>
      <c r="L352" s="6"/>
      <c r="N352" s="4"/>
    </row>
    <row r="353">
      <c r="A353" s="14"/>
      <c r="J353" s="6"/>
      <c r="K353" s="6"/>
      <c r="L353" s="6"/>
      <c r="N353" s="4"/>
    </row>
    <row r="354">
      <c r="A354" s="14"/>
      <c r="J354" s="6"/>
      <c r="K354" s="6"/>
      <c r="L354" s="6"/>
      <c r="N354" s="4"/>
    </row>
    <row r="355">
      <c r="A355" s="14"/>
      <c r="J355" s="6"/>
      <c r="K355" s="6"/>
      <c r="L355" s="6"/>
      <c r="N355" s="4"/>
    </row>
    <row r="356">
      <c r="A356" s="14"/>
      <c r="J356" s="6"/>
      <c r="K356" s="6"/>
      <c r="L356" s="6"/>
      <c r="N356" s="4"/>
    </row>
    <row r="357">
      <c r="A357" s="14"/>
      <c r="J357" s="6"/>
      <c r="K357" s="6"/>
      <c r="L357" s="6"/>
      <c r="N357" s="4"/>
    </row>
    <row r="358">
      <c r="A358" s="14"/>
      <c r="J358" s="6"/>
      <c r="K358" s="6"/>
      <c r="L358" s="6"/>
      <c r="N358" s="4"/>
    </row>
    <row r="359">
      <c r="A359" s="14"/>
      <c r="J359" s="6"/>
      <c r="K359" s="6"/>
      <c r="L359" s="6"/>
      <c r="N359" s="4"/>
    </row>
    <row r="360">
      <c r="A360" s="14"/>
      <c r="J360" s="6"/>
      <c r="K360" s="6"/>
      <c r="L360" s="6"/>
      <c r="N360" s="4"/>
    </row>
    <row r="361">
      <c r="A361" s="14"/>
      <c r="J361" s="6"/>
      <c r="K361" s="6"/>
      <c r="L361" s="6"/>
      <c r="N361" s="4"/>
    </row>
    <row r="362">
      <c r="A362" s="14"/>
      <c r="J362" s="6"/>
      <c r="K362" s="6"/>
      <c r="L362" s="6"/>
      <c r="N362" s="4"/>
    </row>
    <row r="363">
      <c r="A363" s="14"/>
      <c r="J363" s="6"/>
      <c r="K363" s="6"/>
      <c r="L363" s="6"/>
      <c r="N363" s="4"/>
    </row>
    <row r="364">
      <c r="A364" s="14"/>
      <c r="J364" s="6"/>
      <c r="K364" s="6"/>
      <c r="L364" s="6"/>
      <c r="N364" s="4"/>
    </row>
    <row r="365">
      <c r="A365" s="14"/>
      <c r="J365" s="6"/>
      <c r="K365" s="6"/>
      <c r="L365" s="6"/>
      <c r="N365" s="4"/>
    </row>
    <row r="366">
      <c r="A366" s="14"/>
      <c r="J366" s="6"/>
      <c r="K366" s="6"/>
      <c r="L366" s="6"/>
      <c r="N366" s="4"/>
    </row>
    <row r="367">
      <c r="A367" s="14"/>
      <c r="J367" s="6"/>
      <c r="K367" s="6"/>
      <c r="L367" s="6"/>
      <c r="N367" s="4"/>
    </row>
    <row r="368">
      <c r="A368" s="14"/>
      <c r="J368" s="6"/>
      <c r="K368" s="6"/>
      <c r="L368" s="6"/>
      <c r="N368" s="4"/>
    </row>
    <row r="369">
      <c r="A369" s="14"/>
      <c r="J369" s="6"/>
      <c r="K369" s="6"/>
      <c r="L369" s="6"/>
      <c r="N369" s="4"/>
    </row>
    <row r="370">
      <c r="A370" s="14"/>
      <c r="J370" s="6"/>
      <c r="K370" s="6"/>
      <c r="L370" s="6"/>
      <c r="N370" s="4"/>
    </row>
    <row r="371">
      <c r="A371" s="14"/>
      <c r="J371" s="6"/>
      <c r="K371" s="6"/>
      <c r="L371" s="6"/>
      <c r="N371" s="4"/>
    </row>
    <row r="372">
      <c r="A372" s="14"/>
      <c r="J372" s="6"/>
      <c r="K372" s="6"/>
      <c r="L372" s="6"/>
      <c r="N372" s="4"/>
    </row>
    <row r="373">
      <c r="A373" s="14"/>
      <c r="J373" s="6"/>
      <c r="K373" s="6"/>
      <c r="L373" s="6"/>
      <c r="N373" s="4"/>
    </row>
    <row r="374">
      <c r="A374" s="14"/>
      <c r="J374" s="6"/>
      <c r="K374" s="6"/>
      <c r="L374" s="6"/>
      <c r="N374" s="4"/>
    </row>
    <row r="375">
      <c r="A375" s="14"/>
      <c r="J375" s="6"/>
      <c r="K375" s="6"/>
      <c r="L375" s="6"/>
      <c r="N375" s="4"/>
    </row>
    <row r="376">
      <c r="A376" s="14"/>
      <c r="J376" s="6"/>
      <c r="K376" s="6"/>
      <c r="L376" s="6"/>
      <c r="N376" s="4"/>
    </row>
    <row r="377">
      <c r="A377" s="14"/>
      <c r="J377" s="6"/>
      <c r="K377" s="6"/>
      <c r="L377" s="6"/>
      <c r="N377" s="4"/>
    </row>
    <row r="378">
      <c r="A378" s="14"/>
      <c r="J378" s="6"/>
      <c r="K378" s="6"/>
      <c r="L378" s="6"/>
      <c r="N378" s="4"/>
    </row>
    <row r="379">
      <c r="A379" s="14"/>
      <c r="J379" s="6"/>
      <c r="K379" s="6"/>
      <c r="L379" s="6"/>
      <c r="N379" s="4"/>
    </row>
    <row r="380">
      <c r="A380" s="14"/>
      <c r="J380" s="6"/>
      <c r="K380" s="6"/>
      <c r="L380" s="6"/>
      <c r="N380" s="4"/>
    </row>
    <row r="381">
      <c r="A381" s="14"/>
      <c r="J381" s="6"/>
      <c r="K381" s="6"/>
      <c r="L381" s="6"/>
      <c r="N381" s="4"/>
    </row>
    <row r="382">
      <c r="A382" s="14"/>
      <c r="J382" s="6"/>
      <c r="K382" s="6"/>
      <c r="L382" s="6"/>
      <c r="N382" s="4"/>
    </row>
    <row r="383">
      <c r="A383" s="14"/>
      <c r="J383" s="6"/>
      <c r="K383" s="6"/>
      <c r="L383" s="6"/>
      <c r="N383" s="4"/>
    </row>
    <row r="384">
      <c r="A384" s="14"/>
      <c r="J384" s="6"/>
      <c r="K384" s="6"/>
      <c r="L384" s="6"/>
      <c r="N384" s="4"/>
    </row>
    <row r="385">
      <c r="A385" s="14"/>
      <c r="J385" s="6"/>
      <c r="K385" s="6"/>
      <c r="L385" s="6"/>
      <c r="N385" s="4"/>
    </row>
    <row r="386">
      <c r="A386" s="14"/>
      <c r="J386" s="6"/>
      <c r="K386" s="6"/>
      <c r="L386" s="6"/>
      <c r="N386" s="4"/>
    </row>
    <row r="387">
      <c r="A387" s="14"/>
      <c r="J387" s="6"/>
      <c r="K387" s="6"/>
      <c r="L387" s="6"/>
      <c r="N387" s="4"/>
    </row>
    <row r="388">
      <c r="A388" s="14"/>
      <c r="J388" s="6"/>
      <c r="K388" s="6"/>
      <c r="L388" s="6"/>
      <c r="N388" s="4"/>
    </row>
    <row r="389">
      <c r="A389" s="14"/>
      <c r="J389" s="6"/>
      <c r="K389" s="6"/>
      <c r="L389" s="6"/>
      <c r="N389" s="4"/>
    </row>
    <row r="390">
      <c r="A390" s="14"/>
      <c r="J390" s="6"/>
      <c r="K390" s="6"/>
      <c r="L390" s="6"/>
      <c r="N390" s="4"/>
    </row>
    <row r="391">
      <c r="A391" s="14"/>
      <c r="J391" s="6"/>
      <c r="K391" s="6"/>
      <c r="L391" s="6"/>
      <c r="N391" s="4"/>
    </row>
    <row r="392">
      <c r="A392" s="14"/>
      <c r="J392" s="6"/>
      <c r="K392" s="6"/>
      <c r="L392" s="6"/>
      <c r="N392" s="4"/>
    </row>
    <row r="393">
      <c r="A393" s="14"/>
      <c r="J393" s="6"/>
      <c r="K393" s="6"/>
      <c r="L393" s="6"/>
      <c r="N393" s="4"/>
    </row>
    <row r="394">
      <c r="A394" s="14"/>
      <c r="J394" s="6"/>
      <c r="K394" s="6"/>
      <c r="L394" s="6"/>
      <c r="N394" s="4"/>
    </row>
    <row r="395">
      <c r="A395" s="14"/>
      <c r="J395" s="6"/>
      <c r="K395" s="6"/>
      <c r="L395" s="6"/>
      <c r="N395" s="4"/>
    </row>
    <row r="396">
      <c r="A396" s="14"/>
      <c r="J396" s="6"/>
      <c r="K396" s="6"/>
      <c r="L396" s="6"/>
      <c r="N396" s="4"/>
    </row>
    <row r="397">
      <c r="A397" s="14"/>
      <c r="J397" s="6"/>
      <c r="K397" s="6"/>
      <c r="L397" s="6"/>
      <c r="N397" s="4"/>
    </row>
    <row r="398">
      <c r="A398" s="14"/>
      <c r="J398" s="6"/>
      <c r="K398" s="6"/>
      <c r="L398" s="6"/>
      <c r="N398" s="4"/>
    </row>
    <row r="399">
      <c r="A399" s="14"/>
      <c r="J399" s="6"/>
      <c r="K399" s="6"/>
      <c r="L399" s="6"/>
      <c r="N399" s="4"/>
    </row>
    <row r="400">
      <c r="A400" s="14"/>
      <c r="J400" s="6"/>
      <c r="K400" s="6"/>
      <c r="L400" s="6"/>
      <c r="N400" s="4"/>
    </row>
    <row r="401">
      <c r="A401" s="14"/>
      <c r="J401" s="6"/>
      <c r="K401" s="6"/>
      <c r="L401" s="6"/>
      <c r="N401" s="4"/>
    </row>
    <row r="402">
      <c r="A402" s="14"/>
      <c r="J402" s="6"/>
      <c r="K402" s="6"/>
      <c r="L402" s="6"/>
      <c r="N402" s="4"/>
    </row>
    <row r="403">
      <c r="A403" s="14"/>
      <c r="J403" s="6"/>
      <c r="K403" s="6"/>
      <c r="L403" s="6"/>
      <c r="N403" s="4"/>
    </row>
    <row r="404">
      <c r="A404" s="14"/>
      <c r="J404" s="6"/>
      <c r="K404" s="6"/>
      <c r="L404" s="6"/>
      <c r="N404" s="4"/>
    </row>
    <row r="405">
      <c r="A405" s="14"/>
      <c r="J405" s="6"/>
      <c r="K405" s="6"/>
      <c r="L405" s="6"/>
      <c r="N405" s="4"/>
    </row>
    <row r="406">
      <c r="A406" s="14"/>
      <c r="J406" s="6"/>
      <c r="K406" s="6"/>
      <c r="L406" s="6"/>
      <c r="N406" s="4"/>
    </row>
    <row r="407">
      <c r="A407" s="14"/>
      <c r="J407" s="6"/>
      <c r="K407" s="6"/>
      <c r="L407" s="6"/>
      <c r="N407" s="4"/>
    </row>
    <row r="408">
      <c r="A408" s="14"/>
      <c r="J408" s="6"/>
      <c r="K408" s="6"/>
      <c r="L408" s="6"/>
      <c r="N408" s="4"/>
    </row>
    <row r="409">
      <c r="A409" s="14"/>
      <c r="J409" s="6"/>
      <c r="K409" s="6"/>
      <c r="L409" s="6"/>
      <c r="N409" s="4"/>
    </row>
    <row r="410">
      <c r="A410" s="14"/>
      <c r="J410" s="6"/>
      <c r="K410" s="6"/>
      <c r="L410" s="6"/>
      <c r="N410" s="4"/>
    </row>
    <row r="411">
      <c r="A411" s="14"/>
      <c r="J411" s="6"/>
      <c r="K411" s="6"/>
      <c r="L411" s="6"/>
      <c r="N411" s="4"/>
    </row>
    <row r="412">
      <c r="A412" s="14"/>
      <c r="J412" s="6"/>
      <c r="K412" s="6"/>
      <c r="L412" s="6"/>
      <c r="N412" s="4"/>
    </row>
    <row r="413">
      <c r="A413" s="14"/>
      <c r="J413" s="6"/>
      <c r="K413" s="6"/>
      <c r="L413" s="6"/>
      <c r="N413" s="4"/>
    </row>
    <row r="414">
      <c r="A414" s="14"/>
      <c r="J414" s="6"/>
      <c r="K414" s="6"/>
      <c r="L414" s="6"/>
      <c r="N414" s="4"/>
    </row>
    <row r="415">
      <c r="A415" s="14"/>
      <c r="J415" s="6"/>
      <c r="K415" s="6"/>
      <c r="L415" s="6"/>
      <c r="N415" s="4"/>
    </row>
    <row r="416">
      <c r="A416" s="14"/>
      <c r="J416" s="6"/>
      <c r="K416" s="6"/>
      <c r="L416" s="6"/>
      <c r="N416" s="4"/>
    </row>
    <row r="417">
      <c r="A417" s="14"/>
      <c r="J417" s="6"/>
      <c r="K417" s="6"/>
      <c r="L417" s="6"/>
      <c r="N417" s="4"/>
    </row>
    <row r="418">
      <c r="A418" s="14"/>
      <c r="J418" s="6"/>
      <c r="K418" s="6"/>
      <c r="L418" s="6"/>
      <c r="N418" s="4"/>
    </row>
    <row r="419">
      <c r="A419" s="14"/>
      <c r="J419" s="6"/>
      <c r="K419" s="6"/>
      <c r="L419" s="6"/>
      <c r="N419" s="4"/>
    </row>
    <row r="420">
      <c r="A420" s="14"/>
      <c r="J420" s="6"/>
      <c r="K420" s="6"/>
      <c r="L420" s="6"/>
      <c r="N420" s="4"/>
    </row>
    <row r="421">
      <c r="A421" s="14"/>
      <c r="J421" s="6"/>
      <c r="K421" s="6"/>
      <c r="L421" s="6"/>
      <c r="N421" s="4"/>
    </row>
    <row r="422">
      <c r="A422" s="14"/>
      <c r="J422" s="6"/>
      <c r="K422" s="6"/>
      <c r="L422" s="6"/>
      <c r="N422" s="4"/>
    </row>
    <row r="423">
      <c r="A423" s="14"/>
      <c r="J423" s="6"/>
      <c r="K423" s="6"/>
      <c r="L423" s="6"/>
      <c r="N423" s="4"/>
    </row>
    <row r="424">
      <c r="A424" s="14"/>
      <c r="J424" s="6"/>
      <c r="K424" s="6"/>
      <c r="L424" s="6"/>
      <c r="N424" s="4"/>
    </row>
    <row r="425">
      <c r="A425" s="14"/>
      <c r="J425" s="6"/>
      <c r="K425" s="6"/>
      <c r="L425" s="6"/>
      <c r="N425" s="4"/>
    </row>
    <row r="426">
      <c r="A426" s="14"/>
      <c r="J426" s="6"/>
      <c r="K426" s="6"/>
      <c r="L426" s="6"/>
      <c r="N426" s="4"/>
    </row>
    <row r="427">
      <c r="A427" s="14"/>
      <c r="J427" s="6"/>
      <c r="K427" s="6"/>
      <c r="L427" s="6"/>
      <c r="N427" s="4"/>
    </row>
    <row r="428">
      <c r="A428" s="14"/>
      <c r="J428" s="6"/>
      <c r="K428" s="6"/>
      <c r="L428" s="6"/>
      <c r="N428" s="4"/>
    </row>
    <row r="429">
      <c r="A429" s="14"/>
      <c r="J429" s="6"/>
      <c r="K429" s="6"/>
      <c r="L429" s="6"/>
      <c r="N429" s="4"/>
    </row>
    <row r="430">
      <c r="A430" s="14"/>
      <c r="J430" s="6"/>
      <c r="K430" s="6"/>
      <c r="L430" s="6"/>
      <c r="N430" s="4"/>
    </row>
    <row r="431">
      <c r="A431" s="14"/>
      <c r="J431" s="6"/>
      <c r="K431" s="6"/>
      <c r="L431" s="6"/>
      <c r="N431" s="4"/>
    </row>
    <row r="432">
      <c r="A432" s="14"/>
      <c r="J432" s="6"/>
      <c r="K432" s="6"/>
      <c r="L432" s="6"/>
      <c r="N432" s="4"/>
    </row>
    <row r="433">
      <c r="A433" s="14"/>
      <c r="J433" s="6"/>
      <c r="K433" s="6"/>
      <c r="L433" s="6"/>
      <c r="N433" s="4"/>
    </row>
    <row r="434">
      <c r="A434" s="14"/>
      <c r="J434" s="6"/>
      <c r="K434" s="6"/>
      <c r="L434" s="6"/>
      <c r="N434" s="4"/>
    </row>
    <row r="435">
      <c r="A435" s="14"/>
      <c r="J435" s="6"/>
      <c r="K435" s="6"/>
      <c r="L435" s="6"/>
      <c r="N435" s="4"/>
    </row>
    <row r="436">
      <c r="A436" s="14"/>
      <c r="J436" s="6"/>
      <c r="K436" s="6"/>
      <c r="L436" s="6"/>
      <c r="N436" s="4"/>
    </row>
    <row r="437">
      <c r="A437" s="14"/>
      <c r="J437" s="6"/>
      <c r="K437" s="6"/>
      <c r="L437" s="6"/>
      <c r="N437" s="4"/>
    </row>
    <row r="438">
      <c r="A438" s="14"/>
      <c r="J438" s="6"/>
      <c r="K438" s="6"/>
      <c r="L438" s="6"/>
      <c r="N438" s="4"/>
    </row>
    <row r="439">
      <c r="A439" s="14"/>
      <c r="J439" s="6"/>
      <c r="K439" s="6"/>
      <c r="L439" s="6"/>
      <c r="N439" s="4"/>
    </row>
    <row r="440">
      <c r="A440" s="14"/>
      <c r="J440" s="6"/>
      <c r="K440" s="6"/>
      <c r="L440" s="6"/>
      <c r="N440" s="4"/>
    </row>
    <row r="441">
      <c r="A441" s="14"/>
      <c r="J441" s="6"/>
      <c r="K441" s="6"/>
      <c r="L441" s="6"/>
      <c r="N441" s="4"/>
    </row>
    <row r="442">
      <c r="A442" s="14"/>
      <c r="J442" s="6"/>
      <c r="K442" s="6"/>
      <c r="L442" s="6"/>
      <c r="N442" s="4"/>
    </row>
    <row r="443">
      <c r="A443" s="14"/>
      <c r="J443" s="6"/>
      <c r="K443" s="6"/>
      <c r="L443" s="6"/>
      <c r="N443" s="4"/>
    </row>
    <row r="444">
      <c r="A444" s="14"/>
      <c r="J444" s="6"/>
      <c r="K444" s="6"/>
      <c r="L444" s="6"/>
      <c r="N444" s="4"/>
    </row>
    <row r="445">
      <c r="A445" s="14"/>
      <c r="J445" s="6"/>
      <c r="K445" s="6"/>
      <c r="L445" s="6"/>
      <c r="N445" s="4"/>
    </row>
    <row r="446">
      <c r="A446" s="14"/>
      <c r="J446" s="6"/>
      <c r="K446" s="6"/>
      <c r="L446" s="6"/>
      <c r="N446" s="4"/>
    </row>
    <row r="447">
      <c r="A447" s="14"/>
      <c r="J447" s="6"/>
      <c r="K447" s="6"/>
      <c r="L447" s="6"/>
      <c r="N447" s="4"/>
    </row>
    <row r="448">
      <c r="A448" s="14"/>
      <c r="J448" s="6"/>
      <c r="K448" s="6"/>
      <c r="L448" s="6"/>
      <c r="N448" s="4"/>
    </row>
    <row r="449">
      <c r="A449" s="14"/>
      <c r="J449" s="6"/>
      <c r="K449" s="6"/>
      <c r="L449" s="6"/>
      <c r="N449" s="4"/>
    </row>
    <row r="450">
      <c r="A450" s="14"/>
      <c r="J450" s="6"/>
      <c r="K450" s="6"/>
      <c r="L450" s="6"/>
      <c r="N450" s="4"/>
    </row>
    <row r="451">
      <c r="A451" s="14"/>
      <c r="J451" s="6"/>
      <c r="K451" s="6"/>
      <c r="L451" s="6"/>
      <c r="N451" s="4"/>
    </row>
    <row r="452">
      <c r="A452" s="14"/>
      <c r="J452" s="6"/>
      <c r="K452" s="6"/>
      <c r="L452" s="6"/>
      <c r="N452" s="4"/>
    </row>
    <row r="453">
      <c r="A453" s="14"/>
      <c r="J453" s="6"/>
      <c r="K453" s="6"/>
      <c r="L453" s="6"/>
      <c r="N453" s="4"/>
    </row>
    <row r="454">
      <c r="A454" s="14"/>
      <c r="J454" s="6"/>
      <c r="K454" s="6"/>
      <c r="L454" s="6"/>
      <c r="N454" s="4"/>
    </row>
    <row r="455">
      <c r="A455" s="14"/>
      <c r="J455" s="6"/>
      <c r="K455" s="6"/>
      <c r="L455" s="6"/>
      <c r="N455" s="4"/>
    </row>
    <row r="456">
      <c r="A456" s="14"/>
      <c r="J456" s="6"/>
      <c r="K456" s="6"/>
      <c r="L456" s="6"/>
      <c r="N456" s="4"/>
    </row>
    <row r="457">
      <c r="A457" s="14"/>
      <c r="J457" s="6"/>
      <c r="K457" s="6"/>
      <c r="L457" s="6"/>
      <c r="N457" s="4"/>
    </row>
    <row r="458">
      <c r="A458" s="14"/>
      <c r="J458" s="6"/>
      <c r="K458" s="6"/>
      <c r="L458" s="6"/>
      <c r="N458" s="4"/>
    </row>
    <row r="459">
      <c r="A459" s="14"/>
      <c r="J459" s="6"/>
      <c r="K459" s="6"/>
      <c r="L459" s="6"/>
      <c r="N459" s="4"/>
    </row>
    <row r="460">
      <c r="A460" s="14"/>
      <c r="J460" s="6"/>
      <c r="K460" s="6"/>
      <c r="L460" s="6"/>
      <c r="N460" s="4"/>
    </row>
    <row r="461">
      <c r="A461" s="14"/>
      <c r="J461" s="6"/>
      <c r="K461" s="6"/>
      <c r="L461" s="6"/>
      <c r="N461" s="4"/>
    </row>
    <row r="462">
      <c r="A462" s="14"/>
      <c r="J462" s="6"/>
      <c r="K462" s="6"/>
      <c r="L462" s="6"/>
      <c r="N462" s="4"/>
    </row>
    <row r="463">
      <c r="A463" s="14"/>
      <c r="J463" s="6"/>
      <c r="K463" s="6"/>
      <c r="L463" s="6"/>
      <c r="N463" s="4"/>
    </row>
    <row r="464">
      <c r="A464" s="14"/>
      <c r="J464" s="6"/>
      <c r="K464" s="6"/>
      <c r="L464" s="6"/>
      <c r="N464" s="4"/>
    </row>
    <row r="465">
      <c r="A465" s="14"/>
      <c r="J465" s="6"/>
      <c r="K465" s="6"/>
      <c r="L465" s="6"/>
      <c r="N465" s="4"/>
    </row>
    <row r="466">
      <c r="A466" s="14"/>
      <c r="J466" s="6"/>
      <c r="K466" s="6"/>
      <c r="L466" s="6"/>
      <c r="N466" s="4"/>
    </row>
    <row r="467">
      <c r="A467" s="14"/>
      <c r="J467" s="6"/>
      <c r="K467" s="6"/>
      <c r="L467" s="6"/>
      <c r="N467" s="4"/>
    </row>
    <row r="468">
      <c r="A468" s="14"/>
      <c r="J468" s="6"/>
      <c r="K468" s="6"/>
      <c r="L468" s="6"/>
      <c r="N468" s="4"/>
    </row>
    <row r="469">
      <c r="A469" s="14"/>
      <c r="J469" s="6"/>
      <c r="K469" s="6"/>
      <c r="L469" s="6"/>
      <c r="N469" s="4"/>
    </row>
    <row r="470">
      <c r="A470" s="14"/>
      <c r="J470" s="6"/>
      <c r="K470" s="6"/>
      <c r="L470" s="6"/>
      <c r="N470" s="4"/>
    </row>
    <row r="471">
      <c r="A471" s="14"/>
      <c r="J471" s="6"/>
      <c r="K471" s="6"/>
      <c r="L471" s="6"/>
      <c r="N471" s="4"/>
    </row>
    <row r="472">
      <c r="A472" s="14"/>
      <c r="J472" s="6"/>
      <c r="K472" s="6"/>
      <c r="L472" s="6"/>
      <c r="N472" s="4"/>
    </row>
    <row r="473">
      <c r="A473" s="14"/>
      <c r="J473" s="6"/>
      <c r="K473" s="6"/>
      <c r="L473" s="6"/>
      <c r="N473" s="4"/>
    </row>
    <row r="474">
      <c r="A474" s="14"/>
      <c r="J474" s="6"/>
      <c r="K474" s="6"/>
      <c r="L474" s="6"/>
      <c r="N474" s="4"/>
    </row>
    <row r="475">
      <c r="A475" s="14"/>
      <c r="J475" s="6"/>
      <c r="K475" s="6"/>
      <c r="L475" s="6"/>
      <c r="N475" s="4"/>
    </row>
    <row r="476">
      <c r="A476" s="14"/>
      <c r="J476" s="6"/>
      <c r="K476" s="6"/>
      <c r="L476" s="6"/>
      <c r="N476" s="4"/>
    </row>
    <row r="477">
      <c r="A477" s="14"/>
      <c r="J477" s="6"/>
      <c r="K477" s="6"/>
      <c r="L477" s="6"/>
      <c r="N477" s="4"/>
    </row>
    <row r="478">
      <c r="A478" s="14"/>
      <c r="J478" s="6"/>
      <c r="K478" s="6"/>
      <c r="L478" s="6"/>
      <c r="N478" s="4"/>
    </row>
    <row r="479">
      <c r="A479" s="14"/>
      <c r="J479" s="6"/>
      <c r="K479" s="6"/>
      <c r="L479" s="6"/>
      <c r="N479" s="4"/>
    </row>
    <row r="480">
      <c r="A480" s="14"/>
      <c r="J480" s="6"/>
      <c r="K480" s="6"/>
      <c r="L480" s="6"/>
      <c r="N480" s="4"/>
    </row>
    <row r="481">
      <c r="A481" s="14"/>
      <c r="J481" s="6"/>
      <c r="K481" s="6"/>
      <c r="L481" s="6"/>
      <c r="N481" s="4"/>
    </row>
    <row r="482">
      <c r="A482" s="14"/>
      <c r="J482" s="6"/>
      <c r="K482" s="6"/>
      <c r="L482" s="6"/>
      <c r="N482" s="4"/>
    </row>
    <row r="483">
      <c r="A483" s="14"/>
      <c r="J483" s="6"/>
      <c r="K483" s="6"/>
      <c r="L483" s="6"/>
      <c r="N483" s="4"/>
    </row>
    <row r="484">
      <c r="A484" s="14"/>
      <c r="J484" s="6"/>
      <c r="K484" s="6"/>
      <c r="L484" s="6"/>
      <c r="N484" s="4"/>
    </row>
    <row r="485">
      <c r="A485" s="14"/>
      <c r="J485" s="6"/>
      <c r="K485" s="6"/>
      <c r="L485" s="6"/>
      <c r="N485" s="4"/>
    </row>
    <row r="486">
      <c r="A486" s="14"/>
      <c r="J486" s="6"/>
      <c r="K486" s="6"/>
      <c r="L486" s="6"/>
      <c r="N486" s="4"/>
    </row>
    <row r="487">
      <c r="A487" s="14"/>
      <c r="J487" s="6"/>
      <c r="K487" s="6"/>
      <c r="L487" s="6"/>
      <c r="N487" s="4"/>
    </row>
    <row r="488">
      <c r="A488" s="14"/>
      <c r="J488" s="6"/>
      <c r="K488" s="6"/>
      <c r="L488" s="6"/>
      <c r="N488" s="4"/>
    </row>
    <row r="489">
      <c r="A489" s="14"/>
      <c r="J489" s="6"/>
      <c r="K489" s="6"/>
      <c r="L489" s="6"/>
      <c r="N489" s="4"/>
    </row>
    <row r="490">
      <c r="A490" s="14"/>
      <c r="J490" s="6"/>
      <c r="K490" s="6"/>
      <c r="L490" s="6"/>
      <c r="N490" s="4"/>
    </row>
    <row r="491">
      <c r="A491" s="14"/>
      <c r="J491" s="6"/>
      <c r="K491" s="6"/>
      <c r="L491" s="6"/>
      <c r="N491" s="4"/>
    </row>
    <row r="492">
      <c r="A492" s="14"/>
      <c r="J492" s="6"/>
      <c r="K492" s="6"/>
      <c r="L492" s="6"/>
      <c r="N492" s="4"/>
    </row>
    <row r="493">
      <c r="A493" s="14"/>
      <c r="J493" s="6"/>
      <c r="K493" s="6"/>
      <c r="L493" s="6"/>
      <c r="N493" s="4"/>
    </row>
    <row r="494">
      <c r="A494" s="14"/>
      <c r="J494" s="6"/>
      <c r="K494" s="6"/>
      <c r="L494" s="6"/>
      <c r="N494" s="4"/>
    </row>
    <row r="495">
      <c r="A495" s="14"/>
      <c r="J495" s="6"/>
      <c r="K495" s="6"/>
      <c r="L495" s="6"/>
      <c r="N495" s="4"/>
    </row>
    <row r="496">
      <c r="A496" s="14"/>
      <c r="J496" s="6"/>
      <c r="K496" s="6"/>
      <c r="L496" s="6"/>
      <c r="N496" s="4"/>
    </row>
    <row r="497">
      <c r="A497" s="14"/>
      <c r="J497" s="6"/>
      <c r="K497" s="6"/>
      <c r="L497" s="6"/>
      <c r="N497" s="4"/>
    </row>
    <row r="498">
      <c r="A498" s="14"/>
      <c r="J498" s="6"/>
      <c r="K498" s="6"/>
      <c r="L498" s="6"/>
      <c r="N498" s="4"/>
    </row>
    <row r="499">
      <c r="A499" s="14"/>
      <c r="J499" s="6"/>
      <c r="K499" s="6"/>
      <c r="L499" s="6"/>
      <c r="N499" s="4"/>
    </row>
    <row r="500">
      <c r="A500" s="14"/>
      <c r="J500" s="6"/>
      <c r="K500" s="6"/>
      <c r="L500" s="6"/>
      <c r="N500" s="4"/>
    </row>
    <row r="501">
      <c r="A501" s="14"/>
      <c r="J501" s="6"/>
      <c r="K501" s="6"/>
      <c r="L501" s="6"/>
      <c r="N501" s="4"/>
    </row>
    <row r="502">
      <c r="A502" s="14"/>
      <c r="J502" s="6"/>
      <c r="K502" s="6"/>
      <c r="L502" s="6"/>
      <c r="N502" s="4"/>
    </row>
    <row r="503">
      <c r="A503" s="14"/>
      <c r="J503" s="6"/>
      <c r="K503" s="6"/>
      <c r="L503" s="6"/>
      <c r="N503" s="4"/>
    </row>
    <row r="504">
      <c r="A504" s="14"/>
      <c r="J504" s="6"/>
      <c r="K504" s="6"/>
      <c r="L504" s="6"/>
      <c r="N504" s="4"/>
    </row>
    <row r="505">
      <c r="A505" s="14"/>
      <c r="J505" s="6"/>
      <c r="K505" s="6"/>
      <c r="L505" s="6"/>
      <c r="N505" s="4"/>
    </row>
    <row r="506">
      <c r="A506" s="14"/>
      <c r="J506" s="6"/>
      <c r="K506" s="6"/>
      <c r="L506" s="6"/>
      <c r="N506" s="4"/>
    </row>
    <row r="507">
      <c r="A507" s="14"/>
      <c r="J507" s="6"/>
      <c r="K507" s="6"/>
      <c r="L507" s="6"/>
      <c r="N507" s="4"/>
    </row>
    <row r="508">
      <c r="A508" s="14"/>
      <c r="J508" s="6"/>
      <c r="K508" s="6"/>
      <c r="L508" s="6"/>
      <c r="N508" s="4"/>
    </row>
    <row r="509">
      <c r="A509" s="14"/>
      <c r="J509" s="6"/>
      <c r="K509" s="6"/>
      <c r="L509" s="6"/>
      <c r="N509" s="4"/>
    </row>
    <row r="510">
      <c r="A510" s="14"/>
      <c r="J510" s="6"/>
      <c r="K510" s="6"/>
      <c r="L510" s="6"/>
      <c r="N510" s="4"/>
    </row>
    <row r="511">
      <c r="A511" s="14"/>
      <c r="J511" s="6"/>
      <c r="K511" s="6"/>
      <c r="L511" s="6"/>
      <c r="N511" s="4"/>
    </row>
    <row r="512">
      <c r="A512" s="14"/>
      <c r="J512" s="6"/>
      <c r="K512" s="6"/>
      <c r="L512" s="6"/>
      <c r="N512" s="4"/>
    </row>
    <row r="513">
      <c r="A513" s="14"/>
      <c r="J513" s="6"/>
      <c r="K513" s="6"/>
      <c r="L513" s="6"/>
      <c r="N513" s="4"/>
    </row>
    <row r="514">
      <c r="A514" s="14"/>
      <c r="J514" s="6"/>
      <c r="K514" s="6"/>
      <c r="L514" s="6"/>
      <c r="N514" s="4"/>
    </row>
    <row r="515">
      <c r="A515" s="14"/>
      <c r="J515" s="6"/>
      <c r="K515" s="6"/>
      <c r="L515" s="6"/>
      <c r="N515" s="4"/>
    </row>
    <row r="516">
      <c r="A516" s="14"/>
      <c r="J516" s="6"/>
      <c r="K516" s="6"/>
      <c r="L516" s="6"/>
      <c r="N516" s="4"/>
    </row>
    <row r="517">
      <c r="A517" s="14"/>
      <c r="J517" s="6"/>
      <c r="K517" s="6"/>
      <c r="L517" s="6"/>
      <c r="N517" s="4"/>
    </row>
    <row r="518">
      <c r="A518" s="14"/>
      <c r="J518" s="6"/>
      <c r="K518" s="6"/>
      <c r="L518" s="6"/>
      <c r="N518" s="4"/>
    </row>
    <row r="519">
      <c r="A519" s="14"/>
      <c r="J519" s="6"/>
      <c r="K519" s="6"/>
      <c r="L519" s="6"/>
      <c r="N519" s="4"/>
    </row>
    <row r="520">
      <c r="A520" s="14"/>
      <c r="J520" s="6"/>
      <c r="K520" s="6"/>
      <c r="L520" s="6"/>
      <c r="N520" s="4"/>
    </row>
    <row r="521">
      <c r="A521" s="14"/>
      <c r="J521" s="6"/>
      <c r="K521" s="6"/>
      <c r="L521" s="6"/>
      <c r="N521" s="4"/>
    </row>
    <row r="522">
      <c r="A522" s="14"/>
      <c r="J522" s="6"/>
      <c r="K522" s="6"/>
      <c r="L522" s="6"/>
      <c r="N522" s="4"/>
    </row>
    <row r="523">
      <c r="A523" s="14"/>
      <c r="J523" s="6"/>
      <c r="K523" s="6"/>
      <c r="L523" s="6"/>
      <c r="N523" s="4"/>
    </row>
    <row r="524">
      <c r="A524" s="14"/>
      <c r="J524" s="6"/>
      <c r="K524" s="6"/>
      <c r="L524" s="6"/>
      <c r="N524" s="4"/>
    </row>
    <row r="525">
      <c r="A525" s="14"/>
      <c r="J525" s="6"/>
      <c r="K525" s="6"/>
      <c r="L525" s="6"/>
      <c r="N525" s="4"/>
    </row>
    <row r="526">
      <c r="A526" s="14"/>
      <c r="J526" s="6"/>
      <c r="K526" s="6"/>
      <c r="L526" s="6"/>
      <c r="N526" s="4"/>
    </row>
    <row r="527">
      <c r="A527" s="14"/>
      <c r="J527" s="6"/>
      <c r="K527" s="6"/>
      <c r="L527" s="6"/>
      <c r="N527" s="4"/>
    </row>
    <row r="528">
      <c r="A528" s="14"/>
      <c r="J528" s="6"/>
      <c r="K528" s="6"/>
      <c r="L528" s="6"/>
      <c r="N528" s="4"/>
    </row>
    <row r="529">
      <c r="A529" s="14"/>
      <c r="J529" s="6"/>
      <c r="K529" s="6"/>
      <c r="L529" s="6"/>
      <c r="N529" s="4"/>
    </row>
    <row r="530">
      <c r="A530" s="14"/>
      <c r="J530" s="6"/>
      <c r="K530" s="6"/>
      <c r="L530" s="6"/>
      <c r="N530" s="4"/>
    </row>
    <row r="531">
      <c r="A531" s="14"/>
      <c r="J531" s="6"/>
      <c r="K531" s="6"/>
      <c r="L531" s="6"/>
      <c r="N531" s="4"/>
    </row>
    <row r="532">
      <c r="A532" s="14"/>
      <c r="J532" s="6"/>
      <c r="K532" s="6"/>
      <c r="L532" s="6"/>
      <c r="N532" s="4"/>
    </row>
    <row r="533">
      <c r="A533" s="14"/>
      <c r="J533" s="6"/>
      <c r="K533" s="6"/>
      <c r="L533" s="6"/>
      <c r="N533" s="4"/>
    </row>
    <row r="534">
      <c r="A534" s="14"/>
      <c r="J534" s="6"/>
      <c r="K534" s="6"/>
      <c r="L534" s="6"/>
      <c r="N534" s="4"/>
    </row>
    <row r="535">
      <c r="A535" s="14"/>
      <c r="J535" s="6"/>
      <c r="K535" s="6"/>
      <c r="L535" s="6"/>
      <c r="N535" s="4"/>
    </row>
    <row r="536">
      <c r="A536" s="14"/>
      <c r="J536" s="6"/>
      <c r="K536" s="6"/>
      <c r="L536" s="6"/>
      <c r="N536" s="4"/>
    </row>
    <row r="537">
      <c r="A537" s="14"/>
      <c r="J537" s="6"/>
      <c r="K537" s="6"/>
      <c r="L537" s="6"/>
      <c r="N537" s="4"/>
    </row>
    <row r="538">
      <c r="A538" s="14"/>
      <c r="J538" s="6"/>
      <c r="K538" s="6"/>
      <c r="L538" s="6"/>
      <c r="N538" s="4"/>
    </row>
    <row r="539">
      <c r="A539" s="14"/>
      <c r="J539" s="6"/>
      <c r="K539" s="6"/>
      <c r="L539" s="6"/>
      <c r="N539" s="4"/>
    </row>
    <row r="540">
      <c r="A540" s="14"/>
      <c r="J540" s="6"/>
      <c r="K540" s="6"/>
      <c r="L540" s="6"/>
      <c r="N540" s="4"/>
    </row>
    <row r="541">
      <c r="A541" s="14"/>
      <c r="J541" s="6"/>
      <c r="K541" s="6"/>
      <c r="L541" s="6"/>
      <c r="N541" s="4"/>
    </row>
    <row r="542">
      <c r="A542" s="14"/>
      <c r="J542" s="6"/>
      <c r="K542" s="6"/>
      <c r="L542" s="6"/>
      <c r="N542" s="4"/>
    </row>
    <row r="543">
      <c r="A543" s="14"/>
      <c r="J543" s="6"/>
      <c r="K543" s="6"/>
      <c r="L543" s="6"/>
      <c r="N543" s="4"/>
    </row>
    <row r="544">
      <c r="A544" s="14"/>
      <c r="J544" s="6"/>
      <c r="K544" s="6"/>
      <c r="L544" s="6"/>
      <c r="N544" s="4"/>
    </row>
    <row r="545">
      <c r="A545" s="14"/>
      <c r="J545" s="6"/>
      <c r="K545" s="6"/>
      <c r="L545" s="6"/>
      <c r="N545" s="4"/>
    </row>
    <row r="546">
      <c r="A546" s="14"/>
      <c r="J546" s="6"/>
      <c r="K546" s="6"/>
      <c r="L546" s="6"/>
      <c r="N546" s="4"/>
    </row>
    <row r="547">
      <c r="A547" s="14"/>
      <c r="J547" s="6"/>
      <c r="K547" s="6"/>
      <c r="L547" s="6"/>
      <c r="N547" s="4"/>
    </row>
    <row r="548">
      <c r="A548" s="14"/>
      <c r="J548" s="6"/>
      <c r="K548" s="6"/>
      <c r="L548" s="6"/>
      <c r="N548" s="4"/>
    </row>
    <row r="549">
      <c r="A549" s="14"/>
      <c r="J549" s="6"/>
      <c r="K549" s="6"/>
      <c r="L549" s="6"/>
      <c r="N549" s="4"/>
    </row>
    <row r="550">
      <c r="A550" s="14"/>
      <c r="J550" s="6"/>
      <c r="K550" s="6"/>
      <c r="L550" s="6"/>
      <c r="N550" s="4"/>
    </row>
    <row r="551">
      <c r="A551" s="14"/>
      <c r="J551" s="6"/>
      <c r="K551" s="6"/>
      <c r="L551" s="6"/>
      <c r="N551" s="4"/>
    </row>
    <row r="552">
      <c r="A552" s="14"/>
      <c r="J552" s="6"/>
      <c r="K552" s="6"/>
      <c r="L552" s="6"/>
      <c r="N552" s="4"/>
    </row>
    <row r="553">
      <c r="A553" s="14"/>
      <c r="J553" s="6"/>
      <c r="K553" s="6"/>
      <c r="L553" s="6"/>
      <c r="N553" s="4"/>
    </row>
    <row r="554">
      <c r="A554" s="14"/>
      <c r="J554" s="6"/>
      <c r="K554" s="6"/>
      <c r="L554" s="6"/>
      <c r="N554" s="4"/>
    </row>
    <row r="555">
      <c r="A555" s="14"/>
      <c r="J555" s="6"/>
      <c r="K555" s="6"/>
      <c r="L555" s="6"/>
      <c r="N555" s="4"/>
    </row>
    <row r="556">
      <c r="A556" s="14"/>
      <c r="J556" s="6"/>
      <c r="K556" s="6"/>
      <c r="L556" s="6"/>
      <c r="N556" s="4"/>
    </row>
    <row r="557">
      <c r="A557" s="14"/>
      <c r="J557" s="6"/>
      <c r="K557" s="6"/>
      <c r="L557" s="6"/>
      <c r="N557" s="4"/>
    </row>
    <row r="558">
      <c r="A558" s="14"/>
      <c r="J558" s="6"/>
      <c r="K558" s="6"/>
      <c r="L558" s="6"/>
      <c r="N558" s="4"/>
    </row>
    <row r="559">
      <c r="A559" s="14"/>
      <c r="J559" s="6"/>
      <c r="K559" s="6"/>
      <c r="L559" s="6"/>
      <c r="N559" s="4"/>
    </row>
    <row r="560">
      <c r="A560" s="14"/>
      <c r="J560" s="6"/>
      <c r="K560" s="6"/>
      <c r="L560" s="6"/>
      <c r="N560" s="4"/>
    </row>
    <row r="561">
      <c r="A561" s="14"/>
      <c r="J561" s="6"/>
      <c r="K561" s="6"/>
      <c r="L561" s="6"/>
      <c r="N561" s="4"/>
    </row>
    <row r="562">
      <c r="A562" s="14"/>
      <c r="J562" s="6"/>
      <c r="K562" s="6"/>
      <c r="L562" s="6"/>
      <c r="N562" s="4"/>
    </row>
    <row r="563">
      <c r="A563" s="14"/>
      <c r="J563" s="6"/>
      <c r="K563" s="6"/>
      <c r="L563" s="6"/>
      <c r="N563" s="4"/>
    </row>
    <row r="564">
      <c r="A564" s="14"/>
      <c r="J564" s="6"/>
      <c r="K564" s="6"/>
      <c r="L564" s="6"/>
      <c r="N564" s="4"/>
    </row>
    <row r="565">
      <c r="A565" s="14"/>
      <c r="J565" s="6"/>
      <c r="K565" s="6"/>
      <c r="L565" s="6"/>
      <c r="N565" s="4"/>
    </row>
    <row r="566">
      <c r="A566" s="14"/>
      <c r="J566" s="6"/>
      <c r="K566" s="6"/>
      <c r="L566" s="6"/>
      <c r="N566" s="4"/>
    </row>
    <row r="567">
      <c r="A567" s="14"/>
      <c r="J567" s="6"/>
      <c r="K567" s="6"/>
      <c r="L567" s="6"/>
      <c r="N567" s="4"/>
    </row>
    <row r="568">
      <c r="A568" s="14"/>
      <c r="J568" s="6"/>
      <c r="K568" s="6"/>
      <c r="L568" s="6"/>
      <c r="N568" s="4"/>
    </row>
    <row r="569">
      <c r="A569" s="14"/>
      <c r="J569" s="6"/>
      <c r="K569" s="6"/>
      <c r="L569" s="6"/>
      <c r="N569" s="4"/>
    </row>
    <row r="570">
      <c r="A570" s="14"/>
      <c r="J570" s="6"/>
      <c r="K570" s="6"/>
      <c r="L570" s="6"/>
      <c r="N570" s="4"/>
    </row>
    <row r="571">
      <c r="A571" s="14"/>
      <c r="J571" s="6"/>
      <c r="K571" s="6"/>
      <c r="L571" s="6"/>
      <c r="N571" s="4"/>
    </row>
    <row r="572">
      <c r="A572" s="14"/>
      <c r="J572" s="6"/>
      <c r="K572" s="6"/>
      <c r="L572" s="6"/>
      <c r="N572" s="4"/>
    </row>
    <row r="573">
      <c r="A573" s="14"/>
      <c r="J573" s="6"/>
      <c r="K573" s="6"/>
      <c r="L573" s="6"/>
      <c r="N573" s="4"/>
    </row>
    <row r="574">
      <c r="A574" s="14"/>
      <c r="J574" s="6"/>
      <c r="K574" s="6"/>
      <c r="L574" s="6"/>
      <c r="N574" s="4"/>
    </row>
    <row r="575">
      <c r="A575" s="14"/>
      <c r="J575" s="6"/>
      <c r="K575" s="6"/>
      <c r="L575" s="6"/>
      <c r="N575" s="4"/>
    </row>
    <row r="576">
      <c r="A576" s="14"/>
      <c r="J576" s="6"/>
      <c r="K576" s="6"/>
      <c r="L576" s="6"/>
      <c r="N576" s="4"/>
    </row>
    <row r="577">
      <c r="A577" s="14"/>
      <c r="J577" s="6"/>
      <c r="K577" s="6"/>
      <c r="L577" s="6"/>
      <c r="N577" s="4"/>
    </row>
    <row r="578">
      <c r="A578" s="14"/>
      <c r="J578" s="6"/>
      <c r="K578" s="6"/>
      <c r="L578" s="6"/>
      <c r="N578" s="4"/>
    </row>
    <row r="579">
      <c r="A579" s="14"/>
      <c r="J579" s="6"/>
      <c r="K579" s="6"/>
      <c r="L579" s="6"/>
      <c r="N579" s="4"/>
    </row>
    <row r="580">
      <c r="A580" s="14"/>
      <c r="J580" s="6"/>
      <c r="K580" s="6"/>
      <c r="L580" s="6"/>
      <c r="N580" s="4"/>
    </row>
    <row r="581">
      <c r="A581" s="14"/>
      <c r="J581" s="6"/>
      <c r="K581" s="6"/>
      <c r="L581" s="6"/>
      <c r="N581" s="4"/>
    </row>
    <row r="582">
      <c r="A582" s="14"/>
      <c r="J582" s="6"/>
      <c r="K582" s="6"/>
      <c r="L582" s="6"/>
      <c r="N582" s="4"/>
    </row>
    <row r="583">
      <c r="A583" s="14"/>
      <c r="J583" s="6"/>
      <c r="K583" s="6"/>
      <c r="L583" s="6"/>
      <c r="N583" s="4"/>
    </row>
    <row r="584">
      <c r="A584" s="14"/>
      <c r="J584" s="6"/>
      <c r="K584" s="6"/>
      <c r="L584" s="6"/>
      <c r="N584" s="4"/>
    </row>
    <row r="585">
      <c r="A585" s="14"/>
      <c r="J585" s="6"/>
      <c r="K585" s="6"/>
      <c r="L585" s="6"/>
      <c r="N585" s="4"/>
    </row>
    <row r="586">
      <c r="A586" s="14"/>
      <c r="J586" s="6"/>
      <c r="K586" s="6"/>
      <c r="L586" s="6"/>
      <c r="N586" s="4"/>
    </row>
    <row r="587">
      <c r="A587" s="14"/>
      <c r="J587" s="6"/>
      <c r="K587" s="6"/>
      <c r="L587" s="6"/>
      <c r="N587" s="4"/>
    </row>
    <row r="588">
      <c r="A588" s="14"/>
      <c r="J588" s="6"/>
      <c r="K588" s="6"/>
      <c r="L588" s="6"/>
      <c r="N588" s="4"/>
    </row>
    <row r="589">
      <c r="A589" s="14"/>
      <c r="J589" s="6"/>
      <c r="K589" s="6"/>
      <c r="L589" s="6"/>
      <c r="N589" s="4"/>
    </row>
    <row r="590">
      <c r="A590" s="14"/>
      <c r="J590" s="6"/>
      <c r="K590" s="6"/>
      <c r="L590" s="6"/>
      <c r="N590" s="4"/>
    </row>
    <row r="591">
      <c r="A591" s="14"/>
      <c r="J591" s="6"/>
      <c r="K591" s="6"/>
      <c r="L591" s="6"/>
      <c r="N591" s="4"/>
    </row>
    <row r="592">
      <c r="A592" s="14"/>
      <c r="J592" s="6"/>
      <c r="K592" s="6"/>
      <c r="L592" s="6"/>
      <c r="N592" s="4"/>
    </row>
    <row r="593">
      <c r="A593" s="14"/>
      <c r="J593" s="6"/>
      <c r="K593" s="6"/>
      <c r="L593" s="6"/>
      <c r="N593" s="4"/>
    </row>
    <row r="594">
      <c r="A594" s="14"/>
      <c r="J594" s="6"/>
      <c r="K594" s="6"/>
      <c r="L594" s="6"/>
      <c r="N594" s="4"/>
    </row>
    <row r="595">
      <c r="A595" s="14"/>
      <c r="J595" s="6"/>
      <c r="K595" s="6"/>
      <c r="L595" s="6"/>
      <c r="N595" s="4"/>
    </row>
    <row r="596">
      <c r="A596" s="14"/>
      <c r="J596" s="6"/>
      <c r="K596" s="6"/>
      <c r="L596" s="6"/>
      <c r="N596" s="4"/>
    </row>
    <row r="597">
      <c r="A597" s="14"/>
      <c r="J597" s="6"/>
      <c r="K597" s="6"/>
      <c r="L597" s="6"/>
      <c r="N597" s="4"/>
    </row>
    <row r="598">
      <c r="A598" s="14"/>
      <c r="J598" s="6"/>
      <c r="K598" s="6"/>
      <c r="L598" s="6"/>
      <c r="N598" s="4"/>
    </row>
    <row r="599">
      <c r="A599" s="14"/>
      <c r="J599" s="6"/>
      <c r="K599" s="6"/>
      <c r="L599" s="6"/>
      <c r="N599" s="4"/>
    </row>
    <row r="600">
      <c r="A600" s="14"/>
      <c r="J600" s="6"/>
      <c r="K600" s="6"/>
      <c r="L600" s="6"/>
      <c r="N600" s="4"/>
    </row>
    <row r="601">
      <c r="A601" s="14"/>
      <c r="J601" s="6"/>
      <c r="K601" s="6"/>
      <c r="L601" s="6"/>
      <c r="N601" s="4"/>
    </row>
    <row r="602">
      <c r="A602" s="14"/>
      <c r="J602" s="6"/>
      <c r="K602" s="6"/>
      <c r="L602" s="6"/>
      <c r="N602" s="4"/>
    </row>
    <row r="603">
      <c r="A603" s="14"/>
      <c r="J603" s="6"/>
      <c r="K603" s="6"/>
      <c r="L603" s="6"/>
      <c r="N603" s="4"/>
    </row>
    <row r="604">
      <c r="A604" s="14"/>
      <c r="J604" s="6"/>
      <c r="K604" s="6"/>
      <c r="L604" s="6"/>
      <c r="N604" s="4"/>
    </row>
    <row r="605">
      <c r="A605" s="14"/>
      <c r="J605" s="6"/>
      <c r="K605" s="6"/>
      <c r="L605" s="6"/>
      <c r="N605" s="4"/>
    </row>
    <row r="606">
      <c r="A606" s="14"/>
      <c r="J606" s="6"/>
      <c r="K606" s="6"/>
      <c r="L606" s="6"/>
      <c r="N606" s="4"/>
    </row>
    <row r="607">
      <c r="A607" s="14"/>
      <c r="J607" s="6"/>
      <c r="K607" s="6"/>
      <c r="L607" s="6"/>
      <c r="N607" s="4"/>
    </row>
    <row r="608">
      <c r="A608" s="14"/>
      <c r="J608" s="6"/>
      <c r="K608" s="6"/>
      <c r="L608" s="6"/>
      <c r="N608" s="4"/>
    </row>
    <row r="609">
      <c r="A609" s="14"/>
      <c r="J609" s="6"/>
      <c r="K609" s="6"/>
      <c r="L609" s="6"/>
      <c r="N609" s="4"/>
    </row>
    <row r="610">
      <c r="A610" s="14"/>
      <c r="J610" s="6"/>
      <c r="K610" s="6"/>
      <c r="L610" s="6"/>
      <c r="N610" s="4"/>
    </row>
    <row r="611">
      <c r="A611" s="14"/>
      <c r="J611" s="6"/>
      <c r="K611" s="6"/>
      <c r="L611" s="6"/>
      <c r="N611" s="4"/>
    </row>
    <row r="612">
      <c r="A612" s="14"/>
      <c r="J612" s="6"/>
      <c r="K612" s="6"/>
      <c r="L612" s="6"/>
      <c r="N612" s="4"/>
    </row>
    <row r="613">
      <c r="A613" s="14"/>
      <c r="J613" s="6"/>
      <c r="K613" s="6"/>
      <c r="L613" s="6"/>
      <c r="N613" s="4"/>
    </row>
    <row r="614">
      <c r="A614" s="14"/>
      <c r="J614" s="6"/>
      <c r="K614" s="6"/>
      <c r="L614" s="6"/>
      <c r="N614" s="4"/>
    </row>
    <row r="615">
      <c r="A615" s="14"/>
      <c r="J615" s="6"/>
      <c r="K615" s="6"/>
      <c r="L615" s="6"/>
      <c r="N615" s="4"/>
    </row>
    <row r="616">
      <c r="A616" s="14"/>
      <c r="J616" s="6"/>
      <c r="K616" s="6"/>
      <c r="L616" s="6"/>
      <c r="N616" s="4"/>
    </row>
    <row r="617">
      <c r="A617" s="14"/>
      <c r="J617" s="6"/>
      <c r="K617" s="6"/>
      <c r="L617" s="6"/>
      <c r="N617" s="4"/>
    </row>
    <row r="618">
      <c r="A618" s="14"/>
      <c r="J618" s="6"/>
      <c r="K618" s="6"/>
      <c r="L618" s="6"/>
      <c r="N618" s="4"/>
    </row>
    <row r="619">
      <c r="A619" s="14"/>
      <c r="J619" s="6"/>
      <c r="K619" s="6"/>
      <c r="L619" s="6"/>
      <c r="N619" s="4"/>
    </row>
    <row r="620">
      <c r="A620" s="14"/>
      <c r="J620" s="6"/>
      <c r="K620" s="6"/>
      <c r="L620" s="6"/>
      <c r="N620" s="4"/>
    </row>
    <row r="621">
      <c r="A621" s="14"/>
      <c r="J621" s="6"/>
      <c r="K621" s="6"/>
      <c r="L621" s="6"/>
      <c r="N621" s="4"/>
    </row>
    <row r="622">
      <c r="A622" s="14"/>
      <c r="J622" s="6"/>
      <c r="K622" s="6"/>
      <c r="L622" s="6"/>
      <c r="N622" s="4"/>
    </row>
    <row r="623">
      <c r="A623" s="14"/>
      <c r="J623" s="6"/>
      <c r="K623" s="6"/>
      <c r="L623" s="6"/>
      <c r="N623" s="4"/>
    </row>
    <row r="624">
      <c r="A624" s="14"/>
      <c r="J624" s="6"/>
      <c r="K624" s="6"/>
      <c r="L624" s="6"/>
      <c r="N624" s="4"/>
    </row>
    <row r="625">
      <c r="A625" s="14"/>
      <c r="J625" s="6"/>
      <c r="K625" s="6"/>
      <c r="L625" s="6"/>
      <c r="N625" s="4"/>
    </row>
    <row r="626">
      <c r="A626" s="14"/>
      <c r="J626" s="6"/>
      <c r="K626" s="6"/>
      <c r="L626" s="6"/>
      <c r="N626" s="4"/>
    </row>
    <row r="627">
      <c r="A627" s="14"/>
      <c r="J627" s="6"/>
      <c r="K627" s="6"/>
      <c r="L627" s="6"/>
      <c r="N627" s="4"/>
    </row>
    <row r="628">
      <c r="A628" s="14"/>
      <c r="J628" s="6"/>
      <c r="K628" s="6"/>
      <c r="L628" s="6"/>
      <c r="N628" s="4"/>
    </row>
    <row r="629">
      <c r="A629" s="14"/>
      <c r="J629" s="6"/>
      <c r="K629" s="6"/>
      <c r="L629" s="6"/>
      <c r="N629" s="4"/>
    </row>
    <row r="630">
      <c r="A630" s="14"/>
      <c r="J630" s="6"/>
      <c r="K630" s="6"/>
      <c r="L630" s="6"/>
      <c r="N630" s="4"/>
    </row>
    <row r="631">
      <c r="A631" s="14"/>
      <c r="J631" s="6"/>
      <c r="K631" s="6"/>
      <c r="L631" s="6"/>
      <c r="N631" s="4"/>
    </row>
    <row r="632">
      <c r="A632" s="14"/>
      <c r="J632" s="6"/>
      <c r="K632" s="6"/>
      <c r="L632" s="6"/>
      <c r="N632" s="4"/>
    </row>
    <row r="633">
      <c r="A633" s="14"/>
      <c r="J633" s="6"/>
      <c r="K633" s="6"/>
      <c r="L633" s="6"/>
      <c r="N633" s="4"/>
    </row>
    <row r="634">
      <c r="A634" s="14"/>
      <c r="J634" s="6"/>
      <c r="K634" s="6"/>
      <c r="L634" s="6"/>
      <c r="N634" s="4"/>
    </row>
    <row r="635">
      <c r="A635" s="14"/>
      <c r="J635" s="6"/>
      <c r="K635" s="6"/>
      <c r="L635" s="6"/>
      <c r="N635" s="4"/>
    </row>
    <row r="636">
      <c r="A636" s="14"/>
      <c r="J636" s="6"/>
      <c r="K636" s="6"/>
      <c r="L636" s="6"/>
      <c r="N636" s="4"/>
    </row>
    <row r="637">
      <c r="A637" s="14"/>
      <c r="J637" s="6"/>
      <c r="K637" s="6"/>
      <c r="L637" s="6"/>
      <c r="N637" s="4"/>
    </row>
    <row r="638">
      <c r="A638" s="14"/>
      <c r="J638" s="6"/>
      <c r="K638" s="6"/>
      <c r="L638" s="6"/>
      <c r="N638" s="4"/>
    </row>
    <row r="639">
      <c r="A639" s="14"/>
      <c r="J639" s="6"/>
      <c r="K639" s="6"/>
      <c r="L639" s="6"/>
      <c r="N639" s="4"/>
    </row>
    <row r="640">
      <c r="A640" s="14"/>
      <c r="J640" s="6"/>
      <c r="K640" s="6"/>
      <c r="L640" s="6"/>
      <c r="N640" s="4"/>
    </row>
    <row r="641">
      <c r="A641" s="14"/>
      <c r="J641" s="6"/>
      <c r="K641" s="6"/>
      <c r="L641" s="6"/>
      <c r="N641" s="4"/>
    </row>
    <row r="642">
      <c r="A642" s="14"/>
      <c r="J642" s="6"/>
      <c r="K642" s="6"/>
      <c r="L642" s="6"/>
      <c r="N642" s="4"/>
    </row>
    <row r="643">
      <c r="A643" s="14"/>
      <c r="J643" s="6"/>
      <c r="K643" s="6"/>
      <c r="L643" s="6"/>
      <c r="N643" s="4"/>
    </row>
    <row r="644">
      <c r="A644" s="14"/>
      <c r="J644" s="6"/>
      <c r="K644" s="6"/>
      <c r="L644" s="6"/>
      <c r="N644" s="4"/>
    </row>
    <row r="645">
      <c r="A645" s="14"/>
      <c r="J645" s="6"/>
      <c r="K645" s="6"/>
      <c r="L645" s="6"/>
      <c r="N645" s="4"/>
    </row>
    <row r="646">
      <c r="A646" s="14"/>
      <c r="J646" s="6"/>
      <c r="K646" s="6"/>
      <c r="L646" s="6"/>
      <c r="N646" s="4"/>
    </row>
    <row r="647">
      <c r="A647" s="14"/>
      <c r="J647" s="6"/>
      <c r="K647" s="6"/>
      <c r="L647" s="6"/>
      <c r="N647" s="4"/>
    </row>
    <row r="648">
      <c r="A648" s="14"/>
      <c r="J648" s="6"/>
      <c r="K648" s="6"/>
      <c r="L648" s="6"/>
      <c r="N648" s="4"/>
    </row>
    <row r="649">
      <c r="A649" s="14"/>
      <c r="J649" s="6"/>
      <c r="K649" s="6"/>
      <c r="L649" s="6"/>
      <c r="N649" s="4"/>
    </row>
    <row r="650">
      <c r="A650" s="14"/>
      <c r="J650" s="6"/>
      <c r="K650" s="6"/>
      <c r="L650" s="6"/>
      <c r="N650" s="4"/>
    </row>
    <row r="651">
      <c r="A651" s="14"/>
      <c r="J651" s="6"/>
      <c r="K651" s="6"/>
      <c r="L651" s="6"/>
      <c r="N651" s="4"/>
    </row>
    <row r="652">
      <c r="A652" s="14"/>
      <c r="J652" s="6"/>
      <c r="K652" s="6"/>
      <c r="L652" s="6"/>
      <c r="N652" s="4"/>
    </row>
    <row r="653">
      <c r="A653" s="14"/>
      <c r="J653" s="6"/>
      <c r="K653" s="6"/>
      <c r="L653" s="6"/>
      <c r="N653" s="4"/>
    </row>
    <row r="654">
      <c r="A654" s="14"/>
      <c r="J654" s="6"/>
      <c r="K654" s="6"/>
      <c r="L654" s="6"/>
      <c r="N654" s="4"/>
    </row>
    <row r="655">
      <c r="A655" s="14"/>
      <c r="J655" s="6"/>
      <c r="K655" s="6"/>
      <c r="L655" s="6"/>
      <c r="N655" s="4"/>
    </row>
    <row r="656">
      <c r="A656" s="14"/>
      <c r="J656" s="6"/>
      <c r="K656" s="6"/>
      <c r="L656" s="6"/>
      <c r="N656" s="4"/>
    </row>
    <row r="657">
      <c r="A657" s="14"/>
      <c r="J657" s="6"/>
      <c r="K657" s="6"/>
      <c r="L657" s="6"/>
      <c r="N657" s="4"/>
    </row>
    <row r="658">
      <c r="A658" s="14"/>
      <c r="J658" s="6"/>
      <c r="K658" s="6"/>
      <c r="L658" s="6"/>
      <c r="N658" s="4"/>
    </row>
    <row r="659">
      <c r="A659" s="14"/>
      <c r="J659" s="6"/>
      <c r="K659" s="6"/>
      <c r="L659" s="6"/>
      <c r="N659" s="4"/>
    </row>
    <row r="660">
      <c r="A660" s="14"/>
      <c r="J660" s="6"/>
      <c r="K660" s="6"/>
      <c r="L660" s="6"/>
      <c r="N660" s="4"/>
    </row>
    <row r="661">
      <c r="A661" s="14"/>
      <c r="J661" s="6"/>
      <c r="K661" s="6"/>
      <c r="L661" s="6"/>
      <c r="N661" s="4"/>
    </row>
    <row r="662">
      <c r="A662" s="14"/>
      <c r="J662" s="6"/>
      <c r="K662" s="6"/>
      <c r="L662" s="6"/>
      <c r="N662" s="4"/>
    </row>
    <row r="663">
      <c r="A663" s="14"/>
      <c r="J663" s="6"/>
      <c r="K663" s="6"/>
      <c r="L663" s="6"/>
      <c r="N663" s="4"/>
    </row>
    <row r="664">
      <c r="A664" s="14"/>
      <c r="J664" s="6"/>
      <c r="K664" s="6"/>
      <c r="L664" s="6"/>
      <c r="N664" s="4"/>
    </row>
    <row r="665">
      <c r="A665" s="14"/>
      <c r="J665" s="6"/>
      <c r="K665" s="6"/>
      <c r="L665" s="6"/>
      <c r="N665" s="4"/>
    </row>
    <row r="666">
      <c r="A666" s="14"/>
      <c r="J666" s="6"/>
      <c r="K666" s="6"/>
      <c r="L666" s="6"/>
      <c r="N666" s="4"/>
    </row>
    <row r="667">
      <c r="A667" s="14"/>
      <c r="J667" s="6"/>
      <c r="K667" s="6"/>
      <c r="L667" s="6"/>
      <c r="N667" s="4"/>
    </row>
    <row r="668">
      <c r="A668" s="14"/>
      <c r="J668" s="6"/>
      <c r="K668" s="6"/>
      <c r="L668" s="6"/>
      <c r="N668" s="4"/>
    </row>
    <row r="669">
      <c r="A669" s="14"/>
      <c r="J669" s="6"/>
      <c r="K669" s="6"/>
      <c r="L669" s="6"/>
      <c r="N669" s="4"/>
    </row>
    <row r="670">
      <c r="A670" s="14"/>
      <c r="J670" s="6"/>
      <c r="K670" s="6"/>
      <c r="L670" s="6"/>
      <c r="N670" s="4"/>
    </row>
    <row r="671">
      <c r="A671" s="14"/>
      <c r="J671" s="6"/>
      <c r="K671" s="6"/>
      <c r="L671" s="6"/>
      <c r="N671" s="4"/>
    </row>
    <row r="672">
      <c r="A672" s="14"/>
      <c r="J672" s="6"/>
      <c r="K672" s="6"/>
      <c r="L672" s="6"/>
      <c r="N672" s="4"/>
    </row>
    <row r="673">
      <c r="A673" s="14"/>
      <c r="J673" s="6"/>
      <c r="K673" s="6"/>
      <c r="L673" s="6"/>
      <c r="N673" s="4"/>
    </row>
    <row r="674">
      <c r="A674" s="14"/>
      <c r="J674" s="6"/>
      <c r="K674" s="6"/>
      <c r="L674" s="6"/>
      <c r="N674" s="4"/>
    </row>
    <row r="675">
      <c r="A675" s="14"/>
      <c r="J675" s="6"/>
      <c r="K675" s="6"/>
      <c r="L675" s="6"/>
      <c r="N675" s="4"/>
    </row>
    <row r="676">
      <c r="A676" s="14"/>
      <c r="J676" s="6"/>
      <c r="K676" s="6"/>
      <c r="L676" s="6"/>
      <c r="N676" s="4"/>
    </row>
    <row r="677">
      <c r="A677" s="14"/>
      <c r="J677" s="6"/>
      <c r="K677" s="6"/>
      <c r="L677" s="6"/>
      <c r="N677" s="4"/>
    </row>
    <row r="678">
      <c r="A678" s="14"/>
      <c r="J678" s="6"/>
      <c r="K678" s="6"/>
      <c r="L678" s="6"/>
      <c r="N678" s="4"/>
    </row>
    <row r="679">
      <c r="A679" s="14"/>
      <c r="J679" s="6"/>
      <c r="K679" s="6"/>
      <c r="L679" s="6"/>
      <c r="N679" s="4"/>
    </row>
    <row r="680">
      <c r="A680" s="14"/>
      <c r="J680" s="6"/>
      <c r="K680" s="6"/>
      <c r="L680" s="6"/>
      <c r="N680" s="4"/>
    </row>
    <row r="681">
      <c r="A681" s="14"/>
      <c r="J681" s="6"/>
      <c r="K681" s="6"/>
      <c r="L681" s="6"/>
      <c r="N681" s="4"/>
    </row>
    <row r="682">
      <c r="A682" s="14"/>
      <c r="J682" s="6"/>
      <c r="K682" s="6"/>
      <c r="L682" s="6"/>
      <c r="N682" s="4"/>
    </row>
    <row r="683">
      <c r="A683" s="14"/>
      <c r="J683" s="6"/>
      <c r="K683" s="6"/>
      <c r="L683" s="6"/>
      <c r="N683" s="4"/>
    </row>
    <row r="684">
      <c r="A684" s="14"/>
      <c r="J684" s="6"/>
      <c r="K684" s="6"/>
      <c r="L684" s="6"/>
      <c r="N684" s="4"/>
    </row>
    <row r="685">
      <c r="A685" s="14"/>
      <c r="J685" s="6"/>
      <c r="K685" s="6"/>
      <c r="L685" s="6"/>
      <c r="N685" s="4"/>
    </row>
    <row r="686">
      <c r="A686" s="14"/>
      <c r="J686" s="6"/>
      <c r="K686" s="6"/>
      <c r="L686" s="6"/>
      <c r="N686" s="4"/>
    </row>
    <row r="687">
      <c r="A687" s="14"/>
      <c r="J687" s="6"/>
      <c r="K687" s="6"/>
      <c r="L687" s="6"/>
      <c r="N687" s="4"/>
    </row>
    <row r="688">
      <c r="A688" s="14"/>
      <c r="J688" s="6"/>
      <c r="K688" s="6"/>
      <c r="L688" s="6"/>
      <c r="N688" s="4"/>
    </row>
    <row r="689">
      <c r="A689" s="14"/>
      <c r="J689" s="6"/>
      <c r="K689" s="6"/>
      <c r="L689" s="6"/>
      <c r="N689" s="4"/>
    </row>
    <row r="690">
      <c r="A690" s="14"/>
      <c r="J690" s="6"/>
      <c r="K690" s="6"/>
      <c r="L690" s="6"/>
      <c r="N690" s="4"/>
    </row>
    <row r="691">
      <c r="A691" s="14"/>
      <c r="J691" s="6"/>
      <c r="K691" s="6"/>
      <c r="L691" s="6"/>
      <c r="N691" s="4"/>
    </row>
    <row r="692">
      <c r="A692" s="14"/>
      <c r="J692" s="6"/>
      <c r="K692" s="6"/>
      <c r="L692" s="6"/>
      <c r="N692" s="4"/>
    </row>
    <row r="693">
      <c r="A693" s="14"/>
      <c r="J693" s="6"/>
      <c r="K693" s="6"/>
      <c r="L693" s="6"/>
      <c r="N693" s="4"/>
    </row>
    <row r="694">
      <c r="A694" s="14"/>
      <c r="J694" s="6"/>
      <c r="K694" s="6"/>
      <c r="L694" s="6"/>
      <c r="N694" s="4"/>
    </row>
    <row r="695">
      <c r="A695" s="14"/>
      <c r="J695" s="6"/>
      <c r="K695" s="6"/>
      <c r="L695" s="6"/>
      <c r="N695" s="4"/>
    </row>
    <row r="696">
      <c r="A696" s="14"/>
      <c r="J696" s="6"/>
      <c r="K696" s="6"/>
      <c r="L696" s="6"/>
      <c r="N696" s="4"/>
    </row>
    <row r="697">
      <c r="A697" s="14"/>
      <c r="J697" s="6"/>
      <c r="K697" s="6"/>
      <c r="L697" s="6"/>
      <c r="N697" s="4"/>
    </row>
    <row r="698">
      <c r="A698" s="14"/>
      <c r="J698" s="6"/>
      <c r="K698" s="6"/>
      <c r="L698" s="6"/>
      <c r="N698" s="4"/>
    </row>
    <row r="699">
      <c r="A699" s="14"/>
      <c r="J699" s="6"/>
      <c r="K699" s="6"/>
      <c r="L699" s="6"/>
      <c r="N699" s="4"/>
    </row>
    <row r="700">
      <c r="A700" s="14"/>
      <c r="J700" s="6"/>
      <c r="K700" s="6"/>
      <c r="L700" s="6"/>
      <c r="N700" s="4"/>
    </row>
    <row r="701">
      <c r="A701" s="14"/>
      <c r="J701" s="6"/>
      <c r="K701" s="6"/>
      <c r="L701" s="6"/>
      <c r="N701" s="4"/>
    </row>
    <row r="702">
      <c r="A702" s="14"/>
      <c r="J702" s="6"/>
      <c r="K702" s="6"/>
      <c r="L702" s="6"/>
      <c r="N702" s="4"/>
    </row>
    <row r="703">
      <c r="A703" s="14"/>
      <c r="J703" s="6"/>
      <c r="K703" s="6"/>
      <c r="L703" s="6"/>
      <c r="N703" s="4"/>
    </row>
    <row r="704">
      <c r="A704" s="14"/>
      <c r="J704" s="6"/>
      <c r="K704" s="6"/>
      <c r="L704" s="6"/>
      <c r="N704" s="4"/>
    </row>
    <row r="705">
      <c r="A705" s="14"/>
      <c r="J705" s="6"/>
      <c r="K705" s="6"/>
      <c r="L705" s="6"/>
      <c r="N705" s="4"/>
    </row>
    <row r="706">
      <c r="A706" s="14"/>
      <c r="J706" s="6"/>
      <c r="K706" s="6"/>
      <c r="L706" s="6"/>
      <c r="N706" s="4"/>
    </row>
    <row r="707">
      <c r="A707" s="14"/>
      <c r="J707" s="6"/>
      <c r="K707" s="6"/>
      <c r="L707" s="6"/>
      <c r="N707" s="4"/>
    </row>
    <row r="708">
      <c r="A708" s="14"/>
      <c r="J708" s="6"/>
      <c r="K708" s="6"/>
      <c r="L708" s="6"/>
      <c r="N708" s="4"/>
    </row>
    <row r="709">
      <c r="A709" s="14"/>
      <c r="J709" s="6"/>
      <c r="K709" s="6"/>
      <c r="L709" s="6"/>
      <c r="N709" s="4"/>
    </row>
    <row r="710">
      <c r="A710" s="14"/>
      <c r="J710" s="6"/>
      <c r="K710" s="6"/>
      <c r="L710" s="6"/>
      <c r="N710" s="4"/>
    </row>
    <row r="711">
      <c r="A711" s="14"/>
      <c r="J711" s="6"/>
      <c r="K711" s="6"/>
      <c r="L711" s="6"/>
      <c r="N711" s="4"/>
    </row>
    <row r="712">
      <c r="A712" s="14"/>
      <c r="J712" s="6"/>
      <c r="K712" s="6"/>
      <c r="L712" s="6"/>
      <c r="N712" s="4"/>
    </row>
    <row r="713">
      <c r="A713" s="14"/>
      <c r="J713" s="6"/>
      <c r="K713" s="6"/>
      <c r="L713" s="6"/>
      <c r="N713" s="4"/>
    </row>
    <row r="714">
      <c r="A714" s="14"/>
      <c r="J714" s="6"/>
      <c r="K714" s="6"/>
      <c r="L714" s="6"/>
      <c r="N714" s="4"/>
    </row>
    <row r="715">
      <c r="A715" s="14"/>
      <c r="J715" s="6"/>
      <c r="K715" s="6"/>
      <c r="L715" s="6"/>
      <c r="N715" s="4"/>
    </row>
    <row r="716">
      <c r="A716" s="14"/>
      <c r="J716" s="6"/>
      <c r="K716" s="6"/>
      <c r="L716" s="6"/>
      <c r="N716" s="4"/>
    </row>
    <row r="717">
      <c r="A717" s="14"/>
      <c r="J717" s="6"/>
      <c r="K717" s="6"/>
      <c r="L717" s="6"/>
      <c r="N717" s="4"/>
    </row>
    <row r="718">
      <c r="A718" s="14"/>
      <c r="J718" s="6"/>
      <c r="K718" s="6"/>
      <c r="L718" s="6"/>
      <c r="N718" s="4"/>
    </row>
    <row r="719">
      <c r="A719" s="14"/>
      <c r="J719" s="6"/>
      <c r="K719" s="6"/>
      <c r="L719" s="6"/>
      <c r="N719" s="4"/>
    </row>
    <row r="720">
      <c r="A720" s="14"/>
      <c r="J720" s="6"/>
      <c r="K720" s="6"/>
      <c r="L720" s="6"/>
      <c r="N720" s="4"/>
    </row>
    <row r="721">
      <c r="A721" s="14"/>
      <c r="J721" s="6"/>
      <c r="K721" s="6"/>
      <c r="L721" s="6"/>
      <c r="N721" s="4"/>
    </row>
    <row r="722">
      <c r="A722" s="14"/>
      <c r="J722" s="6"/>
      <c r="K722" s="6"/>
      <c r="L722" s="6"/>
      <c r="N722" s="4"/>
    </row>
    <row r="723">
      <c r="A723" s="14"/>
      <c r="J723" s="6"/>
      <c r="K723" s="6"/>
      <c r="L723" s="6"/>
      <c r="N723" s="4"/>
    </row>
    <row r="724">
      <c r="A724" s="14"/>
      <c r="J724" s="6"/>
      <c r="K724" s="6"/>
      <c r="L724" s="6"/>
      <c r="N724" s="4"/>
    </row>
    <row r="725">
      <c r="A725" s="14"/>
      <c r="J725" s="6"/>
      <c r="K725" s="6"/>
      <c r="L725" s="6"/>
      <c r="N725" s="4"/>
    </row>
    <row r="726">
      <c r="A726" s="14"/>
      <c r="J726" s="6"/>
      <c r="K726" s="6"/>
      <c r="L726" s="6"/>
      <c r="N726" s="4"/>
    </row>
    <row r="727">
      <c r="A727" s="14"/>
      <c r="J727" s="6"/>
      <c r="K727" s="6"/>
      <c r="L727" s="6"/>
      <c r="N727" s="4"/>
    </row>
    <row r="728">
      <c r="A728" s="14"/>
      <c r="J728" s="6"/>
      <c r="K728" s="6"/>
      <c r="L728" s="6"/>
      <c r="N728" s="4"/>
    </row>
    <row r="729">
      <c r="A729" s="14"/>
      <c r="J729" s="6"/>
      <c r="K729" s="6"/>
      <c r="L729" s="6"/>
      <c r="N729" s="4"/>
    </row>
    <row r="730">
      <c r="A730" s="14"/>
      <c r="J730" s="6"/>
      <c r="K730" s="6"/>
      <c r="L730" s="6"/>
      <c r="N730" s="4"/>
    </row>
    <row r="731">
      <c r="A731" s="14"/>
      <c r="J731" s="6"/>
      <c r="K731" s="6"/>
      <c r="L731" s="6"/>
      <c r="N731" s="4"/>
    </row>
    <row r="732">
      <c r="A732" s="14"/>
      <c r="J732" s="6"/>
      <c r="K732" s="6"/>
      <c r="L732" s="6"/>
      <c r="N732" s="4"/>
    </row>
    <row r="733">
      <c r="A733" s="14"/>
      <c r="J733" s="6"/>
      <c r="K733" s="6"/>
      <c r="L733" s="6"/>
      <c r="N733" s="4"/>
    </row>
    <row r="734">
      <c r="A734" s="14"/>
      <c r="J734" s="6"/>
      <c r="K734" s="6"/>
      <c r="L734" s="6"/>
      <c r="N734" s="4"/>
    </row>
    <row r="735">
      <c r="A735" s="14"/>
      <c r="J735" s="6"/>
      <c r="K735" s="6"/>
      <c r="L735" s="6"/>
      <c r="N735" s="4"/>
    </row>
    <row r="736">
      <c r="A736" s="14"/>
      <c r="J736" s="6"/>
      <c r="K736" s="6"/>
      <c r="L736" s="6"/>
      <c r="N736" s="4"/>
    </row>
    <row r="737">
      <c r="A737" s="14"/>
      <c r="J737" s="6"/>
      <c r="K737" s="6"/>
      <c r="L737" s="6"/>
      <c r="N737" s="4"/>
    </row>
    <row r="738">
      <c r="A738" s="14"/>
      <c r="J738" s="6"/>
      <c r="K738" s="6"/>
      <c r="L738" s="6"/>
      <c r="N738" s="4"/>
    </row>
    <row r="739">
      <c r="A739" s="14"/>
      <c r="J739" s="6"/>
      <c r="K739" s="6"/>
      <c r="L739" s="6"/>
      <c r="N739" s="4"/>
    </row>
    <row r="740">
      <c r="A740" s="14"/>
      <c r="J740" s="6"/>
      <c r="K740" s="6"/>
      <c r="L740" s="6"/>
      <c r="N740" s="4"/>
    </row>
    <row r="741">
      <c r="A741" s="14"/>
      <c r="J741" s="6"/>
      <c r="K741" s="6"/>
      <c r="L741" s="6"/>
      <c r="N741" s="4"/>
    </row>
    <row r="742">
      <c r="A742" s="14"/>
      <c r="J742" s="6"/>
      <c r="K742" s="6"/>
      <c r="L742" s="6"/>
      <c r="N742" s="4"/>
    </row>
    <row r="743">
      <c r="A743" s="14"/>
      <c r="J743" s="6"/>
      <c r="K743" s="6"/>
      <c r="L743" s="6"/>
      <c r="N743" s="4"/>
    </row>
    <row r="744">
      <c r="A744" s="14"/>
      <c r="J744" s="6"/>
      <c r="K744" s="6"/>
      <c r="L744" s="6"/>
      <c r="N744" s="4"/>
    </row>
    <row r="745">
      <c r="A745" s="14"/>
      <c r="J745" s="6"/>
      <c r="K745" s="6"/>
      <c r="L745" s="6"/>
      <c r="N745" s="4"/>
    </row>
    <row r="746">
      <c r="A746" s="14"/>
      <c r="J746" s="6"/>
      <c r="K746" s="6"/>
      <c r="L746" s="6"/>
      <c r="N746" s="4"/>
    </row>
    <row r="747">
      <c r="A747" s="14"/>
      <c r="J747" s="6"/>
      <c r="K747" s="6"/>
      <c r="L747" s="6"/>
      <c r="N747" s="4"/>
    </row>
    <row r="748">
      <c r="A748" s="14"/>
      <c r="J748" s="6"/>
      <c r="K748" s="6"/>
      <c r="L748" s="6"/>
      <c r="N748" s="4"/>
    </row>
    <row r="749">
      <c r="A749" s="14"/>
      <c r="J749" s="6"/>
      <c r="K749" s="6"/>
      <c r="L749" s="6"/>
      <c r="N749" s="4"/>
    </row>
    <row r="750">
      <c r="A750" s="14"/>
      <c r="J750" s="6"/>
      <c r="K750" s="6"/>
      <c r="L750" s="6"/>
      <c r="N750" s="4"/>
    </row>
    <row r="751">
      <c r="A751" s="14"/>
      <c r="J751" s="6"/>
      <c r="K751" s="6"/>
      <c r="L751" s="6"/>
      <c r="N751" s="4"/>
    </row>
    <row r="752">
      <c r="A752" s="14"/>
      <c r="J752" s="6"/>
      <c r="K752" s="6"/>
      <c r="L752" s="6"/>
      <c r="N752" s="4"/>
    </row>
    <row r="753">
      <c r="A753" s="14"/>
      <c r="J753" s="6"/>
      <c r="K753" s="6"/>
      <c r="L753" s="6"/>
      <c r="N753" s="4"/>
    </row>
    <row r="754">
      <c r="A754" s="14"/>
      <c r="J754" s="6"/>
      <c r="K754" s="6"/>
      <c r="L754" s="6"/>
      <c r="N754" s="4"/>
    </row>
    <row r="755">
      <c r="A755" s="14"/>
      <c r="J755" s="6"/>
      <c r="K755" s="6"/>
      <c r="L755" s="6"/>
      <c r="N755" s="4"/>
    </row>
    <row r="756">
      <c r="A756" s="14"/>
      <c r="J756" s="6"/>
      <c r="K756" s="6"/>
      <c r="L756" s="6"/>
      <c r="N756" s="4"/>
    </row>
    <row r="757">
      <c r="A757" s="14"/>
      <c r="J757" s="6"/>
      <c r="K757" s="6"/>
      <c r="L757" s="6"/>
      <c r="N757" s="4"/>
    </row>
    <row r="758">
      <c r="A758" s="14"/>
      <c r="J758" s="6"/>
      <c r="K758" s="6"/>
      <c r="L758" s="6"/>
      <c r="N758" s="4"/>
    </row>
    <row r="759">
      <c r="A759" s="14"/>
      <c r="J759" s="6"/>
      <c r="K759" s="6"/>
      <c r="L759" s="6"/>
      <c r="N759" s="4"/>
    </row>
    <row r="760">
      <c r="A760" s="14"/>
      <c r="J760" s="6"/>
      <c r="K760" s="6"/>
      <c r="L760" s="6"/>
      <c r="N760" s="4"/>
    </row>
    <row r="761">
      <c r="A761" s="14"/>
      <c r="J761" s="6"/>
      <c r="K761" s="6"/>
      <c r="L761" s="6"/>
      <c r="N761" s="4"/>
    </row>
    <row r="762">
      <c r="A762" s="14"/>
      <c r="J762" s="6"/>
      <c r="K762" s="6"/>
      <c r="L762" s="6"/>
      <c r="N762" s="4"/>
    </row>
    <row r="763">
      <c r="A763" s="14"/>
      <c r="J763" s="6"/>
      <c r="K763" s="6"/>
      <c r="L763" s="6"/>
      <c r="N763" s="4"/>
    </row>
    <row r="764">
      <c r="A764" s="14"/>
      <c r="J764" s="6"/>
      <c r="K764" s="6"/>
      <c r="L764" s="6"/>
      <c r="N764" s="4"/>
    </row>
    <row r="765">
      <c r="A765" s="14"/>
      <c r="J765" s="6"/>
      <c r="K765" s="6"/>
      <c r="L765" s="6"/>
      <c r="N765" s="4"/>
    </row>
    <row r="766">
      <c r="A766" s="14"/>
      <c r="J766" s="6"/>
      <c r="K766" s="6"/>
      <c r="L766" s="6"/>
      <c r="N766" s="4"/>
    </row>
    <row r="767">
      <c r="A767" s="14"/>
      <c r="J767" s="6"/>
      <c r="K767" s="6"/>
      <c r="L767" s="6"/>
      <c r="N767" s="4"/>
    </row>
    <row r="768">
      <c r="A768" s="14"/>
      <c r="J768" s="6"/>
      <c r="K768" s="6"/>
      <c r="L768" s="6"/>
      <c r="N768" s="4"/>
    </row>
    <row r="769">
      <c r="A769" s="14"/>
      <c r="J769" s="6"/>
      <c r="K769" s="6"/>
      <c r="L769" s="6"/>
      <c r="N769" s="4"/>
    </row>
    <row r="770">
      <c r="A770" s="14"/>
      <c r="J770" s="6"/>
      <c r="K770" s="6"/>
      <c r="L770" s="6"/>
      <c r="N770" s="4"/>
    </row>
    <row r="771">
      <c r="A771" s="14"/>
      <c r="J771" s="6"/>
      <c r="K771" s="6"/>
      <c r="L771" s="6"/>
      <c r="N771" s="4"/>
    </row>
    <row r="772">
      <c r="A772" s="14"/>
      <c r="J772" s="6"/>
      <c r="K772" s="6"/>
      <c r="L772" s="6"/>
      <c r="N772" s="4"/>
    </row>
    <row r="773">
      <c r="A773" s="14"/>
      <c r="J773" s="6"/>
      <c r="K773" s="6"/>
      <c r="L773" s="6"/>
      <c r="N773" s="4"/>
    </row>
    <row r="774">
      <c r="A774" s="14"/>
      <c r="J774" s="6"/>
      <c r="K774" s="6"/>
      <c r="L774" s="6"/>
      <c r="N774" s="4"/>
    </row>
    <row r="775">
      <c r="A775" s="14"/>
      <c r="J775" s="6"/>
      <c r="K775" s="6"/>
      <c r="L775" s="6"/>
      <c r="N775" s="4"/>
    </row>
    <row r="776">
      <c r="A776" s="14"/>
      <c r="J776" s="6"/>
      <c r="K776" s="6"/>
      <c r="L776" s="6"/>
      <c r="N776" s="4"/>
    </row>
    <row r="777">
      <c r="A777" s="14"/>
      <c r="J777" s="6"/>
      <c r="K777" s="6"/>
      <c r="L777" s="6"/>
      <c r="N777" s="4"/>
    </row>
    <row r="778">
      <c r="A778" s="14"/>
      <c r="J778" s="6"/>
      <c r="K778" s="6"/>
      <c r="L778" s="6"/>
      <c r="N778" s="4"/>
    </row>
    <row r="779">
      <c r="A779" s="14"/>
      <c r="J779" s="6"/>
      <c r="K779" s="6"/>
      <c r="L779" s="6"/>
      <c r="N779" s="4"/>
    </row>
    <row r="780">
      <c r="A780" s="14"/>
      <c r="J780" s="6"/>
      <c r="K780" s="6"/>
      <c r="L780" s="6"/>
      <c r="N780" s="4"/>
    </row>
    <row r="781">
      <c r="A781" s="14"/>
      <c r="J781" s="6"/>
      <c r="K781" s="6"/>
      <c r="L781" s="6"/>
      <c r="N781" s="4"/>
    </row>
    <row r="782">
      <c r="A782" s="14"/>
      <c r="J782" s="6"/>
      <c r="K782" s="6"/>
      <c r="L782" s="6"/>
      <c r="N782" s="4"/>
    </row>
    <row r="783">
      <c r="A783" s="14"/>
      <c r="J783" s="6"/>
      <c r="K783" s="6"/>
      <c r="L783" s="6"/>
      <c r="N783" s="4"/>
    </row>
    <row r="784">
      <c r="A784" s="14"/>
      <c r="J784" s="6"/>
      <c r="K784" s="6"/>
      <c r="L784" s="6"/>
      <c r="N784" s="4"/>
    </row>
    <row r="785">
      <c r="A785" s="14"/>
      <c r="J785" s="6"/>
      <c r="K785" s="6"/>
      <c r="L785" s="6"/>
      <c r="N785" s="4"/>
    </row>
    <row r="786">
      <c r="A786" s="14"/>
      <c r="J786" s="6"/>
      <c r="K786" s="6"/>
      <c r="L786" s="6"/>
      <c r="N786" s="4"/>
    </row>
    <row r="787">
      <c r="A787" s="14"/>
      <c r="J787" s="6"/>
      <c r="K787" s="6"/>
      <c r="L787" s="6"/>
      <c r="N787" s="4"/>
    </row>
    <row r="788">
      <c r="A788" s="14"/>
      <c r="J788" s="6"/>
      <c r="K788" s="6"/>
      <c r="L788" s="6"/>
      <c r="N788" s="4"/>
    </row>
    <row r="789">
      <c r="A789" s="14"/>
      <c r="J789" s="6"/>
      <c r="K789" s="6"/>
      <c r="L789" s="6"/>
      <c r="N789" s="4"/>
    </row>
    <row r="790">
      <c r="A790" s="14"/>
      <c r="J790" s="6"/>
      <c r="K790" s="6"/>
      <c r="L790" s="6"/>
      <c r="N790" s="4"/>
    </row>
    <row r="791">
      <c r="A791" s="14"/>
      <c r="J791" s="6"/>
      <c r="K791" s="6"/>
      <c r="L791" s="6"/>
      <c r="N791" s="4"/>
    </row>
    <row r="792">
      <c r="A792" s="14"/>
      <c r="J792" s="6"/>
      <c r="K792" s="6"/>
      <c r="L792" s="6"/>
      <c r="N792" s="4"/>
    </row>
    <row r="793">
      <c r="A793" s="14"/>
      <c r="J793" s="6"/>
      <c r="K793" s="6"/>
      <c r="L793" s="6"/>
      <c r="N793" s="4"/>
    </row>
    <row r="794">
      <c r="A794" s="14"/>
      <c r="J794" s="6"/>
      <c r="K794" s="6"/>
      <c r="L794" s="6"/>
      <c r="N794" s="4"/>
    </row>
    <row r="795">
      <c r="A795" s="14"/>
      <c r="J795" s="6"/>
      <c r="K795" s="6"/>
      <c r="L795" s="6"/>
      <c r="N795" s="4"/>
    </row>
    <row r="796">
      <c r="A796" s="14"/>
      <c r="J796" s="6"/>
      <c r="K796" s="6"/>
      <c r="L796" s="6"/>
      <c r="N796" s="4"/>
    </row>
    <row r="797">
      <c r="A797" s="14"/>
      <c r="J797" s="6"/>
      <c r="K797" s="6"/>
      <c r="L797" s="6"/>
      <c r="N797" s="4"/>
    </row>
    <row r="798">
      <c r="A798" s="14"/>
      <c r="J798" s="6"/>
      <c r="K798" s="6"/>
      <c r="L798" s="6"/>
      <c r="N798" s="4"/>
    </row>
    <row r="799">
      <c r="A799" s="14"/>
      <c r="J799" s="6"/>
      <c r="K799" s="6"/>
      <c r="L799" s="6"/>
      <c r="N799" s="4"/>
    </row>
    <row r="800">
      <c r="A800" s="14"/>
      <c r="J800" s="6"/>
      <c r="K800" s="6"/>
      <c r="L800" s="6"/>
      <c r="N800" s="4"/>
    </row>
    <row r="801">
      <c r="A801" s="14"/>
      <c r="J801" s="6"/>
      <c r="K801" s="6"/>
      <c r="L801" s="6"/>
      <c r="N801" s="4"/>
    </row>
    <row r="802">
      <c r="A802" s="14"/>
      <c r="J802" s="6"/>
      <c r="K802" s="6"/>
      <c r="L802" s="6"/>
      <c r="N802" s="4"/>
    </row>
    <row r="803">
      <c r="A803" s="14"/>
      <c r="J803" s="6"/>
      <c r="K803" s="6"/>
      <c r="L803" s="6"/>
      <c r="N803" s="4"/>
    </row>
    <row r="804">
      <c r="A804" s="14"/>
      <c r="J804" s="6"/>
      <c r="K804" s="6"/>
      <c r="L804" s="6"/>
      <c r="N804" s="4"/>
    </row>
    <row r="805">
      <c r="A805" s="14"/>
      <c r="J805" s="6"/>
      <c r="K805" s="6"/>
      <c r="L805" s="6"/>
      <c r="N805" s="4"/>
    </row>
    <row r="806">
      <c r="A806" s="14"/>
      <c r="J806" s="6"/>
      <c r="K806" s="6"/>
      <c r="L806" s="6"/>
      <c r="N806" s="4"/>
    </row>
    <row r="807">
      <c r="A807" s="14"/>
      <c r="J807" s="6"/>
      <c r="K807" s="6"/>
      <c r="L807" s="6"/>
      <c r="N807" s="4"/>
    </row>
    <row r="808">
      <c r="A808" s="14"/>
      <c r="J808" s="6"/>
      <c r="K808" s="6"/>
      <c r="L808" s="6"/>
      <c r="N808" s="4"/>
    </row>
    <row r="809">
      <c r="A809" s="14"/>
      <c r="J809" s="6"/>
      <c r="K809" s="6"/>
      <c r="L809" s="6"/>
      <c r="N809" s="4"/>
    </row>
    <row r="810">
      <c r="A810" s="14"/>
      <c r="J810" s="6"/>
      <c r="K810" s="6"/>
      <c r="L810" s="6"/>
      <c r="N810" s="4"/>
    </row>
    <row r="811">
      <c r="A811" s="14"/>
      <c r="J811" s="6"/>
      <c r="K811" s="6"/>
      <c r="L811" s="6"/>
      <c r="N811" s="4"/>
    </row>
    <row r="812">
      <c r="A812" s="14"/>
      <c r="J812" s="6"/>
      <c r="K812" s="6"/>
      <c r="L812" s="6"/>
      <c r="N812" s="4"/>
    </row>
    <row r="813">
      <c r="A813" s="14"/>
      <c r="J813" s="6"/>
      <c r="K813" s="6"/>
      <c r="L813" s="6"/>
      <c r="N813" s="4"/>
    </row>
    <row r="814">
      <c r="A814" s="14"/>
      <c r="J814" s="6"/>
      <c r="K814" s="6"/>
      <c r="L814" s="6"/>
      <c r="N814" s="4"/>
    </row>
    <row r="815">
      <c r="A815" s="14"/>
      <c r="J815" s="6"/>
      <c r="K815" s="6"/>
      <c r="L815" s="6"/>
      <c r="N815" s="4"/>
    </row>
    <row r="816">
      <c r="A816" s="14"/>
      <c r="J816" s="6"/>
      <c r="K816" s="6"/>
      <c r="L816" s="6"/>
      <c r="N816" s="4"/>
    </row>
    <row r="817">
      <c r="A817" s="14"/>
      <c r="J817" s="6"/>
      <c r="K817" s="6"/>
      <c r="L817" s="6"/>
      <c r="N817" s="4"/>
    </row>
    <row r="818">
      <c r="A818" s="14"/>
      <c r="J818" s="6"/>
      <c r="K818" s="6"/>
      <c r="L818" s="6"/>
      <c r="N818" s="4"/>
    </row>
    <row r="819">
      <c r="A819" s="14"/>
      <c r="J819" s="6"/>
      <c r="K819" s="6"/>
      <c r="L819" s="6"/>
      <c r="N819" s="4"/>
    </row>
    <row r="820">
      <c r="A820" s="14"/>
      <c r="J820" s="6"/>
      <c r="K820" s="6"/>
      <c r="L820" s="6"/>
      <c r="N820" s="4"/>
    </row>
    <row r="821">
      <c r="A821" s="14"/>
      <c r="J821" s="6"/>
      <c r="K821" s="6"/>
      <c r="L821" s="6"/>
      <c r="N821" s="4"/>
    </row>
    <row r="822">
      <c r="A822" s="14"/>
      <c r="J822" s="6"/>
      <c r="K822" s="6"/>
      <c r="L822" s="6"/>
      <c r="N822" s="4"/>
    </row>
    <row r="823">
      <c r="A823" s="14"/>
      <c r="J823" s="6"/>
      <c r="K823" s="6"/>
      <c r="L823" s="6"/>
      <c r="N823" s="4"/>
    </row>
    <row r="824">
      <c r="A824" s="14"/>
      <c r="J824" s="6"/>
      <c r="K824" s="6"/>
      <c r="L824" s="6"/>
      <c r="N824" s="4"/>
    </row>
    <row r="825">
      <c r="A825" s="14"/>
      <c r="J825" s="6"/>
      <c r="K825" s="6"/>
      <c r="L825" s="6"/>
      <c r="N825" s="4"/>
    </row>
    <row r="826">
      <c r="A826" s="14"/>
      <c r="J826" s="6"/>
      <c r="K826" s="6"/>
      <c r="L826" s="6"/>
      <c r="N826" s="4"/>
    </row>
    <row r="827">
      <c r="A827" s="14"/>
      <c r="J827" s="6"/>
      <c r="K827" s="6"/>
      <c r="L827" s="6"/>
      <c r="N827" s="4"/>
    </row>
    <row r="828">
      <c r="A828" s="14"/>
      <c r="J828" s="6"/>
      <c r="K828" s="6"/>
      <c r="L828" s="6"/>
      <c r="N828" s="4"/>
    </row>
    <row r="829">
      <c r="A829" s="14"/>
      <c r="J829" s="6"/>
      <c r="K829" s="6"/>
      <c r="L829" s="6"/>
      <c r="N829" s="4"/>
    </row>
    <row r="830">
      <c r="A830" s="14"/>
      <c r="J830" s="6"/>
      <c r="K830" s="6"/>
      <c r="L830" s="6"/>
      <c r="N830" s="4"/>
    </row>
    <row r="831">
      <c r="A831" s="14"/>
      <c r="J831" s="6"/>
      <c r="K831" s="6"/>
      <c r="L831" s="6"/>
      <c r="N831" s="4"/>
    </row>
    <row r="832">
      <c r="A832" s="14"/>
      <c r="J832" s="6"/>
      <c r="K832" s="6"/>
      <c r="L832" s="6"/>
      <c r="N832" s="4"/>
    </row>
    <row r="833">
      <c r="A833" s="14"/>
      <c r="J833" s="6"/>
      <c r="K833" s="6"/>
      <c r="L833" s="6"/>
      <c r="N833" s="4"/>
    </row>
    <row r="834">
      <c r="A834" s="14"/>
      <c r="J834" s="6"/>
      <c r="K834" s="6"/>
      <c r="L834" s="6"/>
      <c r="N834" s="4"/>
    </row>
    <row r="835">
      <c r="A835" s="14"/>
      <c r="J835" s="6"/>
      <c r="K835" s="6"/>
      <c r="L835" s="6"/>
      <c r="N835" s="4"/>
    </row>
    <row r="836">
      <c r="A836" s="14"/>
      <c r="J836" s="6"/>
      <c r="K836" s="6"/>
      <c r="L836" s="6"/>
      <c r="N836" s="4"/>
    </row>
    <row r="837">
      <c r="A837" s="14"/>
      <c r="J837" s="6"/>
      <c r="K837" s="6"/>
      <c r="L837" s="6"/>
      <c r="N837" s="4"/>
    </row>
    <row r="838">
      <c r="A838" s="14"/>
      <c r="J838" s="6"/>
      <c r="K838" s="6"/>
      <c r="L838" s="6"/>
      <c r="N838" s="4"/>
    </row>
    <row r="839">
      <c r="A839" s="14"/>
      <c r="J839" s="6"/>
      <c r="K839" s="6"/>
      <c r="L839" s="6"/>
      <c r="N839" s="4"/>
    </row>
    <row r="840">
      <c r="A840" s="14"/>
      <c r="J840" s="6"/>
      <c r="K840" s="6"/>
      <c r="L840" s="6"/>
      <c r="N840" s="4"/>
    </row>
    <row r="841">
      <c r="A841" s="14"/>
      <c r="J841" s="6"/>
      <c r="K841" s="6"/>
      <c r="L841" s="6"/>
      <c r="N841" s="4"/>
    </row>
    <row r="842">
      <c r="A842" s="14"/>
      <c r="J842" s="6"/>
      <c r="K842" s="6"/>
      <c r="L842" s="6"/>
      <c r="N842" s="4"/>
    </row>
    <row r="843">
      <c r="A843" s="14"/>
      <c r="J843" s="6"/>
      <c r="K843" s="6"/>
      <c r="L843" s="6"/>
      <c r="N843" s="4"/>
    </row>
    <row r="844">
      <c r="A844" s="14"/>
      <c r="J844" s="6"/>
      <c r="K844" s="6"/>
      <c r="L844" s="6"/>
      <c r="N844" s="4"/>
    </row>
    <row r="845">
      <c r="A845" s="14"/>
      <c r="J845" s="6"/>
      <c r="K845" s="6"/>
      <c r="L845" s="6"/>
      <c r="N845" s="4"/>
    </row>
    <row r="846">
      <c r="A846" s="14"/>
      <c r="J846" s="6"/>
      <c r="K846" s="6"/>
      <c r="L846" s="6"/>
      <c r="N846" s="4"/>
    </row>
    <row r="847">
      <c r="A847" s="14"/>
      <c r="J847" s="6"/>
      <c r="K847" s="6"/>
      <c r="L847" s="6"/>
      <c r="N847" s="4"/>
    </row>
    <row r="848">
      <c r="A848" s="14"/>
      <c r="J848" s="6"/>
      <c r="K848" s="6"/>
      <c r="L848" s="6"/>
      <c r="N848" s="4"/>
    </row>
    <row r="849">
      <c r="A849" s="14"/>
      <c r="J849" s="6"/>
      <c r="K849" s="6"/>
      <c r="L849" s="6"/>
      <c r="N849" s="4"/>
    </row>
    <row r="850">
      <c r="A850" s="14"/>
      <c r="J850" s="6"/>
      <c r="K850" s="6"/>
      <c r="L850" s="6"/>
      <c r="N850" s="4"/>
    </row>
    <row r="851">
      <c r="A851" s="14"/>
      <c r="J851" s="6"/>
      <c r="K851" s="6"/>
      <c r="L851" s="6"/>
      <c r="N851" s="4"/>
    </row>
    <row r="852">
      <c r="A852" s="14"/>
      <c r="J852" s="6"/>
      <c r="K852" s="6"/>
      <c r="L852" s="6"/>
      <c r="N852" s="4"/>
    </row>
    <row r="853">
      <c r="A853" s="14"/>
      <c r="J853" s="6"/>
      <c r="K853" s="6"/>
      <c r="L853" s="6"/>
      <c r="N853" s="4"/>
    </row>
    <row r="854">
      <c r="A854" s="14"/>
      <c r="J854" s="6"/>
      <c r="K854" s="6"/>
      <c r="L854" s="6"/>
      <c r="N854" s="4"/>
    </row>
    <row r="855">
      <c r="A855" s="14"/>
      <c r="J855" s="6"/>
      <c r="K855" s="6"/>
      <c r="L855" s="6"/>
      <c r="N855" s="4"/>
    </row>
    <row r="856">
      <c r="A856" s="14"/>
      <c r="J856" s="6"/>
      <c r="K856" s="6"/>
      <c r="L856" s="6"/>
      <c r="N856" s="4"/>
    </row>
    <row r="857">
      <c r="A857" s="14"/>
      <c r="J857" s="6"/>
      <c r="K857" s="6"/>
      <c r="L857" s="6"/>
      <c r="N857" s="4"/>
    </row>
    <row r="858">
      <c r="A858" s="14"/>
      <c r="J858" s="6"/>
      <c r="K858" s="6"/>
      <c r="L858" s="6"/>
      <c r="N858" s="4"/>
    </row>
    <row r="859">
      <c r="A859" s="14"/>
      <c r="J859" s="6"/>
      <c r="K859" s="6"/>
      <c r="L859" s="6"/>
      <c r="N859" s="4"/>
    </row>
    <row r="860">
      <c r="A860" s="14"/>
      <c r="J860" s="6"/>
      <c r="K860" s="6"/>
      <c r="L860" s="6"/>
      <c r="N860" s="4"/>
    </row>
    <row r="861">
      <c r="A861" s="14"/>
      <c r="J861" s="6"/>
      <c r="K861" s="6"/>
      <c r="L861" s="6"/>
      <c r="N861" s="4"/>
    </row>
    <row r="862">
      <c r="A862" s="14"/>
      <c r="J862" s="6"/>
      <c r="K862" s="6"/>
      <c r="L862" s="6"/>
      <c r="N862" s="4"/>
    </row>
    <row r="863">
      <c r="A863" s="14"/>
      <c r="J863" s="6"/>
      <c r="K863" s="6"/>
      <c r="L863" s="6"/>
      <c r="N863" s="4"/>
    </row>
    <row r="864">
      <c r="A864" s="14"/>
      <c r="J864" s="6"/>
      <c r="K864" s="6"/>
      <c r="L864" s="6"/>
      <c r="N864" s="4"/>
    </row>
    <row r="865">
      <c r="A865" s="14"/>
      <c r="J865" s="6"/>
      <c r="K865" s="6"/>
      <c r="L865" s="6"/>
      <c r="N865" s="4"/>
    </row>
    <row r="866">
      <c r="A866" s="14"/>
      <c r="J866" s="6"/>
      <c r="K866" s="6"/>
      <c r="L866" s="6"/>
      <c r="N866" s="4"/>
    </row>
    <row r="867">
      <c r="A867" s="14"/>
      <c r="J867" s="6"/>
      <c r="K867" s="6"/>
      <c r="L867" s="6"/>
      <c r="N867" s="4"/>
    </row>
    <row r="868">
      <c r="A868" s="14"/>
      <c r="J868" s="6"/>
      <c r="K868" s="6"/>
      <c r="L868" s="6"/>
      <c r="N868" s="4"/>
    </row>
    <row r="869">
      <c r="A869" s="14"/>
      <c r="J869" s="6"/>
      <c r="K869" s="6"/>
      <c r="L869" s="6"/>
      <c r="N869" s="4"/>
    </row>
    <row r="870">
      <c r="A870" s="14"/>
      <c r="J870" s="6"/>
      <c r="K870" s="6"/>
      <c r="L870" s="6"/>
      <c r="N870" s="4"/>
    </row>
    <row r="871">
      <c r="A871" s="14"/>
      <c r="J871" s="6"/>
      <c r="K871" s="6"/>
      <c r="L871" s="6"/>
      <c r="N871" s="4"/>
    </row>
    <row r="872">
      <c r="A872" s="14"/>
      <c r="J872" s="6"/>
      <c r="K872" s="6"/>
      <c r="L872" s="6"/>
      <c r="N872" s="4"/>
    </row>
    <row r="873">
      <c r="A873" s="14"/>
      <c r="J873" s="6"/>
      <c r="K873" s="6"/>
      <c r="L873" s="6"/>
      <c r="N873" s="4"/>
    </row>
    <row r="874">
      <c r="A874" s="14"/>
      <c r="J874" s="6"/>
      <c r="K874" s="6"/>
      <c r="L874" s="6"/>
      <c r="N874" s="4"/>
    </row>
    <row r="875">
      <c r="A875" s="14"/>
      <c r="J875" s="6"/>
      <c r="K875" s="6"/>
      <c r="L875" s="6"/>
      <c r="N875" s="4"/>
    </row>
    <row r="876">
      <c r="A876" s="14"/>
      <c r="J876" s="6"/>
      <c r="K876" s="6"/>
      <c r="L876" s="6"/>
      <c r="N876" s="4"/>
    </row>
    <row r="877">
      <c r="A877" s="14"/>
      <c r="J877" s="6"/>
      <c r="K877" s="6"/>
      <c r="L877" s="6"/>
      <c r="N877" s="4"/>
    </row>
    <row r="878">
      <c r="A878" s="14"/>
      <c r="J878" s="6"/>
      <c r="K878" s="6"/>
      <c r="L878" s="6"/>
      <c r="N878" s="4"/>
    </row>
    <row r="879">
      <c r="A879" s="14"/>
      <c r="J879" s="6"/>
      <c r="K879" s="6"/>
      <c r="L879" s="6"/>
      <c r="N879" s="4"/>
    </row>
    <row r="880">
      <c r="A880" s="14"/>
      <c r="J880" s="6"/>
      <c r="K880" s="6"/>
      <c r="L880" s="6"/>
      <c r="N880" s="4"/>
    </row>
    <row r="881">
      <c r="A881" s="14"/>
      <c r="J881" s="6"/>
      <c r="K881" s="6"/>
      <c r="L881" s="6"/>
      <c r="N881" s="4"/>
    </row>
    <row r="882">
      <c r="A882" s="14"/>
      <c r="J882" s="6"/>
      <c r="K882" s="6"/>
      <c r="L882" s="6"/>
      <c r="N882" s="4"/>
    </row>
    <row r="883">
      <c r="A883" s="14"/>
      <c r="J883" s="6"/>
      <c r="K883" s="6"/>
      <c r="L883" s="6"/>
      <c r="N883" s="4"/>
    </row>
    <row r="884">
      <c r="A884" s="14"/>
      <c r="J884" s="6"/>
      <c r="K884" s="6"/>
      <c r="L884" s="6"/>
      <c r="N884" s="4"/>
    </row>
    <row r="885">
      <c r="A885" s="14"/>
      <c r="J885" s="6"/>
      <c r="K885" s="6"/>
      <c r="L885" s="6"/>
      <c r="N885" s="4"/>
    </row>
    <row r="886">
      <c r="A886" s="14"/>
      <c r="J886" s="6"/>
      <c r="K886" s="6"/>
      <c r="L886" s="6"/>
      <c r="N886" s="4"/>
    </row>
    <row r="887">
      <c r="A887" s="14"/>
      <c r="J887" s="6"/>
      <c r="K887" s="6"/>
      <c r="L887" s="6"/>
      <c r="N887" s="4"/>
    </row>
    <row r="888">
      <c r="A888" s="14"/>
      <c r="J888" s="6"/>
      <c r="K888" s="6"/>
      <c r="L888" s="6"/>
      <c r="N888" s="4"/>
    </row>
    <row r="889">
      <c r="A889" s="14"/>
      <c r="J889" s="6"/>
      <c r="K889" s="6"/>
      <c r="L889" s="6"/>
      <c r="N889" s="4"/>
    </row>
    <row r="890">
      <c r="A890" s="14"/>
      <c r="J890" s="6"/>
      <c r="K890" s="6"/>
      <c r="L890" s="6"/>
      <c r="N890" s="4"/>
    </row>
    <row r="891">
      <c r="A891" s="14"/>
      <c r="J891" s="6"/>
      <c r="K891" s="6"/>
      <c r="L891" s="6"/>
      <c r="N891" s="4"/>
    </row>
    <row r="892">
      <c r="A892" s="14"/>
      <c r="J892" s="6"/>
      <c r="K892" s="6"/>
      <c r="L892" s="6"/>
      <c r="N892" s="4"/>
    </row>
    <row r="893">
      <c r="A893" s="14"/>
      <c r="J893" s="6"/>
      <c r="K893" s="6"/>
      <c r="L893" s="6"/>
      <c r="N893" s="4"/>
    </row>
    <row r="894">
      <c r="A894" s="14"/>
      <c r="J894" s="6"/>
      <c r="K894" s="6"/>
      <c r="L894" s="6"/>
      <c r="N894" s="4"/>
    </row>
    <row r="895">
      <c r="A895" s="14"/>
      <c r="J895" s="6"/>
      <c r="K895" s="6"/>
      <c r="L895" s="6"/>
      <c r="N895" s="4"/>
    </row>
    <row r="896">
      <c r="A896" s="14"/>
      <c r="J896" s="6"/>
      <c r="K896" s="6"/>
      <c r="L896" s="6"/>
      <c r="N896" s="4"/>
    </row>
    <row r="897">
      <c r="A897" s="14"/>
      <c r="J897" s="6"/>
      <c r="K897" s="6"/>
      <c r="L897" s="6"/>
      <c r="N897" s="4"/>
    </row>
    <row r="898">
      <c r="A898" s="14"/>
      <c r="J898" s="6"/>
      <c r="K898" s="6"/>
      <c r="L898" s="6"/>
      <c r="N898" s="4"/>
    </row>
    <row r="899">
      <c r="A899" s="14"/>
      <c r="J899" s="6"/>
      <c r="K899" s="6"/>
      <c r="L899" s="6"/>
      <c r="N899" s="4"/>
    </row>
    <row r="900">
      <c r="A900" s="14"/>
      <c r="J900" s="6"/>
      <c r="K900" s="6"/>
      <c r="L900" s="6"/>
      <c r="N900" s="4"/>
    </row>
    <row r="901">
      <c r="A901" s="14"/>
      <c r="J901" s="6"/>
      <c r="K901" s="6"/>
      <c r="L901" s="6"/>
      <c r="N901" s="4"/>
    </row>
    <row r="902">
      <c r="A902" s="14"/>
      <c r="J902" s="6"/>
      <c r="K902" s="6"/>
      <c r="L902" s="6"/>
      <c r="N902" s="4"/>
    </row>
    <row r="903">
      <c r="A903" s="14"/>
      <c r="J903" s="6"/>
      <c r="K903" s="6"/>
      <c r="L903" s="6"/>
      <c r="N903" s="4"/>
    </row>
    <row r="904">
      <c r="A904" s="14"/>
      <c r="J904" s="6"/>
      <c r="K904" s="6"/>
      <c r="L904" s="6"/>
      <c r="N904" s="4"/>
    </row>
    <row r="905">
      <c r="A905" s="14"/>
      <c r="J905" s="6"/>
      <c r="K905" s="6"/>
      <c r="L905" s="6"/>
      <c r="N905" s="4"/>
    </row>
    <row r="906">
      <c r="A906" s="14"/>
      <c r="J906" s="6"/>
      <c r="K906" s="6"/>
      <c r="L906" s="6"/>
      <c r="N906" s="4"/>
    </row>
    <row r="907">
      <c r="A907" s="14"/>
      <c r="J907" s="6"/>
      <c r="K907" s="6"/>
      <c r="L907" s="6"/>
      <c r="N907" s="4"/>
    </row>
    <row r="908">
      <c r="A908" s="14"/>
      <c r="J908" s="6"/>
      <c r="K908" s="6"/>
      <c r="L908" s="6"/>
      <c r="N908" s="4"/>
    </row>
    <row r="909">
      <c r="A909" s="14"/>
      <c r="J909" s="6"/>
      <c r="K909" s="6"/>
      <c r="L909" s="6"/>
      <c r="N909" s="4"/>
    </row>
    <row r="910">
      <c r="A910" s="14"/>
      <c r="J910" s="6"/>
      <c r="K910" s="6"/>
      <c r="L910" s="6"/>
      <c r="N910" s="4"/>
    </row>
    <row r="911">
      <c r="A911" s="14"/>
      <c r="J911" s="6"/>
      <c r="K911" s="6"/>
      <c r="L911" s="6"/>
      <c r="N911" s="4"/>
    </row>
    <row r="912">
      <c r="A912" s="14"/>
      <c r="J912" s="6"/>
      <c r="K912" s="6"/>
      <c r="L912" s="6"/>
      <c r="N912" s="4"/>
    </row>
    <row r="913">
      <c r="A913" s="14"/>
      <c r="J913" s="6"/>
      <c r="K913" s="6"/>
      <c r="L913" s="6"/>
      <c r="N913" s="4"/>
    </row>
    <row r="914">
      <c r="A914" s="14"/>
      <c r="J914" s="6"/>
      <c r="K914" s="6"/>
      <c r="L914" s="6"/>
      <c r="N914" s="4"/>
    </row>
    <row r="915">
      <c r="A915" s="14"/>
      <c r="J915" s="6"/>
      <c r="K915" s="6"/>
      <c r="L915" s="6"/>
      <c r="N915" s="4"/>
    </row>
    <row r="916">
      <c r="A916" s="14"/>
      <c r="J916" s="6"/>
      <c r="K916" s="6"/>
      <c r="L916" s="6"/>
      <c r="N916" s="4"/>
    </row>
    <row r="917">
      <c r="A917" s="14"/>
      <c r="J917" s="6"/>
      <c r="K917" s="6"/>
      <c r="L917" s="6"/>
      <c r="N917" s="4"/>
    </row>
    <row r="918">
      <c r="A918" s="14"/>
      <c r="J918" s="6"/>
      <c r="K918" s="6"/>
      <c r="L918" s="6"/>
      <c r="N918" s="4"/>
    </row>
    <row r="919">
      <c r="A919" s="14"/>
      <c r="J919" s="6"/>
      <c r="K919" s="6"/>
      <c r="L919" s="6"/>
      <c r="N919" s="4"/>
    </row>
    <row r="920">
      <c r="A920" s="14"/>
      <c r="J920" s="6"/>
      <c r="K920" s="6"/>
      <c r="L920" s="6"/>
      <c r="N920" s="4"/>
    </row>
    <row r="921">
      <c r="A921" s="14"/>
      <c r="J921" s="6"/>
      <c r="K921" s="6"/>
      <c r="L921" s="6"/>
      <c r="N921" s="4"/>
    </row>
    <row r="922">
      <c r="A922" s="14"/>
      <c r="J922" s="6"/>
      <c r="K922" s="6"/>
      <c r="L922" s="6"/>
      <c r="N922" s="4"/>
    </row>
    <row r="923">
      <c r="A923" s="14"/>
      <c r="J923" s="6"/>
      <c r="K923" s="6"/>
      <c r="L923" s="6"/>
      <c r="N923" s="4"/>
    </row>
  </sheetData>
  <dataValidations>
    <dataValidation type="list" allowBlank="1" showErrorMessage="1" sqref="N1:N923">
      <formula1>"Pending,Approved,Accouting Dept,To Buy,Petty Cash By Branch,To Inventory Dept,Already Request"</formula1>
    </dataValidation>
  </dataValidations>
  <hyperlinks>
    <hyperlink r:id="rId4" ref="Q2"/>
    <hyperlink r:id="rId5" ref="Q3"/>
    <hyperlink r:id="rId6" ref="Q4"/>
    <hyperlink r:id="rId7" ref="Q5"/>
    <hyperlink r:id="rId8" ref="Q6"/>
    <hyperlink r:id="rId9" ref="Q7"/>
    <hyperlink r:id="rId10" ref="Q8"/>
    <hyperlink r:id="rId11" ref="Q9"/>
    <hyperlink r:id="rId12" ref="Q10"/>
    <hyperlink r:id="rId13" ref="Q11"/>
    <hyperlink r:id="rId14" ref="Q12"/>
    <hyperlink r:id="rId15" ref="Q13"/>
    <hyperlink r:id="rId16" ref="Q14"/>
    <hyperlink r:id="rId17" ref="Q15"/>
    <hyperlink r:id="rId18" ref="Q16"/>
    <hyperlink r:id="rId19" ref="Q17"/>
    <hyperlink r:id="rId20" ref="Q18"/>
    <hyperlink r:id="rId21" ref="Q19"/>
    <hyperlink r:id="rId22" ref="Q20"/>
    <hyperlink r:id="rId23" ref="Q21"/>
    <hyperlink r:id="rId24" ref="Q22"/>
    <hyperlink r:id="rId25" ref="Q23"/>
    <hyperlink r:id="rId26" ref="Q24"/>
    <hyperlink r:id="rId27" ref="Q25"/>
    <hyperlink r:id="rId28" ref="Q26"/>
    <hyperlink r:id="rId29" ref="Q27"/>
    <hyperlink r:id="rId30" ref="Q28"/>
    <hyperlink r:id="rId31" ref="Q29"/>
    <hyperlink r:id="rId32" ref="Q30"/>
    <hyperlink r:id="rId33" ref="Q31"/>
    <hyperlink r:id="rId34" ref="Q32"/>
    <hyperlink r:id="rId35" ref="Q33"/>
    <hyperlink r:id="rId36" ref="Q34"/>
    <hyperlink r:id="rId37" ref="Q35"/>
    <hyperlink r:id="rId38" ref="Q36"/>
    <hyperlink r:id="rId39" ref="Q37"/>
    <hyperlink r:id="rId40" ref="Q38"/>
    <hyperlink r:id="rId41" ref="Q39"/>
    <hyperlink r:id="rId42" ref="Q40"/>
    <hyperlink r:id="rId43" ref="Q41"/>
    <hyperlink r:id="rId44" ref="Q42"/>
    <hyperlink r:id="rId45" ref="Q43"/>
    <hyperlink r:id="rId46" ref="Q44"/>
    <hyperlink r:id="rId47" ref="Q45"/>
    <hyperlink r:id="rId48" ref="Q46"/>
    <hyperlink r:id="rId49" ref="Q47"/>
    <hyperlink r:id="rId50" ref="Q48"/>
    <hyperlink r:id="rId51" ref="Q49"/>
    <hyperlink r:id="rId52" ref="Q50"/>
    <hyperlink r:id="rId53" ref="Q51"/>
    <hyperlink r:id="rId54" ref="Q52"/>
    <hyperlink r:id="rId55" ref="Q53"/>
    <hyperlink r:id="rId56" ref="Q54"/>
    <hyperlink r:id="rId57" ref="Q55"/>
    <hyperlink r:id="rId58" ref="Q56"/>
    <hyperlink r:id="rId59" ref="Q57"/>
    <hyperlink r:id="rId60" ref="Q58"/>
    <hyperlink r:id="rId61" ref="Q59"/>
    <hyperlink r:id="rId62" ref="Q60"/>
    <hyperlink r:id="rId63" ref="Q61"/>
    <hyperlink r:id="rId64" ref="Q62"/>
    <hyperlink r:id="rId65" ref="Q63"/>
    <hyperlink r:id="rId66" ref="Q64"/>
    <hyperlink r:id="rId67" ref="Q65"/>
    <hyperlink r:id="rId68" ref="Q66"/>
    <hyperlink r:id="rId69" ref="Q67"/>
    <hyperlink r:id="rId70" ref="Q68"/>
    <hyperlink r:id="rId71" ref="Q69"/>
    <hyperlink r:id="rId72" ref="Q70"/>
    <hyperlink r:id="rId73" ref="Q71"/>
    <hyperlink r:id="rId74" ref="Q72"/>
    <hyperlink r:id="rId75" ref="Q73"/>
    <hyperlink r:id="rId76" ref="Q74"/>
    <hyperlink r:id="rId77" ref="Q75"/>
    <hyperlink r:id="rId78" ref="Q76"/>
    <hyperlink r:id="rId79" ref="Q77"/>
    <hyperlink r:id="rId80" ref="Q78"/>
    <hyperlink r:id="rId81" ref="Q79"/>
    <hyperlink r:id="rId82" ref="Q80"/>
    <hyperlink r:id="rId83" ref="Q81"/>
    <hyperlink r:id="rId84" ref="Q82"/>
    <hyperlink r:id="rId85" ref="Q83"/>
    <hyperlink r:id="rId86" ref="Q84"/>
    <hyperlink r:id="rId87" ref="Q85"/>
    <hyperlink r:id="rId88" ref="Q86"/>
    <hyperlink r:id="rId89" ref="Q87"/>
    <hyperlink r:id="rId90" ref="Q88"/>
    <hyperlink r:id="rId91" ref="Q89"/>
    <hyperlink r:id="rId92" ref="Q90"/>
    <hyperlink r:id="rId93" ref="Q91"/>
    <hyperlink r:id="rId94" ref="Q92"/>
    <hyperlink r:id="rId95" ref="Q93"/>
    <hyperlink r:id="rId96" ref="Q94"/>
    <hyperlink r:id="rId97" ref="Q95"/>
    <hyperlink r:id="rId98" ref="Q96"/>
    <hyperlink r:id="rId99" ref="Q97"/>
    <hyperlink r:id="rId100" ref="Q98"/>
    <hyperlink r:id="rId101" ref="Q99"/>
    <hyperlink r:id="rId102" ref="Q100"/>
    <hyperlink r:id="rId103" ref="Q101"/>
    <hyperlink r:id="rId104" ref="Q102"/>
    <hyperlink r:id="rId105" ref="Q103"/>
    <hyperlink r:id="rId106" ref="Q104"/>
    <hyperlink r:id="rId107" ref="Q105"/>
    <hyperlink r:id="rId108" ref="Q106"/>
    <hyperlink r:id="rId109" ref="Q107"/>
    <hyperlink r:id="rId110" ref="Q108"/>
    <hyperlink r:id="rId111" ref="Q109"/>
    <hyperlink r:id="rId112" ref="Q110"/>
    <hyperlink r:id="rId113" ref="Q111"/>
    <hyperlink r:id="rId114" ref="Q112"/>
    <hyperlink r:id="rId115" ref="Q113"/>
    <hyperlink r:id="rId116" ref="Q114"/>
    <hyperlink r:id="rId117" ref="Q115"/>
    <hyperlink r:id="rId118" ref="Q116"/>
    <hyperlink r:id="rId119" ref="Q117"/>
    <hyperlink r:id="rId120" ref="Q118"/>
    <hyperlink r:id="rId121" ref="Q119"/>
    <hyperlink r:id="rId122" ref="Q120"/>
    <hyperlink r:id="rId123" ref="Q121"/>
    <hyperlink r:id="rId124" ref="Q122"/>
    <hyperlink r:id="rId125" ref="Q123"/>
    <hyperlink r:id="rId126" ref="Q124"/>
    <hyperlink r:id="rId127" ref="Q125"/>
    <hyperlink r:id="rId128" ref="Q126"/>
    <hyperlink r:id="rId129" ref="Q127"/>
    <hyperlink r:id="rId130" ref="Q128"/>
    <hyperlink r:id="rId131" ref="Q129"/>
    <hyperlink r:id="rId132" ref="Q130"/>
    <hyperlink r:id="rId133" ref="Q131"/>
    <hyperlink r:id="rId134" ref="Q132"/>
    <hyperlink r:id="rId135" ref="Q133"/>
    <hyperlink r:id="rId136" ref="Q134"/>
    <hyperlink r:id="rId137" ref="Q135"/>
    <hyperlink r:id="rId138" ref="Q136"/>
    <hyperlink r:id="rId139" ref="Q137"/>
    <hyperlink r:id="rId140" ref="Q138"/>
    <hyperlink r:id="rId141" ref="Q139"/>
    <hyperlink r:id="rId142" ref="Q140"/>
    <hyperlink r:id="rId143" ref="Q141"/>
    <hyperlink r:id="rId144" ref="Q142"/>
    <hyperlink r:id="rId145" ref="Q143"/>
    <hyperlink r:id="rId146" ref="Q144"/>
    <hyperlink r:id="rId147" ref="Q145"/>
    <hyperlink r:id="rId148" ref="Q146"/>
    <hyperlink r:id="rId149" ref="Q147"/>
    <hyperlink r:id="rId150" ref="Q148"/>
    <hyperlink r:id="rId151" ref="Q149"/>
    <hyperlink r:id="rId152" ref="Q150"/>
    <hyperlink r:id="rId153" ref="Q151"/>
    <hyperlink r:id="rId154" ref="Q152"/>
    <hyperlink r:id="rId155" ref="Q153"/>
    <hyperlink r:id="rId156" ref="Q154"/>
    <hyperlink r:id="rId157" ref="Q155"/>
    <hyperlink r:id="rId158" ref="Q156"/>
    <hyperlink r:id="rId159" ref="Q157"/>
    <hyperlink r:id="rId160" ref="Q158"/>
    <hyperlink r:id="rId161" ref="Q159"/>
    <hyperlink r:id="rId162" ref="Q160"/>
    <hyperlink r:id="rId163" ref="Q161"/>
    <hyperlink r:id="rId164" ref="Q162"/>
    <hyperlink r:id="rId165" ref="Q163"/>
    <hyperlink r:id="rId166" ref="Q164"/>
    <hyperlink r:id="rId167" ref="Q165"/>
    <hyperlink r:id="rId168" ref="Q166"/>
    <hyperlink r:id="rId169" ref="Q167"/>
    <hyperlink r:id="rId170" ref="Q168"/>
    <hyperlink r:id="rId171" ref="Q169"/>
    <hyperlink r:id="rId172" ref="Q170"/>
    <hyperlink r:id="rId173" ref="Q171"/>
    <hyperlink r:id="rId174" ref="Q172"/>
    <hyperlink r:id="rId175" ref="Q173"/>
    <hyperlink r:id="rId176" ref="Q174"/>
    <hyperlink r:id="rId177" ref="Q175"/>
    <hyperlink r:id="rId178" ref="Q176"/>
    <hyperlink r:id="rId179" ref="Q177"/>
    <hyperlink r:id="rId180" ref="Q178"/>
    <hyperlink r:id="rId181" ref="Q179"/>
    <hyperlink r:id="rId182" ref="Q180"/>
    <hyperlink r:id="rId183" ref="Q181"/>
    <hyperlink r:id="rId184" ref="Q182"/>
    <hyperlink r:id="rId185" ref="Q183"/>
    <hyperlink r:id="rId186" ref="Q184"/>
    <hyperlink r:id="rId187" ref="Q185"/>
    <hyperlink r:id="rId188" ref="Q186"/>
    <hyperlink r:id="rId189" ref="Q187"/>
    <hyperlink r:id="rId190" ref="Q188"/>
    <hyperlink r:id="rId191" ref="Q189"/>
    <hyperlink r:id="rId192" ref="Q190"/>
    <hyperlink r:id="rId193" ref="Q191"/>
    <hyperlink r:id="rId194" ref="Q192"/>
    <hyperlink r:id="rId195" ref="Q193"/>
    <hyperlink r:id="rId196" ref="Q194"/>
    <hyperlink r:id="rId197" ref="Q195"/>
    <hyperlink r:id="rId198" ref="Q196"/>
    <hyperlink r:id="rId199" ref="Q197"/>
    <hyperlink r:id="rId200" ref="Q198"/>
    <hyperlink r:id="rId201" ref="Q199"/>
    <hyperlink r:id="rId202" ref="Q200"/>
    <hyperlink r:id="rId203" ref="Q201"/>
    <hyperlink r:id="rId204" ref="Q202"/>
    <hyperlink r:id="rId205" ref="Q203"/>
    <hyperlink r:id="rId206" ref="Q204"/>
    <hyperlink r:id="rId207" ref="Q205"/>
    <hyperlink r:id="rId208" ref="Q206"/>
    <hyperlink r:id="rId209" ref="Q207"/>
    <hyperlink r:id="rId210" ref="Q208"/>
    <hyperlink r:id="rId211" ref="Q209"/>
    <hyperlink r:id="rId212" ref="Q210"/>
    <hyperlink r:id="rId213" ref="Q211"/>
    <hyperlink r:id="rId214" ref="Q212"/>
    <hyperlink r:id="rId215" ref="Q213"/>
    <hyperlink r:id="rId216" ref="Q214"/>
    <hyperlink r:id="rId217" ref="Q215"/>
    <hyperlink r:id="rId218" ref="Q216"/>
    <hyperlink r:id="rId219" ref="Q217"/>
    <hyperlink r:id="rId220" ref="Q218"/>
    <hyperlink r:id="rId221" ref="Q219"/>
    <hyperlink r:id="rId222" ref="Q220"/>
    <hyperlink r:id="rId223" ref="Q221"/>
    <hyperlink r:id="rId224" ref="Q222"/>
    <hyperlink r:id="rId225" ref="Q223"/>
    <hyperlink r:id="rId226" ref="Q224"/>
    <hyperlink r:id="rId227" ref="Q225"/>
    <hyperlink r:id="rId228" ref="Q226"/>
  </hyperlinks>
  <drawing r:id="rId229"/>
  <legacyDrawing r:id="rId2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1.63"/>
    <col customWidth="1" min="2" max="2" width="6.25"/>
    <col customWidth="1" min="3" max="3" width="12.13"/>
    <col customWidth="1" min="4" max="4" width="84.88"/>
    <col customWidth="1" min="5" max="7" width="10.88"/>
    <col customWidth="1" min="8" max="8" width="27.13"/>
    <col customWidth="1" min="9" max="9" width="16.5"/>
  </cols>
  <sheetData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1.63"/>
    <col customWidth="1" min="2" max="2" width="5.38"/>
    <col customWidth="1" min="3" max="3" width="6.88"/>
    <col customWidth="1" min="4" max="4" width="56.75"/>
    <col customWidth="1" min="5" max="5" width="10.0"/>
    <col customWidth="1" min="6" max="6" width="9.13"/>
    <col customWidth="1" min="7" max="7" width="6.13"/>
  </cols>
  <sheetData>
    <row r="1"/>
    <row r="2"/>
    <row r="3"/>
    <row r="4"/>
    <row r="5"/>
    <row r="6"/>
    <row r="7"/>
    <row r="8"/>
    <row r="9"/>
    <row r="10"/>
    <row r="11"/>
    <row r="13">
      <c r="F13" s="15"/>
    </row>
    <row r="15">
      <c r="F15" s="16"/>
    </row>
    <row r="16">
      <c r="F16" s="1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13"/>
    <col customWidth="1" min="3" max="3" width="33.0"/>
    <col customWidth="1" min="4" max="26" width="12.63"/>
  </cols>
  <sheetData>
    <row r="1">
      <c r="A1" s="2" t="s">
        <v>500</v>
      </c>
      <c r="B1" s="2" t="s">
        <v>1</v>
      </c>
      <c r="C1" s="2" t="s">
        <v>501</v>
      </c>
    </row>
    <row r="2">
      <c r="A2" s="2" t="s">
        <v>502</v>
      </c>
      <c r="B2" s="2" t="s">
        <v>91</v>
      </c>
      <c r="C2" s="2" t="s">
        <v>503</v>
      </c>
    </row>
    <row r="3">
      <c r="A3" s="2" t="s">
        <v>504</v>
      </c>
      <c r="B3" s="2" t="s">
        <v>18</v>
      </c>
      <c r="C3" s="2" t="s">
        <v>505</v>
      </c>
    </row>
    <row r="4">
      <c r="A4" s="2" t="s">
        <v>506</v>
      </c>
      <c r="B4" s="2" t="s">
        <v>101</v>
      </c>
      <c r="C4" s="2" t="s">
        <v>507</v>
      </c>
    </row>
    <row r="5">
      <c r="A5" s="2" t="s">
        <v>508</v>
      </c>
      <c r="B5" s="2" t="s">
        <v>95</v>
      </c>
      <c r="C5" s="2" t="s">
        <v>509</v>
      </c>
    </row>
    <row r="6">
      <c r="A6" s="2" t="s">
        <v>510</v>
      </c>
      <c r="B6" s="2" t="s">
        <v>36</v>
      </c>
      <c r="C6" s="2" t="s">
        <v>511</v>
      </c>
    </row>
    <row r="7">
      <c r="A7" s="2" t="s">
        <v>512</v>
      </c>
      <c r="B7" s="2" t="s">
        <v>40</v>
      </c>
      <c r="C7" s="2" t="s">
        <v>513</v>
      </c>
    </row>
    <row r="8">
      <c r="A8" s="2" t="s">
        <v>514</v>
      </c>
      <c r="B8" s="2" t="s">
        <v>47</v>
      </c>
      <c r="C8" s="2" t="s">
        <v>515</v>
      </c>
    </row>
    <row r="9">
      <c r="A9" s="2" t="s">
        <v>516</v>
      </c>
      <c r="B9" s="2" t="s">
        <v>71</v>
      </c>
      <c r="C9" s="2" t="s">
        <v>517</v>
      </c>
    </row>
    <row r="10">
      <c r="A10" s="2" t="s">
        <v>518</v>
      </c>
      <c r="B10" s="2" t="s">
        <v>313</v>
      </c>
      <c r="C10" s="2" t="s">
        <v>519</v>
      </c>
    </row>
    <row r="11">
      <c r="A11" s="2" t="s">
        <v>520</v>
      </c>
      <c r="B11" s="2" t="s">
        <v>65</v>
      </c>
      <c r="C11" s="2" t="s">
        <v>521</v>
      </c>
    </row>
    <row r="12">
      <c r="A12" s="2" t="s">
        <v>522</v>
      </c>
      <c r="B12" s="2" t="s">
        <v>164</v>
      </c>
      <c r="C12" s="2" t="s">
        <v>523</v>
      </c>
    </row>
    <row r="13">
      <c r="A13" s="2" t="s">
        <v>524</v>
      </c>
      <c r="B13" s="2" t="s">
        <v>220</v>
      </c>
      <c r="C13" s="2" t="s">
        <v>525</v>
      </c>
    </row>
    <row r="14">
      <c r="A14" s="2" t="s">
        <v>526</v>
      </c>
      <c r="B14" s="2" t="s">
        <v>105</v>
      </c>
      <c r="C14" s="2" t="s">
        <v>527</v>
      </c>
    </row>
    <row r="15">
      <c r="A15" s="2" t="s">
        <v>528</v>
      </c>
      <c r="B15" s="2" t="s">
        <v>307</v>
      </c>
      <c r="C15" s="2" t="s">
        <v>529</v>
      </c>
    </row>
    <row r="16">
      <c r="A16" s="2" t="s">
        <v>530</v>
      </c>
      <c r="B16" s="2" t="s">
        <v>183</v>
      </c>
      <c r="C16" s="2" t="s">
        <v>531</v>
      </c>
    </row>
    <row r="17">
      <c r="A17" s="2" t="s">
        <v>532</v>
      </c>
      <c r="B17" s="2" t="s">
        <v>29</v>
      </c>
      <c r="C17" s="2" t="s">
        <v>533</v>
      </c>
    </row>
    <row r="18">
      <c r="A18" s="2" t="s">
        <v>534</v>
      </c>
      <c r="B18" s="2" t="s">
        <v>149</v>
      </c>
      <c r="C18" s="2" t="s">
        <v>535</v>
      </c>
    </row>
    <row r="19">
      <c r="A19" s="2" t="s">
        <v>536</v>
      </c>
      <c r="B19" s="2" t="s">
        <v>174</v>
      </c>
      <c r="C19" s="2" t="s">
        <v>537</v>
      </c>
    </row>
    <row r="20">
      <c r="A20" s="2" t="s">
        <v>538</v>
      </c>
      <c r="B20" s="2" t="s">
        <v>75</v>
      </c>
      <c r="C20" s="2" t="s">
        <v>539</v>
      </c>
    </row>
    <row r="21">
      <c r="A21" s="2" t="s">
        <v>540</v>
      </c>
      <c r="B21" s="2" t="s">
        <v>26</v>
      </c>
      <c r="C21" s="2" t="s">
        <v>541</v>
      </c>
    </row>
    <row r="22">
      <c r="A22" s="2" t="s">
        <v>542</v>
      </c>
      <c r="B22" s="2" t="s">
        <v>244</v>
      </c>
      <c r="C22" s="2" t="s">
        <v>543</v>
      </c>
    </row>
    <row r="23">
      <c r="A23" s="2" t="s">
        <v>544</v>
      </c>
      <c r="B23" s="2" t="s">
        <v>43</v>
      </c>
      <c r="C23" s="2" t="s">
        <v>545</v>
      </c>
    </row>
    <row r="24">
      <c r="A24" s="2" t="s">
        <v>546</v>
      </c>
      <c r="B24" s="2" t="s">
        <v>200</v>
      </c>
      <c r="C24" s="2" t="s">
        <v>547</v>
      </c>
    </row>
    <row r="25">
      <c r="A25" s="2" t="s">
        <v>548</v>
      </c>
      <c r="B25" s="2" t="s">
        <v>89</v>
      </c>
      <c r="C25" s="2" t="s">
        <v>549</v>
      </c>
    </row>
    <row r="26">
      <c r="A26" s="2" t="s">
        <v>550</v>
      </c>
      <c r="B26" s="2" t="s">
        <v>51</v>
      </c>
      <c r="C26" s="2" t="s">
        <v>551</v>
      </c>
    </row>
    <row r="27">
      <c r="A27" s="2" t="s">
        <v>552</v>
      </c>
      <c r="B27" s="2" t="s">
        <v>62</v>
      </c>
      <c r="C27" s="2" t="s">
        <v>553</v>
      </c>
    </row>
    <row r="28">
      <c r="A28" s="2" t="s">
        <v>554</v>
      </c>
      <c r="B28" s="2" t="s">
        <v>132</v>
      </c>
      <c r="C28" s="2" t="s">
        <v>555</v>
      </c>
    </row>
    <row r="29">
      <c r="A29" s="2" t="s">
        <v>556</v>
      </c>
      <c r="B29" s="2" t="s">
        <v>108</v>
      </c>
      <c r="C29" s="2" t="s">
        <v>557</v>
      </c>
    </row>
    <row r="30">
      <c r="A30" s="2" t="s">
        <v>558</v>
      </c>
      <c r="B30" s="2" t="s">
        <v>144</v>
      </c>
      <c r="C30" s="2" t="s">
        <v>559</v>
      </c>
    </row>
    <row r="31">
      <c r="A31" s="2" t="s">
        <v>560</v>
      </c>
      <c r="B31" s="2" t="s">
        <v>376</v>
      </c>
      <c r="C31" s="2" t="s">
        <v>561</v>
      </c>
    </row>
    <row r="32">
      <c r="A32" s="2" t="s">
        <v>562</v>
      </c>
      <c r="B32" s="2" t="s">
        <v>55</v>
      </c>
      <c r="C32" s="2" t="s">
        <v>563</v>
      </c>
    </row>
    <row r="33">
      <c r="A33" s="2" t="s">
        <v>564</v>
      </c>
      <c r="B33" s="2" t="s">
        <v>382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13"/>
    <col customWidth="1" min="2" max="2" width="7.63"/>
    <col customWidth="1" min="3" max="3" width="40.63"/>
    <col customWidth="1" min="4" max="4" width="7.63"/>
    <col customWidth="1" min="5" max="5" width="10.75"/>
  </cols>
  <sheetData>
    <row r="1">
      <c r="A1" s="18" t="s">
        <v>1</v>
      </c>
      <c r="B1" s="2" t="s">
        <v>5</v>
      </c>
      <c r="C1" s="2" t="s">
        <v>8</v>
      </c>
      <c r="D1" s="2" t="s">
        <v>565</v>
      </c>
      <c r="E1" s="2" t="s">
        <v>566</v>
      </c>
      <c r="F1" s="2" t="s">
        <v>0</v>
      </c>
    </row>
    <row r="2" ht="15.0" customHeight="1">
      <c r="A2" s="2" t="str">
        <f>IFERROR(__xludf.DUMMYFUNCTION("ARRAYFORMULA(
  QUERY(
    {
      IFERROR(FILTER(ADMIN!B:B, ADMIN!N:N=""Approved"")),
      IFERROR(FILTER(ADMIN!F:F, ADMIN!N:N=""Approved"")),
      IFERROR(FILTER(ADMIN!I:I, ADMIN!N:N=""Approved"")),
      IFERROR(FILTER(ADMIN!G:G, ADMIN!N:N=""Approved"&amp;""")),
      IFERROR(FILTER(ADMIN!K:K, ADMIN!N:N=""Approved""));
      IFERROR(FILTER(WAREHOUSE!B:B, WAREHOUSE!N:N=""Approved"")),
      IFERROR(FILTER(WAREHOUSE!F:F, WAREHOUSE!N:N=""Approved"")),
      IFERROR(FILTER(WAREHOUSE!I:I, WAREHOUSE!N:N="""&amp;"Approved"")),
      IFERROR(FILTER(WAREHOUSE!G:G, WAREHOUSE!N:N=""Approved"")),
      IFERROR(FILTER(WAREHOUSE!K:K, WAREHOUSE!N:N=""Approved""));
      IFERROR(FILTER(LAGTANG!B:B, LAGTANG!N:N=""Approved"")),
      IFERROR(FILTER(LAGTANG!F:F, LAGTAN"&amp;"G!N:N=""Approved"")),
      IFERROR(FILTER(LAGTANG!I:I, LAGTANG!N:N=""Approved"")),
      IFERROR(FILTER(LAGTANG!G:G, LAGTANG!N:N=""Approved"")),
      IFERROR(FILTER(LAGTANG!K:K, LAGTANG!N:N=""Approved""));
      IFERROR(FILTER('V-RAMA'!B:B, 'V-RA"&amp;"MA'!N:N=""Approved"")),
      IFERROR(FILTER('V-RAMA'!F:F, 'V-RAMA'!N:N=""Approved"")),
      IFERROR(FILTER('V-RAMA'!I:I, 'V-RAMA'!N:N=""Approved"")),
      IFERROR(FILTER('V-RAMA'!G:G, 'V-RAMA'!N:N=""Approved"")),
      IFERROR(FILTER('V-RAMA'!K:K, 'V-R"&amp;"AMA'!N:N=""Approved""));
      IFERROR(FILTER(BULACAO!B:B, BULACAO!N:N=""Approved"")),
      IFERROR(FILTER(BULACAO!F:F, BULACAO!N:N=""Approved"")),
      IFERROR(FILTER(BULACAO!I:I, BULACAO!N:N=""Approved"")),
      IFERROR(FILTER(BULACAO!G:G, BUL"&amp;"ACAO!N:N=""Approved"")),
      IFERROR(FILTER(BULACAO!K:K, BULACAO!N:N=""Approved""));
      IFERROR(FILTER('Y3S TALISAY'!B:B, 'Y3S TALISAY'!N:N=""Approved"")),
      IFERROR(FILTER('Y3S TALISAY'!F:F, 'Y3S TALISAY'!N:N=""Approved"")),
      IFERROR"&amp;"(FILTER('Y3S TALISAY'!I:I, 'Y3S TALISAY'!N:N=""Approved"")),
      IFERROR(FILTER('Y3S TALISAY'!G:G, 'Y3S TALISAY'!N:N=""Approved"")),
      IFERROR(FILTER('Y3S TALISAY'!K:K, 'Y3S TALISAY'!N:N=""Approved""));
      IFERROR(FILTER(MINGLANILLA!B:B, M"&amp;"INGLANILLA!N:N=""Approved"")),
      IFERROR(FILTER(MINGLANILLA!F:F, MINGLANILLA!N:N=""Approved"")),
      IFERROR(FILTER(MINGLANILLA!I:I, MINGLANILLA!N:N=""Approved"")),
      IFERROR(FILTER(MINGLANILLA!G:G, MINGLANILLA!N:N=""Approved"")),
      IFERROR("&amp;"FILTER(MINGLANILLA!K:K, MINGLANILLA!N:N=""Approved""));
      IFERROR(FILTER('Y3S PARDO'!B:B, 'Y3S PARDO'!N:N=""Approved"")),
      IFERROR(FILTER('Y3S PARDO'!F:F, 'Y3S PARDO'!N:N=""Approved"")),
      IFERROR(FILTER('Y3S PARDO'!I:I, 'Y3S PARDO'!N:"&amp;"N=""Approved"")),
      IFERROR(FILTER('Y3S PARDO'!G:G, 'Y3S PARDO'!N:N=""Approved"")),
      IFERROR(FILTER('Y3S PARDO'!K:K, 'Y3S PARDO'!N:N=""Approved""));
      IFERROR(FILTER('LAPU-LAPU'!B:B, 'LAPU-LAPU'!N:N=""Approved"")),
      IFERROR(FILTER"&amp;"('LAPU-LAPU'!F:F, 'LAPU-LAPU'!N:N=""Approved"")),
      IFERROR(FILTER('LAPU-LAPU'!I:I, 'LAPU-LAPU'!N:N=""Approved"")),
      IFERROR(FILTER('LAPU-LAPU'!G:G, 'LAPU-LAPU'!N:N=""Approved"")),
      IFERROR(FILTER('LAPU-LAPU'!K:K, 'LAPU-LAPU'!N:N=""Approved"&amp;"""));
      IFERROR(FILTER(BACAYAN!B:B, BACAYAN!N:N=""Approved"")),
      IFERROR(FILTER(BACAYAN!F:F, BACAYAN!N:N=""Approved"")),
      IFERROR(FILTER(BACAYAN!I:I, BACAYAN!N:N=""Approved"")),
      IFERROR(FILTER(BACAYAN!G:G, BACAYAN!N:N=""Approved"&amp;""")),
      IFERROR(FILTER(BACAYAN!K:K, BACAYAN!N:N=""Approved""));
      IFERROR(FILTER('SAN FERNANDO MB'!B:B, 'SAN FERNANDO MB'!N:N=""Approved"")),
      IFERROR(FILTER('SAN FERNANDO MB'!F:F, 'SAN FERNANDO MB'!N:N=""Approved"")),
      IFERROR(FI"&amp;"LTER('SAN FERNANDO MB'!I:I, 'SAN FERNANDO MB'!N:N=""Approved"")),
      IFERROR(FILTER('SAN FERNANDO MB'!G:G, 'SAN FERNANDO MB'!N:N=""Approved"")),
      IFERROR(FILTER('SAN FERNANDO MB'!K:K, 'SAN FERNANDO MB'!N:N=""Approved""));
      IFERROR(FILT"&amp;"ER('Y3S SAN FERNANDO'!B:B, 'Y3S SAN FERNANDO'!N:N=""Approved"")),
      IFERROR(FILTER('Y3S SAN FERNANDO'!F:F, 'Y3S SAN FERNANDO'!N:N=""Approved"")),
      IFERROR(FILTER('Y3S SAN FERNANDO'!I:I, 'Y3S SAN FERNANDO'!N:N=""Approved"")),
      IFERROR(FILTER("&amp;"'Y3S SAN FERNANDO'!G:G, 'Y3S SAN FERNANDO'!N:N=""Approved"")),
      IFERROR(FILTER('Y3S SAN FERNANDO'!K:K, 'Y3S SAN FERNANDO'!N:N=""Approved""));
      IFERROR(FILTER(LILOAN!B:B, LILOAN!N:N=""Approved"")),
      IFERROR(FILTER(LILOAN!F:F, LILOAN!N"&amp;":N=""Approved"")),
      IFERROR(FILTER(LILOAN!I:I, LILOAN!N:N=""Approved"")),
      IFERROR(FILTER(LILOAN!G:G, LILOAN!N:N=""Approved"")),
      IFERROR(FILTER(LILOAN!K:K, LILOAN!N:N=""Approved""));
      IFERROR(FILTER('CORDOVA MB'!B:B, 'CORDOVA M"&amp;"B'!N:N=""Approved"")),
      IFERROR(FILTER('CORDOVA MB'!F:F, 'CORDOVA MB'!N:N=""Approved"")),
      IFERROR(FILTER('CORDOVA MB'!I:I, 'CORDOVA MB'!N:N=""Approved"")),
      IFERROR(FILTER('CORDOVA MB'!G:G, 'CORDOVA MB'!N:N=""Approved"")),
      IFERROR(FI"&amp;"LTER('CORDOVA MB'!K:K, 'CORDOVA MB'!N:N=""Approved""));
      IFERROR(FILTER('Y3S CORDOVA'!B:B, 'Y3S CORDOVA'!N:N=""Approved"")),
      IFERROR(FILTER('Y3S CORDOVA'!F:F, 'Y3S CORDOVA'!N:N=""Approved"")),
      IFERROR(FILTER('Y3S CORDOVA'!I:I, 'Y3S"&amp;" CORDOVA'!N:N=""Approved"")),
      IFERROR(FILTER('Y3S CORDOVA'!G:G, 'Y3S CORDOVA'!N:N=""Approved"")),
      IFERROR(FILTER('Y3S CORDOVA'!K:K, 'Y3S CORDOVA'!N:N=""Approved""));
      IFERROR(FILTER(CLARIN!B:B, CLARIN!N:N=""Approved"")),
      IFER"&amp;"ROR(FILTER(CLARIN!F:F, CLARIN!N:N=""Approved"")),
      IFERROR(FILTER(CLARIN!I:I, CLARIN!N:N=""Approved"")),
      IFERROR(FILTER(CLARIN!G:G, CLARIN!N:N=""Approved"")),
      IFERROR(FILTER(CLARIN!K:K, CLARIN!N:N=""Approved""));
      IFERROR(FILT"&amp;"ER(TOLEDO!B:B, TOLEDO!N:N=""Approved"")),
      IFERROR(FILTER(TOLEDO!F:F, TOLEDO!N:N=""Approved"")),
      IFERROR(FILTER(TOLEDO!I:I, TOLEDO!N:N=""Approved"")),
      IFERROR(FILTER(TOLEDO!G:G, TOLEDO!N:N=""Approved"")),
      IFERROR(FILTER(TOLEDO!K:K, "&amp;"TOLEDO!N:N=""Approved""));
      IFERROR(FILTER(UBAY!B:B, UBAY!N:N=""Approved"")),
      IFERROR(FILTER(UBAY!F:F, UBAY!N:N=""Approved"")),
      IFERROR(FILTER(UBAY!I:I, UBAY!N:N=""Approved"")),
      IFERROR(FILTER(UBAY!G:G, UBAY!N:N=""Approved"")"&amp;"),
      IFERROR(FILTER(UBAY!K:K, UBAY!N:N=""Approved""));
      IFERROR(FILTER(CARMEN!B:B, CARMEN!N:N=""Approved"")),
      IFERROR(FILTER(CARMEN!F:F, CARMEN!N:N=""Approved"")),
      IFERROR(FILTER(CARMEN!I:I, CARMEN!N:N=""Approved"")),
      IFE"&amp;"RROR(FILTER(CARMEN!G:G, CARMEN!N:N=""Approved"")),
      IFERROR(FILTER(CARMEN!K:K, CARMEN!N:N=""Approved""));
      IFERROR(FILTER(TUBIGON!B:B, TUBIGON!N:N=""Approved"")),
      IFERROR(FILTER(TUBIGON!F:F, TUBIGON!N:N=""Approved"")),
      IFERROR"&amp;"(FILTER(TUBIGON!I:I, TUBIGON!N:N=""Approved"")),
      IFERROR(FILTER(TUBIGON!G:G, TUBIGON!N:N=""Approved"")),
      IFERROR(FILTER(TUBIGON!K:K, TUBIGON!N:N=""Approved""));
      IFERROR(FILTER(TALIBON!B:B, TALIBON!N:N=""Approved"")),
      IFERROR"&amp;"(FILTER(TALIBON!F:F, TALIBON!N:N=""Approved"")),
      IFERROR(FILTER(TALIBON!I:I, TALIBON!N:N=""Approved"")),
      IFERROR(FILTER(TALIBON!G:G, TALIBON!N:N=""Approved"")),
      IFERROR(FILTER(TALIBON!K:K, TALIBON!N:N=""Approved""));
      IFERROR"&amp;"(FILTER(BOGO!B:B, BOGO!N:N=""Approved"")),
      IFERROR(FILTER(BOGO!F:F, BOGO!N:N=""Approved"")),
      IFERROR(FILTER(BOGO!I:I, BOGO!N:N=""Approved"")),
      IFERROR(FILTER(BOGO!G:G, BOGO!N:N=""Approved"")),
      IFERROR(FILTER(BOGO!K:K, BOGO!N:N=""Ap"&amp;"proved""));
      IFERROR(FILTER(BALAMBAN!B:B, BALAMBAN!N:N=""Approved"")),
      IFERROR(FILTER(BALAMBAN!F:F, BALAMBAN!N:N=""Approved"")),
      IFERROR(FILTER(BALAMBAN!I:I, BALAMBAN!N:N=""Approved"")),
      IFERROR(FILTER(BALAMBAN!G:G, BALAMBAN!"&amp;"N:N=""Approved"")),
      IFERROR(FILTER(BALAMBAN!K:K, BALAMBAN!N:N=""Approved""));
      IFERROR(FILTER('Y3S BARILI'!B:B, 'Y3S BARILI'!N:N=""Approved"")),
      IFERROR(FILTER('Y3S BARILI'!F:F, 'Y3S BARILI'!N:N=""Approved"")),
      IFERROR(FILTER"&amp;"('Y3S BARILI'!I:I, 'Y3S BARILI'!N:N=""Approved"")),
      IFERROR(FILTER('Y3S BARILI'!G:G, 'Y3S BARILI'!N:N=""Approved"")),
      IFERROR(FILTER('Y3S BARILI'!K:K, 'Y3S BARILI'!N:N=""Approved""));
      IFERROR(FILTER('BARILI MB'!B:B, 'BARILI MB'!N:"&amp;"N=""Approved"")),
      IFERROR(FILTER('BARILI MB'!F:F, 'BARILI MB'!N:N=""Approved"")),
      IFERROR(FILTER('BARILI MB'!I:I, 'BARILI MB'!N:N=""Approved"")),
      IFERROR(FILTER('BARILI MB'!G:G, 'BARILI MB'!N:N=""Approved"")),
      IFERROR(FILTER('BARIL"&amp;"I MB'!K:K, 'BARILI MB'!N:N=""Approved""));
      IFERROR(FILTER('SIERRA BULLONES'!B:B, 'SIERRA BULLONES'!N:N=""Approved"")),
      IFERROR(FILTER('SIERRA BULLONES'!F:F, 'SIERRA BULLONES'!N:N=""Approved"")),
      IFERROR(FILTER('SIERRA BULLONES'!I:"&amp;"I, 'SIERRA BULLONES'!N:N=""Approved"")),
      IFERROR(FILTER('SIERRA BULLONES'!G:G, 'SIERRA BULLONES'!N:N=""Approved"")),
      IFERROR(FILTER('SIERRA BULLONES'!K:K, 'SIERRA BULLONES'!N:N=""Approved""));
      IFERROR(FILTER(PITOGO!B:B, PITOGO!N:N"&amp;"=""Approved"")),
      IFERROR(FILTER(PITOGO!F:F, PITOGO!N:N=""Approved"")),
      IFERROR(FILTER(PITOGO!I:I, PITOGO!N:N=""Approved"")),
      IFERROR(FILTER(PITOGO!G:G, PITOGO!N:N=""Approved"")),
      IFERROR(FILTER(PITOGO!K:K, PITOGO!N:N=""Approved""))"&amp;";
      IFERROR(FILTER('TAYUD CONSOLACION'!B:B, 'TAYUD CONSOLACION'!N:N=""Approved"")),
      IFERROR(FILTER('TAYUD CONSOLACION'!F:F, 'TAYUD CONSOLACION'!N:N=""Approved"")),
      IFERROR(FILTER('TAYUD CONSOLACION'!I:I, 'TAYUD CONSOLACION'!N:N=""Ap"&amp;"proved"")),
      IFERROR(FILTER('TAYUD CONSOLACION'!G:G, 'TAYUD CONSOLACION'!N:N=""Approved"")),
      IFERROR(FILTER('TAYUD CONSOLACION'!K:K, 'TAYUD CONSOLACION'!N:N=""Approved""));
      IFERROR(FILTER(PINAMUNGAJAN!B:B, PINAMUNGAJAN!N:N=""Approv"&amp;"ed"")),
      IFERROR(FILTER(PINAMUNGAJAN!F:F, PINAMUNGAJAN!N:N=""Approved"")),
      IFERROR(FILTER(PINAMUNGAJAN!I:I, PINAMUNGAJAN!N:N=""Approved"")),
      IFERROR(FILTER(PINAMUNGAJAN!G:G, PINAMUNGAJAN!N:N=""Approved"")),
      IFERROR(FILTER(PINAMUNGAJ"&amp;"AN!K:K, PINAMUNGAJAN!N:N=""Approved""));
      IFERROR(FILTER(CANDIJAY!B:B, CANDIJAY!N:N=""Approved"")),
      IFERROR(FILTER(CANDIJAY!F:F, CANDIJAY!N:N=""Approved"")),
      IFERROR(FILTER(CANDIJAY!I:I, CANDIJAY!N:N=""Approved"")),
      IFERROR(F"&amp;"ILTER(CANDIJAY!G:G, CANDIJAY!N:N=""Approved"")),
      IFERROR(FILTER(CANDIJAY!K:K, CANDIJAY!N:N=""Approved""));
      IFERROR(FILTER('YATI LILOAN'!B:B, 'YATI LILOAN'!N:N=""Approved"")),
      IFERROR(FILTER('YATI LILOAN'!F:F, 'YATI LILOAN'!N:N=""A"&amp;"pproved"")),
      IFERROR(FILTER('YATI LILOAN'!I:I, 'YATI LILOAN'!N:N=""Approved"")),
      IFERROR(FILTER('YATI LILOAN'!G:G, 'YATI LILOAN'!N:N=""Approved"")),
      IFERROR(FILTER('YATI LILOAN'!K:K, 'YATI LILOAN'!N:N=""Approved""));
      IFERROR("&amp;"FILTER(CAMOTES!B:B, CAMOTES!N:N=""Approved"")),
      IFERROR(FILTER(CAMOTES!F:F, CAMOTES!N:N=""Approved"")),
      IFERROR(FILTER(CAMOTES!I:I, CAMOTES!N:N=""Approved"")),
      IFERROR(FILTER(CAMOTES!G:G, CAMOTES!N:N=""Approved"")),
      IFERROR(FILTER("&amp;"CAMOTES!K:K, CAMOTES!N:N=""Approved""))
    },
    ""select * where Col1 is not null""
  )
)"),"ADMIN")</f>
        <v>ADMIN</v>
      </c>
      <c r="B2" s="4" t="str">
        <f>IFERROR(__xludf.DUMMYFUNCTION("""COMPUTED_VALUE"""),"ITM007")</f>
        <v>ITM007</v>
      </c>
      <c r="C2" s="4" t="str">
        <f>IFERROR(__xludf.DUMMYFUNCTION("""COMPUTED_VALUE"""),"LOGBOOK VALIANT RECORD (150 &amp; 300P PAGES)")</f>
        <v>LOGBOOK VALIANT RECORD (150 &amp; 300P PAGES)</v>
      </c>
      <c r="D2" s="19">
        <f>IFERROR(__xludf.DUMMYFUNCTION("""COMPUTED_VALUE"""),1.0)</f>
        <v>1</v>
      </c>
      <c r="E2" s="19">
        <f>IFERROR(__xludf.DUMMYFUNCTION("""COMPUTED_VALUE"""),0.0)</f>
        <v>0</v>
      </c>
    </row>
    <row r="3">
      <c r="A3" s="2" t="str">
        <f>IFERROR(__xludf.DUMMYFUNCTION("""COMPUTED_VALUE"""),"ADMIN")</f>
        <v>ADMIN</v>
      </c>
      <c r="B3" s="4" t="str">
        <f>IFERROR(__xludf.DUMMYFUNCTION("""COMPUTED_VALUE"""),"ITM003")</f>
        <v>ITM003</v>
      </c>
      <c r="C3" s="4" t="str">
        <f>IFERROR(__xludf.DUMMYFUNCTION("""COMPUTED_VALUE"""),"BOND PAPER A4")</f>
        <v>BOND PAPER A4</v>
      </c>
      <c r="D3" s="19">
        <f>IFERROR(__xludf.DUMMYFUNCTION("""COMPUTED_VALUE"""),1.0)</f>
        <v>1</v>
      </c>
      <c r="E3" s="19">
        <f>IFERROR(__xludf.DUMMYFUNCTION("""COMPUTED_VALUE"""),0.0)</f>
        <v>0</v>
      </c>
    </row>
    <row r="4">
      <c r="A4" s="4" t="str">
        <f>IFERROR(__xludf.DUMMYFUNCTION("""COMPUTED_VALUE"""),"ADMIN")</f>
        <v>ADMIN</v>
      </c>
      <c r="B4" s="4" t="str">
        <f>IFERROR(__xludf.DUMMYFUNCTION("""COMPUTED_VALUE"""),"ITM001")</f>
        <v>ITM001</v>
      </c>
      <c r="C4" s="4" t="str">
        <f>IFERROR(__xludf.DUMMYFUNCTION("""COMPUTED_VALUE"""),"BOND PAPER (LONG)")</f>
        <v>BOND PAPER (LONG)</v>
      </c>
      <c r="D4" s="19">
        <f>IFERROR(__xludf.DUMMYFUNCTION("""COMPUTED_VALUE"""),1.0)</f>
        <v>1</v>
      </c>
      <c r="E4" s="19">
        <f>IFERROR(__xludf.DUMMYFUNCTION("""COMPUTED_VALUE"""),0.0)</f>
        <v>0</v>
      </c>
    </row>
    <row r="5">
      <c r="A5" s="4" t="str">
        <f>IFERROR(__xludf.DUMMYFUNCTION("""COMPUTED_VALUE"""),"ADMIN")</f>
        <v>ADMIN</v>
      </c>
      <c r="B5" s="4" t="str">
        <f>IFERROR(__xludf.DUMMYFUNCTION("""COMPUTED_VALUE"""),"ITM023")</f>
        <v>ITM023</v>
      </c>
      <c r="C5" s="4" t="str">
        <f>IFERROR(__xludf.DUMMYFUNCTION("""COMPUTED_VALUE"""),"HIGHLIGHTER")</f>
        <v>HIGHLIGHTER</v>
      </c>
      <c r="D5" s="19">
        <f>IFERROR(__xludf.DUMMYFUNCTION("""COMPUTED_VALUE"""),1.0)</f>
        <v>1</v>
      </c>
      <c r="E5" s="19">
        <f>IFERROR(__xludf.DUMMYFUNCTION("""COMPUTED_VALUE"""),0.0)</f>
        <v>0</v>
      </c>
    </row>
    <row r="6">
      <c r="A6" s="4" t="str">
        <f>IFERROR(__xludf.DUMMYFUNCTION("""COMPUTED_VALUE"""),"ADMIN")</f>
        <v>ADMIN</v>
      </c>
      <c r="B6" s="4" t="str">
        <f>IFERROR(__xludf.DUMMYFUNCTION("""COMPUTED_VALUE"""),"ITM002")</f>
        <v>ITM002</v>
      </c>
      <c r="C6" s="4" t="str">
        <f>IFERROR(__xludf.DUMMYFUNCTION("""COMPUTED_VALUE"""),"BOND PAPER (SHORT)")</f>
        <v>BOND PAPER (SHORT)</v>
      </c>
      <c r="D6" s="19">
        <f>IFERROR(__xludf.DUMMYFUNCTION("""COMPUTED_VALUE"""),1.0)</f>
        <v>1</v>
      </c>
      <c r="E6" s="19">
        <f>IFERROR(__xludf.DUMMYFUNCTION("""COMPUTED_VALUE"""),0.0)</f>
        <v>0</v>
      </c>
    </row>
    <row r="7">
      <c r="A7" s="4" t="str">
        <f>IFERROR(__xludf.DUMMYFUNCTION("""COMPUTED_VALUE"""),"ADMIN")</f>
        <v>ADMIN</v>
      </c>
      <c r="B7" s="4" t="str">
        <f>IFERROR(__xludf.DUMMYFUNCTION("""COMPUTED_VALUE"""),"ITM031")</f>
        <v>ITM031</v>
      </c>
      <c r="C7" s="4" t="str">
        <f>IFERROR(__xludf.DUMMYFUNCTION("""COMPUTED_VALUE"""),"SCISSORS")</f>
        <v>SCISSORS</v>
      </c>
      <c r="D7" s="19">
        <f>IFERROR(__xludf.DUMMYFUNCTION("""COMPUTED_VALUE"""),1.0)</f>
        <v>1</v>
      </c>
      <c r="E7" s="19">
        <f>IFERROR(__xludf.DUMMYFUNCTION("""COMPUTED_VALUE"""),0.0)</f>
        <v>0</v>
      </c>
    </row>
    <row r="8">
      <c r="A8" s="4" t="str">
        <f>IFERROR(__xludf.DUMMYFUNCTION("""COMPUTED_VALUE"""),"ADMIN")</f>
        <v>ADMIN</v>
      </c>
      <c r="B8" s="4" t="str">
        <f>IFERROR(__xludf.DUMMYFUNCTION("""COMPUTED_VALUE"""),"ITM027")</f>
        <v>ITM027</v>
      </c>
      <c r="C8" s="4" t="str">
        <f>IFERROR(__xludf.DUMMYFUNCTION("""COMPUTED_VALUE"""),"CORRECTION TAPE")</f>
        <v>CORRECTION TAPE</v>
      </c>
      <c r="D8" s="19">
        <f>IFERROR(__xludf.DUMMYFUNCTION("""COMPUTED_VALUE"""),1.0)</f>
        <v>1</v>
      </c>
      <c r="E8" s="19">
        <f>IFERROR(__xludf.DUMMYFUNCTION("""COMPUTED_VALUE"""),0.0)</f>
        <v>0</v>
      </c>
    </row>
    <row r="9">
      <c r="A9" s="4" t="str">
        <f>IFERROR(__xludf.DUMMYFUNCTION("""COMPUTED_VALUE"""),"ADMIN")</f>
        <v>ADMIN</v>
      </c>
      <c r="B9" s="4" t="str">
        <f>IFERROR(__xludf.DUMMYFUNCTION("""COMPUTED_VALUE"""),"ITM019")</f>
        <v>ITM019</v>
      </c>
      <c r="C9" s="4" t="str">
        <f>IFERROR(__xludf.DUMMYFUNCTION("""COMPUTED_VALUE"""),"FLEXSTICK BLACK BALLPEN (0.5)")</f>
        <v>FLEXSTICK BLACK BALLPEN (0.5)</v>
      </c>
      <c r="D9" s="19">
        <f>IFERROR(__xludf.DUMMYFUNCTION("""COMPUTED_VALUE"""),1.0)</f>
        <v>1</v>
      </c>
      <c r="E9" s="19">
        <f>IFERROR(__xludf.DUMMYFUNCTION("""COMPUTED_VALUE"""),0.0)</f>
        <v>0</v>
      </c>
    </row>
    <row r="10">
      <c r="A10" s="4" t="str">
        <f>IFERROR(__xludf.DUMMYFUNCTION("""COMPUTED_VALUE"""),"ADMIN")</f>
        <v>ADMIN</v>
      </c>
      <c r="B10" s="4" t="str">
        <f>IFERROR(__xludf.DUMMYFUNCTION("""COMPUTED_VALUE"""),"ITM020")</f>
        <v>ITM020</v>
      </c>
      <c r="C10" s="4" t="str">
        <f>IFERROR(__xludf.DUMMYFUNCTION("""COMPUTED_VALUE"""),"FLEXSTICK RED BALLPEN (0.5)")</f>
        <v>FLEXSTICK RED BALLPEN (0.5)</v>
      </c>
      <c r="D10" s="19">
        <f>IFERROR(__xludf.DUMMYFUNCTION("""COMPUTED_VALUE"""),1.0)</f>
        <v>1</v>
      </c>
      <c r="E10" s="19">
        <f>IFERROR(__xludf.DUMMYFUNCTION("""COMPUTED_VALUE"""),0.0)</f>
        <v>0</v>
      </c>
    </row>
    <row r="11">
      <c r="A11" s="4" t="str">
        <f>IFERROR(__xludf.DUMMYFUNCTION("""COMPUTED_VALUE"""),"ADMIN")</f>
        <v>ADMIN</v>
      </c>
      <c r="B11" s="4" t="str">
        <f>IFERROR(__xludf.DUMMYFUNCTION("""COMPUTED_VALUE"""),"ITM031")</f>
        <v>ITM031</v>
      </c>
      <c r="C11" s="4" t="str">
        <f>IFERROR(__xludf.DUMMYFUNCTION("""COMPUTED_VALUE"""),"SCISSORS")</f>
        <v>SCISSORS</v>
      </c>
      <c r="D11" s="19">
        <f>IFERROR(__xludf.DUMMYFUNCTION("""COMPUTED_VALUE"""),1.0)</f>
        <v>1</v>
      </c>
      <c r="E11" s="19">
        <f>IFERROR(__xludf.DUMMYFUNCTION("""COMPUTED_VALUE"""),0.0)</f>
        <v>0</v>
      </c>
    </row>
    <row r="12">
      <c r="A12" s="4" t="str">
        <f>IFERROR(__xludf.DUMMYFUNCTION("""COMPUTED_VALUE"""),"ADMIN")</f>
        <v>ADMIN</v>
      </c>
      <c r="B12" s="4" t="str">
        <f>IFERROR(__xludf.DUMMYFUNCTION("""COMPUTED_VALUE"""),"ITM034")</f>
        <v>ITM034</v>
      </c>
      <c r="C12" s="4" t="str">
        <f>IFERROR(__xludf.DUMMYFUNCTION("""COMPUTED_VALUE"""),"CALCULATOR MX-12B")</f>
        <v>CALCULATOR MX-12B</v>
      </c>
      <c r="D12" s="20">
        <f>IFERROR(__xludf.DUMMYFUNCTION("""COMPUTED_VALUE"""),1.0)</f>
        <v>1</v>
      </c>
      <c r="E12" s="19">
        <f>IFERROR(__xludf.DUMMYFUNCTION("""COMPUTED_VALUE"""),0.0)</f>
        <v>0</v>
      </c>
    </row>
    <row r="13">
      <c r="A13" s="4" t="str">
        <f>IFERROR(__xludf.DUMMYFUNCTION("""COMPUTED_VALUE"""),"ADMIN")</f>
        <v>ADMIN</v>
      </c>
      <c r="B13" s="4" t="str">
        <f>IFERROR(__xludf.DUMMYFUNCTION("""COMPUTED_VALUE"""),"ITM074")</f>
        <v>ITM074</v>
      </c>
      <c r="C13" s="4" t="str">
        <f>IFERROR(__xludf.DUMMYFUNCTION("""COMPUTED_VALUE"""),"STAPLE WIRE #35")</f>
        <v>STAPLE WIRE #35</v>
      </c>
      <c r="D13" s="19">
        <f>IFERROR(__xludf.DUMMYFUNCTION("""COMPUTED_VALUE"""),1.0)</f>
        <v>1</v>
      </c>
      <c r="E13" s="19">
        <f>IFERROR(__xludf.DUMMYFUNCTION("""COMPUTED_VALUE"""),0.0)</f>
        <v>0</v>
      </c>
      <c r="G13" s="21"/>
    </row>
    <row r="14">
      <c r="A14" s="4" t="str">
        <f>IFERROR(__xludf.DUMMYFUNCTION("""COMPUTED_VALUE"""),"ADMIN")</f>
        <v>ADMIN</v>
      </c>
      <c r="B14" s="4" t="str">
        <f>IFERROR(__xludf.DUMMYFUNCTION("""COMPUTED_VALUE"""),"ITM030")</f>
        <v>ITM030</v>
      </c>
      <c r="C14" s="4" t="str">
        <f>IFERROR(__xludf.DUMMYFUNCTION("""COMPUTED_VALUE"""),"STAPLER")</f>
        <v>STAPLER</v>
      </c>
      <c r="D14" s="19">
        <f>IFERROR(__xludf.DUMMYFUNCTION("""COMPUTED_VALUE"""),1.0)</f>
        <v>1</v>
      </c>
      <c r="E14" s="19">
        <f>IFERROR(__xludf.DUMMYFUNCTION("""COMPUTED_VALUE"""),0.0)</f>
        <v>0</v>
      </c>
    </row>
    <row r="15">
      <c r="A15" s="4" t="str">
        <f>IFERROR(__xludf.DUMMYFUNCTION("""COMPUTED_VALUE"""),"ADMIN")</f>
        <v>ADMIN</v>
      </c>
      <c r="B15" s="4" t="str">
        <f>IFERROR(__xludf.DUMMYFUNCTION("""COMPUTED_VALUE"""),"ITM002")</f>
        <v>ITM002</v>
      </c>
      <c r="C15" s="4" t="str">
        <f>IFERROR(__xludf.DUMMYFUNCTION("""COMPUTED_VALUE"""),"BOND PAPER (SHORT)")</f>
        <v>BOND PAPER (SHORT)</v>
      </c>
      <c r="D15" s="19">
        <f>IFERROR(__xludf.DUMMYFUNCTION("""COMPUTED_VALUE"""),1.0)</f>
        <v>1</v>
      </c>
      <c r="E15" s="19">
        <f>IFERROR(__xludf.DUMMYFUNCTION("""COMPUTED_VALUE"""),0.0)</f>
        <v>0</v>
      </c>
    </row>
    <row r="16">
      <c r="A16" s="4" t="str">
        <f>IFERROR(__xludf.DUMMYFUNCTION("""COMPUTED_VALUE"""),"ADMIN")</f>
        <v>ADMIN</v>
      </c>
      <c r="B16" s="4" t="str">
        <f>IFERROR(__xludf.DUMMYFUNCTION("""COMPUTED_VALUE"""),"ITM004")</f>
        <v>ITM004</v>
      </c>
      <c r="C16" s="4" t="str">
        <f>IFERROR(__xludf.DUMMYFUNCTION("""COMPUTED_VALUE"""),"BOND PAPER NEWSPRINT (SHORT)")</f>
        <v>BOND PAPER NEWSPRINT (SHORT)</v>
      </c>
      <c r="D16" s="19">
        <f>IFERROR(__xludf.DUMMYFUNCTION("""COMPUTED_VALUE"""),1.0)</f>
        <v>1</v>
      </c>
      <c r="E16" s="19">
        <f>IFERROR(__xludf.DUMMYFUNCTION("""COMPUTED_VALUE"""),0.0)</f>
        <v>0</v>
      </c>
    </row>
    <row r="17">
      <c r="A17" s="4" t="str">
        <f>IFERROR(__xludf.DUMMYFUNCTION("""COMPUTED_VALUE"""),"ADMIN")</f>
        <v>ADMIN</v>
      </c>
      <c r="B17" s="4" t="str">
        <f>IFERROR(__xludf.DUMMYFUNCTION("""COMPUTED_VALUE"""),"ITM093")</f>
        <v>ITM093</v>
      </c>
      <c r="C17" s="4" t="str">
        <f>IFERROR(__xludf.DUMMYFUNCTION("""COMPUTED_VALUE"""),"TRASH BAG (XXL)")</f>
        <v>TRASH BAG (XXL)</v>
      </c>
      <c r="D17" s="19">
        <f>IFERROR(__xludf.DUMMYFUNCTION("""COMPUTED_VALUE"""),1.0)</f>
        <v>1</v>
      </c>
      <c r="E17" s="19">
        <f>IFERROR(__xludf.DUMMYFUNCTION("""COMPUTED_VALUE"""),0.0)</f>
        <v>0</v>
      </c>
    </row>
    <row r="18">
      <c r="A18" s="4" t="str">
        <f>IFERROR(__xludf.DUMMYFUNCTION("""COMPUTED_VALUE"""),"ADMIN")</f>
        <v>ADMIN</v>
      </c>
      <c r="B18" s="4" t="str">
        <f>IFERROR(__xludf.DUMMYFUNCTION("""COMPUTED_VALUE"""),"ITM095")</f>
        <v>ITM095</v>
      </c>
      <c r="C18" s="4" t="str">
        <f>IFERROR(__xludf.DUMMYFUNCTION("""COMPUTED_VALUE"""),"TRASH BAG (LARGE)")</f>
        <v>TRASH BAG (LARGE)</v>
      </c>
      <c r="D18" s="19">
        <f>IFERROR(__xludf.DUMMYFUNCTION("""COMPUTED_VALUE"""),1.0)</f>
        <v>1</v>
      </c>
      <c r="E18" s="19">
        <f>IFERROR(__xludf.DUMMYFUNCTION("""COMPUTED_VALUE"""),0.0)</f>
        <v>0</v>
      </c>
    </row>
    <row r="19">
      <c r="A19" s="4" t="str">
        <f>IFERROR(__xludf.DUMMYFUNCTION("""COMPUTED_VALUE"""),"WAREHOUSE")</f>
        <v>WAREHOUSE</v>
      </c>
      <c r="B19" s="4" t="str">
        <f>IFERROR(__xludf.DUMMYFUNCTION("""COMPUTED_VALUE"""),"ITM038")</f>
        <v>ITM038</v>
      </c>
      <c r="C19" s="4" t="str">
        <f>IFERROR(__xludf.DUMMYFUNCTION("""COMPUTED_VALUE"""),"MASKING TAPE")</f>
        <v>MASKING TAPE</v>
      </c>
      <c r="D19" s="19">
        <f>IFERROR(__xludf.DUMMYFUNCTION("""COMPUTED_VALUE"""),3.0)</f>
        <v>3</v>
      </c>
      <c r="E19" s="19">
        <f>IFERROR(__xludf.DUMMYFUNCTION("""COMPUTED_VALUE"""),0.0)</f>
        <v>0</v>
      </c>
    </row>
    <row r="20">
      <c r="A20" s="4" t="str">
        <f>IFERROR(__xludf.DUMMYFUNCTION("""COMPUTED_VALUE"""),"WAREHOUSE")</f>
        <v>WAREHOUSE</v>
      </c>
      <c r="B20" s="4" t="str">
        <f>IFERROR(__xludf.DUMMYFUNCTION("""COMPUTED_VALUE"""),"ITM056")</f>
        <v>ITM056</v>
      </c>
      <c r="C20" s="4" t="str">
        <f>IFERROR(__xludf.DUMMYFUNCTION("""COMPUTED_VALUE"""),"PRIDE SOAP POWDER")</f>
        <v>PRIDE SOAP POWDER</v>
      </c>
      <c r="D20" s="19">
        <f>IFERROR(__xludf.DUMMYFUNCTION("""COMPUTED_VALUE"""),10.0)</f>
        <v>10</v>
      </c>
      <c r="E20" s="19">
        <f>IFERROR(__xludf.DUMMYFUNCTION("""COMPUTED_VALUE"""),0.0)</f>
        <v>0</v>
      </c>
    </row>
    <row r="21">
      <c r="A21" s="4" t="str">
        <f>IFERROR(__xludf.DUMMYFUNCTION("""COMPUTED_VALUE"""),"WAREHOUSE")</f>
        <v>WAREHOUSE</v>
      </c>
      <c r="B21" s="4" t="str">
        <f>IFERROR(__xludf.DUMMYFUNCTION("""COMPUTED_VALUE"""),"ITM061")</f>
        <v>ITM061</v>
      </c>
      <c r="C21" s="4" t="str">
        <f>IFERROR(__xludf.DUMMYFUNCTION("""COMPUTED_VALUE"""),"JOY")</f>
        <v>JOY</v>
      </c>
      <c r="D21" s="19">
        <f>IFERROR(__xludf.DUMMYFUNCTION("""COMPUTED_VALUE"""),3.0)</f>
        <v>3</v>
      </c>
      <c r="E21" s="19">
        <f>IFERROR(__xludf.DUMMYFUNCTION("""COMPUTED_VALUE"""),0.0)</f>
        <v>0</v>
      </c>
    </row>
    <row r="22">
      <c r="A22" s="4" t="str">
        <f>IFERROR(__xludf.DUMMYFUNCTION("""COMPUTED_VALUE"""),"WAREHOUSE")</f>
        <v>WAREHOUSE</v>
      </c>
      <c r="B22" s="4" t="str">
        <f>IFERROR(__xludf.DUMMYFUNCTION("""COMPUTED_VALUE"""),"ITM002")</f>
        <v>ITM002</v>
      </c>
      <c r="C22" s="4" t="str">
        <f>IFERROR(__xludf.DUMMYFUNCTION("""COMPUTED_VALUE"""),"BOND PAPER (SHORT)")</f>
        <v>BOND PAPER (SHORT)</v>
      </c>
      <c r="D22" s="19">
        <f>IFERROR(__xludf.DUMMYFUNCTION("""COMPUTED_VALUE"""),1.0)</f>
        <v>1</v>
      </c>
      <c r="E22" s="19">
        <f>IFERROR(__xludf.DUMMYFUNCTION("""COMPUTED_VALUE"""),0.0)</f>
        <v>0</v>
      </c>
    </row>
    <row r="23">
      <c r="A23" s="4" t="str">
        <f>IFERROR(__xludf.DUMMYFUNCTION("""COMPUTED_VALUE"""),"WAREHOUSE")</f>
        <v>WAREHOUSE</v>
      </c>
      <c r="B23" s="4" t="str">
        <f>IFERROR(__xludf.DUMMYFUNCTION("""COMPUTED_VALUE"""),"ITM092")</f>
        <v>ITM092</v>
      </c>
      <c r="C23" s="4" t="str">
        <f>IFERROR(__xludf.DUMMYFUNCTION("""COMPUTED_VALUE"""),"RAGS")</f>
        <v>RAGS</v>
      </c>
      <c r="D23" s="19">
        <f>IFERROR(__xludf.DUMMYFUNCTION("""COMPUTED_VALUE"""),1.0)</f>
        <v>1</v>
      </c>
      <c r="E23" s="19">
        <f>IFERROR(__xludf.DUMMYFUNCTION("""COMPUTED_VALUE"""),0.0)</f>
        <v>0</v>
      </c>
    </row>
    <row r="24">
      <c r="A24" s="4" t="str">
        <f>IFERROR(__xludf.DUMMYFUNCTION("""COMPUTED_VALUE"""),"WAREHOUSE")</f>
        <v>WAREHOUSE</v>
      </c>
      <c r="B24" s="4" t="str">
        <f>IFERROR(__xludf.DUMMYFUNCTION("""COMPUTED_VALUE"""),"ITM079")</f>
        <v>ITM079</v>
      </c>
      <c r="C24" s="4" t="str">
        <f>IFERROR(__xludf.DUMMYFUNCTION("""COMPUTED_VALUE"""),"DRINKING CUPS")</f>
        <v>DRINKING CUPS</v>
      </c>
      <c r="D24" s="19">
        <f>IFERROR(__xludf.DUMMYFUNCTION("""COMPUTED_VALUE"""),1.0)</f>
        <v>1</v>
      </c>
      <c r="E24" s="19">
        <f>IFERROR(__xludf.DUMMYFUNCTION("""COMPUTED_VALUE"""),0.0)</f>
        <v>0</v>
      </c>
    </row>
    <row r="25">
      <c r="A25" s="4" t="str">
        <f>IFERROR(__xludf.DUMMYFUNCTION("""COMPUTED_VALUE"""),"LAGTANG")</f>
        <v>LAGTANG</v>
      </c>
      <c r="B25" s="4" t="str">
        <f>IFERROR(__xludf.DUMMYFUNCTION("""COMPUTED_VALUE"""),"ITM002")</f>
        <v>ITM002</v>
      </c>
      <c r="C25" s="4" t="str">
        <f>IFERROR(__xludf.DUMMYFUNCTION("""COMPUTED_VALUE"""),"BOND PAPER (SHORT)")</f>
        <v>BOND PAPER (SHORT)</v>
      </c>
      <c r="D25" s="19">
        <f>IFERROR(__xludf.DUMMYFUNCTION("""COMPUTED_VALUE"""),1.0)</f>
        <v>1</v>
      </c>
      <c r="E25" s="19">
        <f>IFERROR(__xludf.DUMMYFUNCTION("""COMPUTED_VALUE"""),0.0)</f>
        <v>0</v>
      </c>
    </row>
    <row r="26">
      <c r="A26" s="4" t="str">
        <f>IFERROR(__xludf.DUMMYFUNCTION("""COMPUTED_VALUE"""),"LAGTANG")</f>
        <v>LAGTANG</v>
      </c>
      <c r="B26" s="4" t="str">
        <f>IFERROR(__xludf.DUMMYFUNCTION("""COMPUTED_VALUE"""),"ITM012")</f>
        <v>ITM012</v>
      </c>
      <c r="C26" s="4" t="str">
        <f>IFERROR(__xludf.DUMMYFUNCTION("""COMPUTED_VALUE"""),"BROWN FOLDER (LONG)")</f>
        <v>BROWN FOLDER (LONG)</v>
      </c>
      <c r="D26" s="19">
        <f>IFERROR(__xludf.DUMMYFUNCTION("""COMPUTED_VALUE"""),20.0)</f>
        <v>20</v>
      </c>
      <c r="E26" s="19">
        <f>IFERROR(__xludf.DUMMYFUNCTION("""COMPUTED_VALUE"""),0.0)</f>
        <v>0</v>
      </c>
    </row>
    <row r="27">
      <c r="A27" s="4" t="str">
        <f>IFERROR(__xludf.DUMMYFUNCTION("""COMPUTED_VALUE"""),"LAGTANG")</f>
        <v>LAGTANG</v>
      </c>
      <c r="B27" s="4" t="str">
        <f>IFERROR(__xludf.DUMMYFUNCTION("""COMPUTED_VALUE"""),"ITM027")</f>
        <v>ITM027</v>
      </c>
      <c r="C27" s="4" t="str">
        <f>IFERROR(__xludf.DUMMYFUNCTION("""COMPUTED_VALUE"""),"CORRECTION TAPE")</f>
        <v>CORRECTION TAPE</v>
      </c>
      <c r="D27" s="19">
        <f>IFERROR(__xludf.DUMMYFUNCTION("""COMPUTED_VALUE"""),2.0)</f>
        <v>2</v>
      </c>
      <c r="E27" s="19">
        <f>IFERROR(__xludf.DUMMYFUNCTION("""COMPUTED_VALUE"""),0.0)</f>
        <v>0</v>
      </c>
    </row>
    <row r="28">
      <c r="A28" s="4" t="str">
        <f>IFERROR(__xludf.DUMMYFUNCTION("""COMPUTED_VALUE"""),"LAGTANG")</f>
        <v>LAGTANG</v>
      </c>
      <c r="B28" s="4" t="str">
        <f>IFERROR(__xludf.DUMMYFUNCTION("""COMPUTED_VALUE"""),"ITM062")</f>
        <v>ITM062</v>
      </c>
      <c r="C28" s="4" t="str">
        <f>IFERROR(__xludf.DUMMYFUNCTION("""COMPUTED_VALUE"""),"DOWNY")</f>
        <v>DOWNY</v>
      </c>
      <c r="D28" s="19">
        <f>IFERROR(__xludf.DUMMYFUNCTION("""COMPUTED_VALUE"""),3.0)</f>
        <v>3</v>
      </c>
      <c r="E28" s="19">
        <f>IFERROR(__xludf.DUMMYFUNCTION("""COMPUTED_VALUE"""),0.0)</f>
        <v>0</v>
      </c>
    </row>
    <row r="29">
      <c r="A29" s="4" t="str">
        <f>IFERROR(__xludf.DUMMYFUNCTION("""COMPUTED_VALUE"""),"LAGTANG")</f>
        <v>LAGTANG</v>
      </c>
      <c r="B29" s="4" t="str">
        <f>IFERROR(__xludf.DUMMYFUNCTION("""COMPUTED_VALUE"""),"ITM020")</f>
        <v>ITM020</v>
      </c>
      <c r="C29" s="4" t="str">
        <f>IFERROR(__xludf.DUMMYFUNCTION("""COMPUTED_VALUE"""),"FLEXSTICK RED BALLPEN (0.5)")</f>
        <v>FLEXSTICK RED BALLPEN (0.5)</v>
      </c>
      <c r="D29" s="19">
        <f>IFERROR(__xludf.DUMMYFUNCTION("""COMPUTED_VALUE"""),5.0)</f>
        <v>5</v>
      </c>
      <c r="E29" s="19">
        <f>IFERROR(__xludf.DUMMYFUNCTION("""COMPUTED_VALUE"""),0.0)</f>
        <v>0</v>
      </c>
    </row>
    <row r="30">
      <c r="A30" s="4" t="str">
        <f>IFERROR(__xludf.DUMMYFUNCTION("""COMPUTED_VALUE"""),"LAGTANG")</f>
        <v>LAGTANG</v>
      </c>
      <c r="B30" s="4" t="str">
        <f>IFERROR(__xludf.DUMMYFUNCTION("""COMPUTED_VALUE"""),"ITM023")</f>
        <v>ITM023</v>
      </c>
      <c r="C30" s="4" t="str">
        <f>IFERROR(__xludf.DUMMYFUNCTION("""COMPUTED_VALUE"""),"HIGHLIGHTER")</f>
        <v>HIGHLIGHTER</v>
      </c>
      <c r="D30" s="19">
        <f>IFERROR(__xludf.DUMMYFUNCTION("""COMPUTED_VALUE"""),1.0)</f>
        <v>1</v>
      </c>
      <c r="E30" s="19">
        <f>IFERROR(__xludf.DUMMYFUNCTION("""COMPUTED_VALUE"""),0.0)</f>
        <v>0</v>
      </c>
    </row>
    <row r="31">
      <c r="A31" s="4" t="str">
        <f>IFERROR(__xludf.DUMMYFUNCTION("""COMPUTED_VALUE"""),"LAGTANG")</f>
        <v>LAGTANG</v>
      </c>
      <c r="B31" s="4" t="str">
        <f>IFERROR(__xludf.DUMMYFUNCTION("""COMPUTED_VALUE"""),"ITM061")</f>
        <v>ITM061</v>
      </c>
      <c r="C31" s="4" t="str">
        <f>IFERROR(__xludf.DUMMYFUNCTION("""COMPUTED_VALUE"""),"JOY")</f>
        <v>JOY</v>
      </c>
      <c r="D31" s="19">
        <f>IFERROR(__xludf.DUMMYFUNCTION("""COMPUTED_VALUE"""),3.0)</f>
        <v>3</v>
      </c>
      <c r="E31" s="19">
        <f>IFERROR(__xludf.DUMMYFUNCTION("""COMPUTED_VALUE"""),0.0)</f>
        <v>0</v>
      </c>
    </row>
    <row r="32">
      <c r="A32" s="4" t="str">
        <f>IFERROR(__xludf.DUMMYFUNCTION("""COMPUTED_VALUE"""),"LAGTANG")</f>
        <v>LAGTANG</v>
      </c>
      <c r="B32" s="4" t="str">
        <f>IFERROR(__xludf.DUMMYFUNCTION("""COMPUTED_VALUE"""),"ITM038")</f>
        <v>ITM038</v>
      </c>
      <c r="C32" s="4" t="str">
        <f>IFERROR(__xludf.DUMMYFUNCTION("""COMPUTED_VALUE"""),"MASKING TAPE")</f>
        <v>MASKING TAPE</v>
      </c>
      <c r="D32" s="19">
        <f>IFERROR(__xludf.DUMMYFUNCTION("""COMPUTED_VALUE"""),1.0)</f>
        <v>1</v>
      </c>
      <c r="E32" s="19">
        <f>IFERROR(__xludf.DUMMYFUNCTION("""COMPUTED_VALUE"""),0.0)</f>
        <v>0</v>
      </c>
    </row>
    <row r="33">
      <c r="A33" s="4" t="str">
        <f>IFERROR(__xludf.DUMMYFUNCTION("""COMPUTED_VALUE"""),"LAGTANG")</f>
        <v>LAGTANG</v>
      </c>
      <c r="B33" s="4" t="str">
        <f>IFERROR(__xludf.DUMMYFUNCTION("""COMPUTED_VALUE"""),"ITM056")</f>
        <v>ITM056</v>
      </c>
      <c r="C33" s="4" t="str">
        <f>IFERROR(__xludf.DUMMYFUNCTION("""COMPUTED_VALUE"""),"PRIDE SOAP POWDER")</f>
        <v>PRIDE SOAP POWDER</v>
      </c>
      <c r="D33" s="19">
        <f>IFERROR(__xludf.DUMMYFUNCTION("""COMPUTED_VALUE"""),6.0)</f>
        <v>6</v>
      </c>
      <c r="E33" s="19">
        <f>IFERROR(__xludf.DUMMYFUNCTION("""COMPUTED_VALUE"""),0.0)</f>
        <v>0</v>
      </c>
    </row>
    <row r="34">
      <c r="A34" s="4" t="str">
        <f>IFERROR(__xludf.DUMMYFUNCTION("""COMPUTED_VALUE"""),"LAGTANG")</f>
        <v>LAGTANG</v>
      </c>
      <c r="B34" s="4" t="str">
        <f>IFERROR(__xludf.DUMMYFUNCTION("""COMPUTED_VALUE"""),"ITM063")</f>
        <v>ITM063</v>
      </c>
      <c r="C34" s="4" t="str">
        <f>IFERROR(__xludf.DUMMYFUNCTION("""COMPUTED_VALUE"""),"SAFEGUARD SOAP")</f>
        <v>SAFEGUARD SOAP</v>
      </c>
      <c r="D34" s="19">
        <f>IFERROR(__xludf.DUMMYFUNCTION("""COMPUTED_VALUE"""),1.0)</f>
        <v>1</v>
      </c>
      <c r="E34" s="19">
        <f>IFERROR(__xludf.DUMMYFUNCTION("""COMPUTED_VALUE"""),0.0)</f>
        <v>0</v>
      </c>
    </row>
    <row r="35">
      <c r="A35" s="4" t="str">
        <f>IFERROR(__xludf.DUMMYFUNCTION("""COMPUTED_VALUE"""),"LAGTANG")</f>
        <v>LAGTANG</v>
      </c>
      <c r="B35" s="4" t="str">
        <f>IFERROR(__xludf.DUMMYFUNCTION("""COMPUTED_VALUE"""),"ITM064")</f>
        <v>ITM064</v>
      </c>
      <c r="C35" s="4" t="str">
        <f>IFERROR(__xludf.DUMMYFUNCTION("""COMPUTED_VALUE"""),"STICKY NOTES 2X2 A02")</f>
        <v>STICKY NOTES 2X2 A02</v>
      </c>
      <c r="D35" s="19">
        <f>IFERROR(__xludf.DUMMYFUNCTION("""COMPUTED_VALUE"""),1.0)</f>
        <v>1</v>
      </c>
      <c r="E35" s="19">
        <f>IFERROR(__xludf.DUMMYFUNCTION("""COMPUTED_VALUE"""),0.0)</f>
        <v>0</v>
      </c>
    </row>
    <row r="36">
      <c r="A36" s="4" t="str">
        <f>IFERROR(__xludf.DUMMYFUNCTION("""COMPUTED_VALUE"""),"LAGTANG")</f>
        <v>LAGTANG</v>
      </c>
      <c r="B36" s="4" t="str">
        <f>IFERROR(__xludf.DUMMYFUNCTION("""COMPUTED_VALUE"""),"ITM096")</f>
        <v>ITM096</v>
      </c>
      <c r="C36" s="4" t="str">
        <f>IFERROR(__xludf.DUMMYFUNCTION("""COMPUTED_VALUE"""),"TRASH BAG (MEDIUM)")</f>
        <v>TRASH BAG (MEDIUM)</v>
      </c>
      <c r="D36" s="19">
        <f>IFERROR(__xludf.DUMMYFUNCTION("""COMPUTED_VALUE"""),1.0)</f>
        <v>1</v>
      </c>
      <c r="E36" s="19">
        <f>IFERROR(__xludf.DUMMYFUNCTION("""COMPUTED_VALUE"""),0.0)</f>
        <v>0</v>
      </c>
    </row>
    <row r="37">
      <c r="A37" s="4" t="str">
        <f>IFERROR(__xludf.DUMMYFUNCTION("""COMPUTED_VALUE"""),"LAGTANG")</f>
        <v>LAGTANG</v>
      </c>
      <c r="B37" s="4" t="str">
        <f>IFERROR(__xludf.DUMMYFUNCTION("""COMPUTED_VALUE"""),"ITM006")</f>
        <v>ITM006</v>
      </c>
      <c r="C37" s="4" t="str">
        <f>IFERROR(__xludf.DUMMYFUNCTION("""COMPUTED_VALUE"""),"VELLUM PAPER")</f>
        <v>VELLUM PAPER</v>
      </c>
      <c r="D37" s="19">
        <f>IFERROR(__xludf.DUMMYFUNCTION("""COMPUTED_VALUE"""),20.0)</f>
        <v>20</v>
      </c>
      <c r="E37" s="19">
        <f>IFERROR(__xludf.DUMMYFUNCTION("""COMPUTED_VALUE"""),0.0)</f>
        <v>0</v>
      </c>
    </row>
    <row r="38">
      <c r="A38" s="4" t="str">
        <f>IFERROR(__xludf.DUMMYFUNCTION("""COMPUTED_VALUE"""),"LAGTANG")</f>
        <v>LAGTANG</v>
      </c>
      <c r="B38" s="4" t="str">
        <f>IFERROR(__xludf.DUMMYFUNCTION("""COMPUTED_VALUE"""),"ITM089")</f>
        <v>ITM089</v>
      </c>
      <c r="C38" s="4" t="str">
        <f>IFERROR(__xludf.DUMMYFUNCTION("""COMPUTED_VALUE"""),"ZONROX (COLORSAFE)")</f>
        <v>ZONROX (COLORSAFE)</v>
      </c>
      <c r="D38" s="19">
        <f>IFERROR(__xludf.DUMMYFUNCTION("""COMPUTED_VALUE"""),1.0)</f>
        <v>1</v>
      </c>
      <c r="E38" s="19">
        <f>IFERROR(__xludf.DUMMYFUNCTION("""COMPUTED_VALUE"""),0.0)</f>
        <v>0</v>
      </c>
    </row>
    <row r="39">
      <c r="A39" s="4" t="str">
        <f>IFERROR(__xludf.DUMMYFUNCTION("""COMPUTED_VALUE"""),"LAGTANG")</f>
        <v>LAGTANG</v>
      </c>
      <c r="B39" s="4" t="str">
        <f>IFERROR(__xludf.DUMMYFUNCTION("""COMPUTED_VALUE"""),"ITM003")</f>
        <v>ITM003</v>
      </c>
      <c r="C39" s="4" t="str">
        <f>IFERROR(__xludf.DUMMYFUNCTION("""COMPUTED_VALUE"""),"BOND PAPER A4")</f>
        <v>BOND PAPER A4</v>
      </c>
      <c r="D39" s="19">
        <f>IFERROR(__xludf.DUMMYFUNCTION("""COMPUTED_VALUE"""),1.0)</f>
        <v>1</v>
      </c>
      <c r="E39" s="19">
        <f>IFERROR(__xludf.DUMMYFUNCTION("""COMPUTED_VALUE"""),0.0)</f>
        <v>0</v>
      </c>
    </row>
    <row r="40">
      <c r="A40" s="4" t="str">
        <f>IFERROR(__xludf.DUMMYFUNCTION("""COMPUTED_VALUE"""),"LAGTANG")</f>
        <v>LAGTANG</v>
      </c>
      <c r="B40" s="4" t="str">
        <f>IFERROR(__xludf.DUMMYFUNCTION("""COMPUTED_VALUE"""),"ITM010")</f>
        <v>ITM010</v>
      </c>
      <c r="C40" s="4" t="str">
        <f>IFERROR(__xludf.DUMMYFUNCTION("""COMPUTED_VALUE"""),"BROWN ENVELOPE (LONG)")</f>
        <v>BROWN ENVELOPE (LONG)</v>
      </c>
      <c r="D40" s="19">
        <f>IFERROR(__xludf.DUMMYFUNCTION("""COMPUTED_VALUE"""),5.0)</f>
        <v>5</v>
      </c>
      <c r="E40" s="19">
        <f>IFERROR(__xludf.DUMMYFUNCTION("""COMPUTED_VALUE"""),0.0)</f>
        <v>0</v>
      </c>
    </row>
    <row r="41">
      <c r="A41" s="4" t="str">
        <f>IFERROR(__xludf.DUMMYFUNCTION("""COMPUTED_VALUE"""),"LAGTANG")</f>
        <v>LAGTANG</v>
      </c>
      <c r="B41" s="4" t="str">
        <f>IFERROR(__xludf.DUMMYFUNCTION("""COMPUTED_VALUE"""),"ITM011")</f>
        <v>ITM011</v>
      </c>
      <c r="C41" s="4" t="str">
        <f>IFERROR(__xludf.DUMMYFUNCTION("""COMPUTED_VALUE"""),"BROWN ENVELOPE (SHORT)")</f>
        <v>BROWN ENVELOPE (SHORT)</v>
      </c>
      <c r="D41" s="19">
        <f>IFERROR(__xludf.DUMMYFUNCTION("""COMPUTED_VALUE"""),5.0)</f>
        <v>5</v>
      </c>
      <c r="E41" s="19">
        <f>IFERROR(__xludf.DUMMYFUNCTION("""COMPUTED_VALUE"""),0.0)</f>
        <v>0</v>
      </c>
    </row>
    <row r="42">
      <c r="A42" s="4" t="str">
        <f>IFERROR(__xludf.DUMMYFUNCTION("""COMPUTED_VALUE"""),"LAGTANG")</f>
        <v>LAGTANG</v>
      </c>
      <c r="B42" s="4" t="str">
        <f>IFERROR(__xludf.DUMMYFUNCTION("""COMPUTED_VALUE"""),"ITM019")</f>
        <v>ITM019</v>
      </c>
      <c r="C42" s="4" t="str">
        <f>IFERROR(__xludf.DUMMYFUNCTION("""COMPUTED_VALUE"""),"FLEXSTICK BLACK BALLPEN (0.5)")</f>
        <v>FLEXSTICK BLACK BALLPEN (0.5)</v>
      </c>
      <c r="D42" s="19">
        <f>IFERROR(__xludf.DUMMYFUNCTION("""COMPUTED_VALUE"""),6.0)</f>
        <v>6</v>
      </c>
      <c r="E42" s="19">
        <f>IFERROR(__xludf.DUMMYFUNCTION("""COMPUTED_VALUE"""),0.0)</f>
        <v>0</v>
      </c>
    </row>
    <row r="43">
      <c r="A43" s="4" t="str">
        <f>IFERROR(__xludf.DUMMYFUNCTION("""COMPUTED_VALUE"""),"LAGTANG")</f>
        <v>LAGTANG</v>
      </c>
      <c r="B43" s="4" t="str">
        <f>IFERROR(__xludf.DUMMYFUNCTION("""COMPUTED_VALUE"""),"ITM006")</f>
        <v>ITM006</v>
      </c>
      <c r="C43" s="4" t="str">
        <f>IFERROR(__xludf.DUMMYFUNCTION("""COMPUTED_VALUE"""),"VELLUM PAPER")</f>
        <v>VELLUM PAPER</v>
      </c>
      <c r="D43" s="19">
        <f>IFERROR(__xludf.DUMMYFUNCTION("""COMPUTED_VALUE"""),25.0)</f>
        <v>25</v>
      </c>
      <c r="E43" s="19">
        <f>IFERROR(__xludf.DUMMYFUNCTION("""COMPUTED_VALUE"""),0.0)</f>
        <v>0</v>
      </c>
    </row>
    <row r="44">
      <c r="A44" s="4" t="str">
        <f>IFERROR(__xludf.DUMMYFUNCTION("""COMPUTED_VALUE"""),"LAGTANG")</f>
        <v>LAGTANG</v>
      </c>
      <c r="B44" s="4" t="str">
        <f>IFERROR(__xludf.DUMMYFUNCTION("""COMPUTED_VALUE"""),"ITM015")</f>
        <v>ITM015</v>
      </c>
      <c r="C44" s="4" t="str">
        <f>IFERROR(__xludf.DUMMYFUNCTION("""COMPUTED_VALUE"""),"WHITE FOLDER (SHORT)")</f>
        <v>WHITE FOLDER (SHORT)</v>
      </c>
      <c r="D44" s="19">
        <f>IFERROR(__xludf.DUMMYFUNCTION("""COMPUTED_VALUE"""),5.0)</f>
        <v>5</v>
      </c>
      <c r="E44" s="19">
        <f>IFERROR(__xludf.DUMMYFUNCTION("""COMPUTED_VALUE"""),0.0)</f>
        <v>0</v>
      </c>
    </row>
    <row r="45">
      <c r="A45" s="4" t="str">
        <f>IFERROR(__xludf.DUMMYFUNCTION("""COMPUTED_VALUE"""),"V-RAMA")</f>
        <v>V-RAMA</v>
      </c>
      <c r="B45" s="4" t="str">
        <f>IFERROR(__xludf.DUMMYFUNCTION("""COMPUTED_VALUE"""),"ITM072")</f>
        <v>ITM072</v>
      </c>
      <c r="C45" s="4" t="str">
        <f>IFERROR(__xludf.DUMMYFUNCTION("""COMPUTED_VALUE"""),"BINDER CLIPS 1 1/4 32MM")</f>
        <v>BINDER CLIPS 1 1/4 32MM</v>
      </c>
      <c r="D45" s="19">
        <f>IFERROR(__xludf.DUMMYFUNCTION("""COMPUTED_VALUE"""),1.0)</f>
        <v>1</v>
      </c>
      <c r="E45" s="19">
        <f>IFERROR(__xludf.DUMMYFUNCTION("""COMPUTED_VALUE"""),0.0)</f>
        <v>0</v>
      </c>
    </row>
    <row r="46">
      <c r="A46" s="4" t="str">
        <f>IFERROR(__xludf.DUMMYFUNCTION("""COMPUTED_VALUE"""),"V-RAMA")</f>
        <v>V-RAMA</v>
      </c>
      <c r="B46" s="4" t="str">
        <f>IFERROR(__xludf.DUMMYFUNCTION("""COMPUTED_VALUE"""),"ITM001")</f>
        <v>ITM001</v>
      </c>
      <c r="C46" s="4" t="str">
        <f>IFERROR(__xludf.DUMMYFUNCTION("""COMPUTED_VALUE"""),"BOND PAPER (LONG)")</f>
        <v>BOND PAPER (LONG)</v>
      </c>
      <c r="D46" s="19">
        <f>IFERROR(__xludf.DUMMYFUNCTION("""COMPUTED_VALUE"""),1.0)</f>
        <v>1</v>
      </c>
      <c r="E46" s="19">
        <f>IFERROR(__xludf.DUMMYFUNCTION("""COMPUTED_VALUE"""),0.0)</f>
        <v>0</v>
      </c>
    </row>
    <row r="47">
      <c r="A47" s="4" t="str">
        <f>IFERROR(__xludf.DUMMYFUNCTION("""COMPUTED_VALUE"""),"V-RAMA")</f>
        <v>V-RAMA</v>
      </c>
      <c r="B47" s="4" t="str">
        <f>IFERROR(__xludf.DUMMYFUNCTION("""COMPUTED_VALUE"""),"ITM003")</f>
        <v>ITM003</v>
      </c>
      <c r="C47" s="4" t="str">
        <f>IFERROR(__xludf.DUMMYFUNCTION("""COMPUTED_VALUE"""),"BOND PAPER A4")</f>
        <v>BOND PAPER A4</v>
      </c>
      <c r="D47" s="19">
        <f>IFERROR(__xludf.DUMMYFUNCTION("""COMPUTED_VALUE"""),1.0)</f>
        <v>1</v>
      </c>
      <c r="E47" s="19">
        <f>IFERROR(__xludf.DUMMYFUNCTION("""COMPUTED_VALUE"""),0.0)</f>
        <v>0</v>
      </c>
    </row>
    <row r="48">
      <c r="A48" s="4" t="str">
        <f>IFERROR(__xludf.DUMMYFUNCTION("""COMPUTED_VALUE"""),"V-RAMA")</f>
        <v>V-RAMA</v>
      </c>
      <c r="B48" s="4" t="str">
        <f>IFERROR(__xludf.DUMMYFUNCTION("""COMPUTED_VALUE"""),"ITM012")</f>
        <v>ITM012</v>
      </c>
      <c r="C48" s="4" t="str">
        <f>IFERROR(__xludf.DUMMYFUNCTION("""COMPUTED_VALUE"""),"BROWN FOLDER (LONG)")</f>
        <v>BROWN FOLDER (LONG)</v>
      </c>
      <c r="D48" s="19">
        <f>IFERROR(__xludf.DUMMYFUNCTION("""COMPUTED_VALUE"""),20.0)</f>
        <v>20</v>
      </c>
      <c r="E48" s="19">
        <f>IFERROR(__xludf.DUMMYFUNCTION("""COMPUTED_VALUE"""),0.0)</f>
        <v>0</v>
      </c>
    </row>
    <row r="49">
      <c r="A49" s="4" t="str">
        <f>IFERROR(__xludf.DUMMYFUNCTION("""COMPUTED_VALUE"""),"V-RAMA")</f>
        <v>V-RAMA</v>
      </c>
      <c r="B49" s="4" t="str">
        <f>IFERROR(__xludf.DUMMYFUNCTION("""COMPUTED_VALUE"""),"ITM009")</f>
        <v>ITM009</v>
      </c>
      <c r="C49" s="4" t="str">
        <f>IFERROR(__xludf.DUMMYFUNCTION("""COMPUTED_VALUE"""),"CARBON PAPER (LONG BLUE)")</f>
        <v>CARBON PAPER (LONG BLUE)</v>
      </c>
      <c r="D49" s="19">
        <f>IFERROR(__xludf.DUMMYFUNCTION("""COMPUTED_VALUE"""),11.0)</f>
        <v>11</v>
      </c>
      <c r="E49" s="19">
        <f>IFERROR(__xludf.DUMMYFUNCTION("""COMPUTED_VALUE"""),0.0)</f>
        <v>0</v>
      </c>
    </row>
    <row r="50">
      <c r="A50" s="4" t="str">
        <f>IFERROR(__xludf.DUMMYFUNCTION("""COMPUTED_VALUE"""),"V-RAMA")</f>
        <v>V-RAMA</v>
      </c>
      <c r="B50" s="4" t="str">
        <f>IFERROR(__xludf.DUMMYFUNCTION("""COMPUTED_VALUE"""),"ITM106")</f>
        <v>ITM106</v>
      </c>
      <c r="C50" s="4" t="str">
        <f>IFERROR(__xludf.DUMMYFUNCTION("""COMPUTED_VALUE"""),"DOOR MAT")</f>
        <v>DOOR MAT</v>
      </c>
      <c r="D50" s="19">
        <f>IFERROR(__xludf.DUMMYFUNCTION("""COMPUTED_VALUE"""),1.0)</f>
        <v>1</v>
      </c>
      <c r="E50" s="19">
        <f>IFERROR(__xludf.DUMMYFUNCTION("""COMPUTED_VALUE"""),0.0)</f>
        <v>0</v>
      </c>
    </row>
    <row r="51">
      <c r="A51" s="4" t="str">
        <f>IFERROR(__xludf.DUMMYFUNCTION("""COMPUTED_VALUE"""),"V-RAMA")</f>
        <v>V-RAMA</v>
      </c>
      <c r="B51" s="4" t="str">
        <f>IFERROR(__xludf.DUMMYFUNCTION("""COMPUTED_VALUE"""),"ITM040")</f>
        <v>ITM040</v>
      </c>
      <c r="C51" s="4" t="str">
        <f>IFERROR(__xludf.DUMMYFUNCTION("""COMPUTED_VALUE"""),"DOUBLE-SIDED TAPE (1 INCH)")</f>
        <v>DOUBLE-SIDED TAPE (1 INCH)</v>
      </c>
      <c r="D51" s="19">
        <f>IFERROR(__xludf.DUMMYFUNCTION("""COMPUTED_VALUE"""),2.0)</f>
        <v>2</v>
      </c>
      <c r="E51" s="19">
        <f>IFERROR(__xludf.DUMMYFUNCTION("""COMPUTED_VALUE"""),0.0)</f>
        <v>0</v>
      </c>
    </row>
    <row r="52">
      <c r="A52" s="4" t="str">
        <f>IFERROR(__xludf.DUMMYFUNCTION("""COMPUTED_VALUE"""),"V-RAMA")</f>
        <v>V-RAMA</v>
      </c>
      <c r="B52" s="4" t="str">
        <f>IFERROR(__xludf.DUMMYFUNCTION("""COMPUTED_VALUE"""),"ITM062")</f>
        <v>ITM062</v>
      </c>
      <c r="C52" s="4" t="str">
        <f>IFERROR(__xludf.DUMMYFUNCTION("""COMPUTED_VALUE"""),"DOWNY")</f>
        <v>DOWNY</v>
      </c>
      <c r="D52" s="19">
        <f>IFERROR(__xludf.DUMMYFUNCTION("""COMPUTED_VALUE"""),3.0)</f>
        <v>3</v>
      </c>
      <c r="E52" s="19">
        <f>IFERROR(__xludf.DUMMYFUNCTION("""COMPUTED_VALUE"""),0.0)</f>
        <v>0</v>
      </c>
    </row>
    <row r="53">
      <c r="A53" s="4" t="str">
        <f>IFERROR(__xludf.DUMMYFUNCTION("""COMPUTED_VALUE"""),"V-RAMA")</f>
        <v>V-RAMA</v>
      </c>
      <c r="B53" s="4" t="str">
        <f>IFERROR(__xludf.DUMMYFUNCTION("""COMPUTED_VALUE"""),"ITM067")</f>
        <v>ITM067</v>
      </c>
      <c r="C53" s="4" t="str">
        <f>IFERROR(__xludf.DUMMYFUNCTION("""COMPUTED_VALUE"""),"FASTENER")</f>
        <v>FASTENER</v>
      </c>
      <c r="D53" s="19">
        <f>IFERROR(__xludf.DUMMYFUNCTION("""COMPUTED_VALUE"""),1.0)</f>
        <v>1</v>
      </c>
      <c r="E53" s="19">
        <f>IFERROR(__xludf.DUMMYFUNCTION("""COMPUTED_VALUE"""),0.0)</f>
        <v>0</v>
      </c>
    </row>
    <row r="54">
      <c r="A54" s="4" t="str">
        <f>IFERROR(__xludf.DUMMYFUNCTION("""COMPUTED_VALUE"""),"V-RAMA")</f>
        <v>V-RAMA</v>
      </c>
      <c r="B54" s="4" t="str">
        <f>IFERROR(__xludf.DUMMYFUNCTION("""COMPUTED_VALUE"""),"ITM019")</f>
        <v>ITM019</v>
      </c>
      <c r="C54" s="4" t="str">
        <f>IFERROR(__xludf.DUMMYFUNCTION("""COMPUTED_VALUE"""),"FLEXSTICK BLACK BALLPEN (0.5)")</f>
        <v>FLEXSTICK BLACK BALLPEN (0.5)</v>
      </c>
      <c r="D54" s="19">
        <f>IFERROR(__xludf.DUMMYFUNCTION("""COMPUTED_VALUE"""),6.0)</f>
        <v>6</v>
      </c>
      <c r="E54" s="19">
        <f>IFERROR(__xludf.DUMMYFUNCTION("""COMPUTED_VALUE"""),0.0)</f>
        <v>0</v>
      </c>
    </row>
    <row r="55">
      <c r="A55" s="4" t="str">
        <f>IFERROR(__xludf.DUMMYFUNCTION("""COMPUTED_VALUE"""),"V-RAMA")</f>
        <v>V-RAMA</v>
      </c>
      <c r="B55" s="4" t="str">
        <f>IFERROR(__xludf.DUMMYFUNCTION("""COMPUTED_VALUE"""),"ITM023")</f>
        <v>ITM023</v>
      </c>
      <c r="C55" s="4" t="str">
        <f>IFERROR(__xludf.DUMMYFUNCTION("""COMPUTED_VALUE"""),"HIGHLIGHTER")</f>
        <v>HIGHLIGHTER</v>
      </c>
      <c r="D55" s="19">
        <f>IFERROR(__xludf.DUMMYFUNCTION("""COMPUTED_VALUE"""),2.0)</f>
        <v>2</v>
      </c>
      <c r="E55" s="19">
        <f>IFERROR(__xludf.DUMMYFUNCTION("""COMPUTED_VALUE"""),0.0)</f>
        <v>0</v>
      </c>
    </row>
    <row r="56">
      <c r="A56" s="4" t="str">
        <f>IFERROR(__xludf.DUMMYFUNCTION("""COMPUTED_VALUE"""),"V-RAMA")</f>
        <v>V-RAMA</v>
      </c>
      <c r="B56" s="4" t="str">
        <f>IFERROR(__xludf.DUMMYFUNCTION("""COMPUTED_VALUE"""),"ITM100")</f>
        <v>ITM100</v>
      </c>
      <c r="C56" s="4" t="str">
        <f>IFERROR(__xludf.DUMMYFUNCTION("""COMPUTED_VALUE"""),"INK BROTHER SET")</f>
        <v>INK BROTHER SET</v>
      </c>
      <c r="D56" s="19">
        <f>IFERROR(__xludf.DUMMYFUNCTION("""COMPUTED_VALUE"""),1.0)</f>
        <v>1</v>
      </c>
      <c r="E56" s="19">
        <f>IFERROR(__xludf.DUMMYFUNCTION("""COMPUTED_VALUE"""),0.0)</f>
        <v>0</v>
      </c>
    </row>
    <row r="57">
      <c r="A57" s="4" t="str">
        <f>IFERROR(__xludf.DUMMYFUNCTION("""COMPUTED_VALUE"""),"V-RAMA")</f>
        <v>V-RAMA</v>
      </c>
      <c r="B57" s="4" t="str">
        <f>IFERROR(__xludf.DUMMYFUNCTION("""COMPUTED_VALUE"""),"ITM038")</f>
        <v>ITM038</v>
      </c>
      <c r="C57" s="4" t="str">
        <f>IFERROR(__xludf.DUMMYFUNCTION("""COMPUTED_VALUE"""),"MASKING TAPE")</f>
        <v>MASKING TAPE</v>
      </c>
      <c r="D57" s="19">
        <f>IFERROR(__xludf.DUMMYFUNCTION("""COMPUTED_VALUE"""),2.0)</f>
        <v>2</v>
      </c>
      <c r="E57" s="19">
        <f>IFERROR(__xludf.DUMMYFUNCTION("""COMPUTED_VALUE"""),0.0)</f>
        <v>0</v>
      </c>
    </row>
    <row r="58">
      <c r="A58" s="4" t="str">
        <f>IFERROR(__xludf.DUMMYFUNCTION("""COMPUTED_VALUE"""),"V-RAMA")</f>
        <v>V-RAMA</v>
      </c>
      <c r="B58" s="4" t="str">
        <f>IFERROR(__xludf.DUMMYFUNCTION("""COMPUTED_VALUE"""),"ITM039")</f>
        <v>ITM039</v>
      </c>
      <c r="C58" s="4" t="str">
        <f>IFERROR(__xludf.DUMMYFUNCTION("""COMPUTED_VALUE"""),"PACKAGING TAPE BROWN")</f>
        <v>PACKAGING TAPE BROWN</v>
      </c>
      <c r="D58" s="19">
        <f>IFERROR(__xludf.DUMMYFUNCTION("""COMPUTED_VALUE"""),1.0)</f>
        <v>1</v>
      </c>
      <c r="E58" s="19">
        <f>IFERROR(__xludf.DUMMYFUNCTION("""COMPUTED_VALUE"""),0.0)</f>
        <v>0</v>
      </c>
    </row>
    <row r="59">
      <c r="A59" s="4" t="str">
        <f>IFERROR(__xludf.DUMMYFUNCTION("""COMPUTED_VALUE"""),"V-RAMA")</f>
        <v>V-RAMA</v>
      </c>
      <c r="B59" s="4" t="str">
        <f>IFERROR(__xludf.DUMMYFUNCTION("""COMPUTED_VALUE"""),"ITM068")</f>
        <v>ITM068</v>
      </c>
      <c r="C59" s="4" t="str">
        <f>IFERROR(__xludf.DUMMYFUNCTION("""COMPUTED_VALUE"""),"PAPER CLIPS 50MM")</f>
        <v>PAPER CLIPS 50MM</v>
      </c>
      <c r="D59" s="19">
        <f>IFERROR(__xludf.DUMMYFUNCTION("""COMPUTED_VALUE"""),1.0)</f>
        <v>1</v>
      </c>
      <c r="E59" s="19">
        <f>IFERROR(__xludf.DUMMYFUNCTION("""COMPUTED_VALUE"""),0.0)</f>
        <v>0</v>
      </c>
    </row>
    <row r="60">
      <c r="A60" s="4" t="str">
        <f>IFERROR(__xludf.DUMMYFUNCTION("""COMPUTED_VALUE"""),"V-RAMA")</f>
        <v>V-RAMA</v>
      </c>
      <c r="B60" s="4" t="str">
        <f>IFERROR(__xludf.DUMMYFUNCTION("""COMPUTED_VALUE"""),"ITM056")</f>
        <v>ITM056</v>
      </c>
      <c r="C60" s="4" t="str">
        <f>IFERROR(__xludf.DUMMYFUNCTION("""COMPUTED_VALUE"""),"PRIDE SOAP POWDER")</f>
        <v>PRIDE SOAP POWDER</v>
      </c>
      <c r="D60" s="19">
        <f>IFERROR(__xludf.DUMMYFUNCTION("""COMPUTED_VALUE"""),6.0)</f>
        <v>6</v>
      </c>
      <c r="E60" s="19">
        <f>IFERROR(__xludf.DUMMYFUNCTION("""COMPUTED_VALUE"""),0.0)</f>
        <v>0</v>
      </c>
    </row>
    <row r="61">
      <c r="A61" s="4" t="str">
        <f>IFERROR(__xludf.DUMMYFUNCTION("""COMPUTED_VALUE"""),"V-RAMA")</f>
        <v>V-RAMA</v>
      </c>
      <c r="B61" s="4" t="str">
        <f>IFERROR(__xludf.DUMMYFUNCTION("""COMPUTED_VALUE"""),"ITM092")</f>
        <v>ITM092</v>
      </c>
      <c r="C61" s="4" t="str">
        <f>IFERROR(__xludf.DUMMYFUNCTION("""COMPUTED_VALUE"""),"RAGS")</f>
        <v>RAGS</v>
      </c>
      <c r="D61" s="19">
        <f>IFERROR(__xludf.DUMMYFUNCTION("""COMPUTED_VALUE"""),1.0)</f>
        <v>1</v>
      </c>
      <c r="E61" s="19">
        <f>IFERROR(__xludf.DUMMYFUNCTION("""COMPUTED_VALUE"""),0.0)</f>
        <v>0</v>
      </c>
    </row>
    <row r="62">
      <c r="A62" s="4" t="str">
        <f>IFERROR(__xludf.DUMMYFUNCTION("""COMPUTED_VALUE"""),"V-RAMA")</f>
        <v>V-RAMA</v>
      </c>
      <c r="B62" s="4" t="str">
        <f>IFERROR(__xludf.DUMMYFUNCTION("""COMPUTED_VALUE"""),"ITM074")</f>
        <v>ITM074</v>
      </c>
      <c r="C62" s="4" t="str">
        <f>IFERROR(__xludf.DUMMYFUNCTION("""COMPUTED_VALUE"""),"STAPLE WIRE #35")</f>
        <v>STAPLE WIRE #35</v>
      </c>
      <c r="D62" s="19">
        <f>IFERROR(__xludf.DUMMYFUNCTION("""COMPUTED_VALUE"""),1.0)</f>
        <v>1</v>
      </c>
      <c r="E62" s="19">
        <f>IFERROR(__xludf.DUMMYFUNCTION("""COMPUTED_VALUE"""),0.0)</f>
        <v>0</v>
      </c>
    </row>
    <row r="63">
      <c r="A63" s="4" t="str">
        <f>IFERROR(__xludf.DUMMYFUNCTION("""COMPUTED_VALUE"""),"V-RAMA")</f>
        <v>V-RAMA</v>
      </c>
      <c r="B63" s="4" t="str">
        <f>IFERROR(__xludf.DUMMYFUNCTION("""COMPUTED_VALUE"""),"ITM064")</f>
        <v>ITM064</v>
      </c>
      <c r="C63" s="4" t="str">
        <f>IFERROR(__xludf.DUMMYFUNCTION("""COMPUTED_VALUE"""),"STICKY NOTES 2X2 A02")</f>
        <v>STICKY NOTES 2X2 A02</v>
      </c>
      <c r="D63" s="19">
        <f>IFERROR(__xludf.DUMMYFUNCTION("""COMPUTED_VALUE"""),3.0)</f>
        <v>3</v>
      </c>
      <c r="E63" s="19">
        <f>IFERROR(__xludf.DUMMYFUNCTION("""COMPUTED_VALUE"""),0.0)</f>
        <v>0</v>
      </c>
    </row>
    <row r="64">
      <c r="A64" s="4" t="str">
        <f>IFERROR(__xludf.DUMMYFUNCTION("""COMPUTED_VALUE"""),"V-RAMA")</f>
        <v>V-RAMA</v>
      </c>
      <c r="B64" s="4" t="str">
        <f>IFERROR(__xludf.DUMMYFUNCTION("""COMPUTED_VALUE"""),"ITM006")</f>
        <v>ITM006</v>
      </c>
      <c r="C64" s="4" t="str">
        <f>IFERROR(__xludf.DUMMYFUNCTION("""COMPUTED_VALUE"""),"VELLUM PAPER")</f>
        <v>VELLUM PAPER</v>
      </c>
      <c r="D64" s="19">
        <f>IFERROR(__xludf.DUMMYFUNCTION("""COMPUTED_VALUE"""),20.0)</f>
        <v>20</v>
      </c>
      <c r="E64" s="19">
        <f>IFERROR(__xludf.DUMMYFUNCTION("""COMPUTED_VALUE"""),0.0)</f>
        <v>0</v>
      </c>
    </row>
    <row r="65">
      <c r="A65" s="4" t="str">
        <f>IFERROR(__xludf.DUMMYFUNCTION("""COMPUTED_VALUE"""),"V-RAMA")</f>
        <v>V-RAMA</v>
      </c>
      <c r="B65" s="4" t="str">
        <f>IFERROR(__xludf.DUMMYFUNCTION("""COMPUTED_VALUE"""),"ITM021")</f>
        <v>ITM021</v>
      </c>
      <c r="C65" s="4" t="str">
        <f>IFERROR(__xludf.DUMMYFUNCTION("""COMPUTED_VALUE"""),"WYTEBORD MARKER PILOT (BLACK)")</f>
        <v>WYTEBORD MARKER PILOT (BLACK)</v>
      </c>
      <c r="D65" s="19">
        <f>IFERROR(__xludf.DUMMYFUNCTION("""COMPUTED_VALUE"""),1.0)</f>
        <v>1</v>
      </c>
      <c r="E65" s="19">
        <f>IFERROR(__xludf.DUMMYFUNCTION("""COMPUTED_VALUE"""),0.0)</f>
        <v>0</v>
      </c>
    </row>
    <row r="66">
      <c r="A66" s="4" t="str">
        <f>IFERROR(__xludf.DUMMYFUNCTION("""COMPUTED_VALUE"""),"BULACAO")</f>
        <v>BULACAO</v>
      </c>
      <c r="B66" s="4" t="str">
        <f>IFERROR(__xludf.DUMMYFUNCTION("""COMPUTED_VALUE"""),"ITM087")</f>
        <v>ITM087</v>
      </c>
      <c r="C66" s="4" t="str">
        <f>IFERROR(__xludf.DUMMYFUNCTION("""COMPUTED_VALUE"""),"ALBATROSS")</f>
        <v>ALBATROSS</v>
      </c>
      <c r="D66" s="19">
        <f>IFERROR(__xludf.DUMMYFUNCTION("""COMPUTED_VALUE"""),1.0)</f>
        <v>1</v>
      </c>
      <c r="E66" s="19">
        <f>IFERROR(__xludf.DUMMYFUNCTION("""COMPUTED_VALUE"""),0.0)</f>
        <v>0</v>
      </c>
    </row>
    <row r="67">
      <c r="A67" s="4" t="str">
        <f>IFERROR(__xludf.DUMMYFUNCTION("""COMPUTED_VALUE"""),"BULACAO")</f>
        <v>BULACAO</v>
      </c>
      <c r="B67" s="4" t="str">
        <f>IFERROR(__xludf.DUMMYFUNCTION("""COMPUTED_VALUE"""),"ITM056")</f>
        <v>ITM056</v>
      </c>
      <c r="C67" s="4" t="str">
        <f>IFERROR(__xludf.DUMMYFUNCTION("""COMPUTED_VALUE"""),"PRIDE SOAP POWDER")</f>
        <v>PRIDE SOAP POWDER</v>
      </c>
      <c r="D67" s="19">
        <f>IFERROR(__xludf.DUMMYFUNCTION("""COMPUTED_VALUE"""),6.0)</f>
        <v>6</v>
      </c>
      <c r="E67" s="19">
        <f>IFERROR(__xludf.DUMMYFUNCTION("""COMPUTED_VALUE"""),0.0)</f>
        <v>0</v>
      </c>
    </row>
    <row r="68">
      <c r="A68" s="4" t="str">
        <f>IFERROR(__xludf.DUMMYFUNCTION("""COMPUTED_VALUE"""),"BULACAO")</f>
        <v>BULACAO</v>
      </c>
      <c r="B68" s="4" t="str">
        <f>IFERROR(__xludf.DUMMYFUNCTION("""COMPUTED_VALUE"""),"ITM063")</f>
        <v>ITM063</v>
      </c>
      <c r="C68" s="4" t="str">
        <f>IFERROR(__xludf.DUMMYFUNCTION("""COMPUTED_VALUE"""),"SAFEGUARD SOAP")</f>
        <v>SAFEGUARD SOAP</v>
      </c>
      <c r="D68" s="19">
        <f>IFERROR(__xludf.DUMMYFUNCTION("""COMPUTED_VALUE"""),1.0)</f>
        <v>1</v>
      </c>
      <c r="E68" s="19">
        <f>IFERROR(__xludf.DUMMYFUNCTION("""COMPUTED_VALUE"""),0.0)</f>
        <v>0</v>
      </c>
    </row>
    <row r="69">
      <c r="A69" s="4" t="str">
        <f>IFERROR(__xludf.DUMMYFUNCTION("""COMPUTED_VALUE"""),"BULACAO")</f>
        <v>BULACAO</v>
      </c>
      <c r="B69" s="4" t="str">
        <f>IFERROR(__xludf.DUMMYFUNCTION("""COMPUTED_VALUE"""),"ITM089")</f>
        <v>ITM089</v>
      </c>
      <c r="C69" s="4" t="str">
        <f>IFERROR(__xludf.DUMMYFUNCTION("""COMPUTED_VALUE"""),"ZONROX (COLORSAFE)")</f>
        <v>ZONROX (COLORSAFE)</v>
      </c>
      <c r="D69" s="19">
        <f>IFERROR(__xludf.DUMMYFUNCTION("""COMPUTED_VALUE"""),1.0)</f>
        <v>1</v>
      </c>
      <c r="E69" s="19">
        <f>IFERROR(__xludf.DUMMYFUNCTION("""COMPUTED_VALUE"""),0.0)</f>
        <v>0</v>
      </c>
    </row>
    <row r="70">
      <c r="A70" s="4" t="str">
        <f>IFERROR(__xludf.DUMMYFUNCTION("""COMPUTED_VALUE"""),"BULACAO")</f>
        <v>BULACAO</v>
      </c>
      <c r="B70" s="4" t="str">
        <f>IFERROR(__xludf.DUMMYFUNCTION("""COMPUTED_VALUE"""),"ITM088")</f>
        <v>ITM088</v>
      </c>
      <c r="C70" s="4" t="str">
        <f>IFERROR(__xludf.DUMMYFUNCTION("""COMPUTED_VALUE"""),"ZONROX (ORIGINAL)")</f>
        <v>ZONROX (ORIGINAL)</v>
      </c>
      <c r="D70" s="19">
        <f>IFERROR(__xludf.DUMMYFUNCTION("""COMPUTED_VALUE"""),1.0)</f>
        <v>1</v>
      </c>
      <c r="E70" s="19">
        <f>IFERROR(__xludf.DUMMYFUNCTION("""COMPUTED_VALUE"""),0.0)</f>
        <v>0</v>
      </c>
    </row>
    <row r="71">
      <c r="A71" s="4" t="str">
        <f>IFERROR(__xludf.DUMMYFUNCTION("""COMPUTED_VALUE"""),"BULACAO")</f>
        <v>BULACAO</v>
      </c>
      <c r="B71" s="4" t="str">
        <f>IFERROR(__xludf.DUMMYFUNCTION("""COMPUTED_VALUE"""),"ITM094")</f>
        <v>ITM094</v>
      </c>
      <c r="C71" s="4" t="str">
        <f>IFERROR(__xludf.DUMMYFUNCTION("""COMPUTED_VALUE"""),"TRASH BAG (XL)")</f>
        <v>TRASH BAG (XL)</v>
      </c>
      <c r="D71" s="19">
        <f>IFERROR(__xludf.DUMMYFUNCTION("""COMPUTED_VALUE"""),1.0)</f>
        <v>1</v>
      </c>
      <c r="E71" s="19">
        <f>IFERROR(__xludf.DUMMYFUNCTION("""COMPUTED_VALUE"""),0.0)</f>
        <v>0</v>
      </c>
    </row>
    <row r="72">
      <c r="A72" s="4" t="str">
        <f>IFERROR(__xludf.DUMMYFUNCTION("""COMPUTED_VALUE"""),"BULACAO")</f>
        <v>BULACAO</v>
      </c>
      <c r="B72" s="4" t="str">
        <f>IFERROR(__xludf.DUMMYFUNCTION("""COMPUTED_VALUE"""),"ITM012")</f>
        <v>ITM012</v>
      </c>
      <c r="C72" s="4" t="str">
        <f>IFERROR(__xludf.DUMMYFUNCTION("""COMPUTED_VALUE"""),"BROWN FOLDER (LONG)")</f>
        <v>BROWN FOLDER (LONG)</v>
      </c>
      <c r="D72" s="19">
        <f>IFERROR(__xludf.DUMMYFUNCTION("""COMPUTED_VALUE"""),30.0)</f>
        <v>30</v>
      </c>
      <c r="E72" s="19">
        <f>IFERROR(__xludf.DUMMYFUNCTION("""COMPUTED_VALUE"""),0.0)</f>
        <v>0</v>
      </c>
    </row>
    <row r="73">
      <c r="A73" s="4" t="str">
        <f>IFERROR(__xludf.DUMMYFUNCTION("""COMPUTED_VALUE"""),"BULACAO")</f>
        <v>BULACAO</v>
      </c>
      <c r="B73" s="4" t="str">
        <f>IFERROR(__xludf.DUMMYFUNCTION("""COMPUTED_VALUE"""),"ITM027")</f>
        <v>ITM027</v>
      </c>
      <c r="C73" s="4" t="str">
        <f>IFERROR(__xludf.DUMMYFUNCTION("""COMPUTED_VALUE"""),"CORRECTION TAPE")</f>
        <v>CORRECTION TAPE</v>
      </c>
      <c r="D73" s="19">
        <f>IFERROR(__xludf.DUMMYFUNCTION("""COMPUTED_VALUE"""),1.0)</f>
        <v>1</v>
      </c>
      <c r="E73" s="19">
        <f>IFERROR(__xludf.DUMMYFUNCTION("""COMPUTED_VALUE"""),0.0)</f>
        <v>0</v>
      </c>
    </row>
    <row r="74">
      <c r="A74" s="4" t="str">
        <f>IFERROR(__xludf.DUMMYFUNCTION("""COMPUTED_VALUE"""),"BULACAO")</f>
        <v>BULACAO</v>
      </c>
      <c r="B74" s="4" t="str">
        <f>IFERROR(__xludf.DUMMYFUNCTION("""COMPUTED_VALUE"""),"ITM067")</f>
        <v>ITM067</v>
      </c>
      <c r="C74" s="4" t="str">
        <f>IFERROR(__xludf.DUMMYFUNCTION("""COMPUTED_VALUE"""),"FASTENER")</f>
        <v>FASTENER</v>
      </c>
      <c r="D74" s="19">
        <f>IFERROR(__xludf.DUMMYFUNCTION("""COMPUTED_VALUE"""),1.0)</f>
        <v>1</v>
      </c>
      <c r="E74" s="19">
        <f>IFERROR(__xludf.DUMMYFUNCTION("""COMPUTED_VALUE"""),0.0)</f>
        <v>0</v>
      </c>
    </row>
    <row r="75">
      <c r="A75" s="4" t="str">
        <f>IFERROR(__xludf.DUMMYFUNCTION("""COMPUTED_VALUE"""),"BULACAO")</f>
        <v>BULACAO</v>
      </c>
      <c r="B75" s="4" t="str">
        <f>IFERROR(__xludf.DUMMYFUNCTION("""COMPUTED_VALUE"""),"ITM019")</f>
        <v>ITM019</v>
      </c>
      <c r="C75" s="4" t="str">
        <f>IFERROR(__xludf.DUMMYFUNCTION("""COMPUTED_VALUE"""),"FLEXSTICK BLACK BALLPEN (0.5)")</f>
        <v>FLEXSTICK BLACK BALLPEN (0.5)</v>
      </c>
      <c r="D75" s="19">
        <f>IFERROR(__xludf.DUMMYFUNCTION("""COMPUTED_VALUE"""),5.0)</f>
        <v>5</v>
      </c>
      <c r="E75" s="19">
        <f>IFERROR(__xludf.DUMMYFUNCTION("""COMPUTED_VALUE"""),0.0)</f>
        <v>0</v>
      </c>
    </row>
    <row r="76">
      <c r="A76" s="4" t="str">
        <f>IFERROR(__xludf.DUMMYFUNCTION("""COMPUTED_VALUE"""),"BULACAO")</f>
        <v>BULACAO</v>
      </c>
      <c r="B76" s="4" t="str">
        <f>IFERROR(__xludf.DUMMYFUNCTION("""COMPUTED_VALUE"""),"ITM056")</f>
        <v>ITM056</v>
      </c>
      <c r="C76" s="4" t="str">
        <f>IFERROR(__xludf.DUMMYFUNCTION("""COMPUTED_VALUE"""),"PRIDE SOAP POWDER")</f>
        <v>PRIDE SOAP POWDER</v>
      </c>
      <c r="D76" s="19">
        <f>IFERROR(__xludf.DUMMYFUNCTION("""COMPUTED_VALUE"""),6.0)</f>
        <v>6</v>
      </c>
      <c r="E76" s="19">
        <f>IFERROR(__xludf.DUMMYFUNCTION("""COMPUTED_VALUE"""),0.0)</f>
        <v>0</v>
      </c>
    </row>
    <row r="77">
      <c r="A77" s="4" t="str">
        <f>IFERROR(__xludf.DUMMYFUNCTION("""COMPUTED_VALUE"""),"Y3S TALISAY")</f>
        <v>Y3S TALISAY</v>
      </c>
      <c r="B77" s="4" t="str">
        <f>IFERROR(__xludf.DUMMYFUNCTION("""COMPUTED_VALUE"""),"ITM004")</f>
        <v>ITM004</v>
      </c>
      <c r="C77" s="4" t="str">
        <f>IFERROR(__xludf.DUMMYFUNCTION("""COMPUTED_VALUE"""),"BOND PAPER NEWSPRINT (SHORT)")</f>
        <v>BOND PAPER NEWSPRINT (SHORT)</v>
      </c>
      <c r="D77" s="19">
        <f>IFERROR(__xludf.DUMMYFUNCTION("""COMPUTED_VALUE"""),1.0)</f>
        <v>1</v>
      </c>
      <c r="E77" s="19">
        <f>IFERROR(__xludf.DUMMYFUNCTION("""COMPUTED_VALUE"""),0.0)</f>
        <v>0</v>
      </c>
    </row>
    <row r="78">
      <c r="A78" s="4" t="str">
        <f>IFERROR(__xludf.DUMMYFUNCTION("""COMPUTED_VALUE"""),"Y3S TALISAY")</f>
        <v>Y3S TALISAY</v>
      </c>
      <c r="B78" s="4" t="str">
        <f>IFERROR(__xludf.DUMMYFUNCTION("""COMPUTED_VALUE"""),"ITM012")</f>
        <v>ITM012</v>
      </c>
      <c r="C78" s="4" t="str">
        <f>IFERROR(__xludf.DUMMYFUNCTION("""COMPUTED_VALUE"""),"BROWN FOLDER (LONG)")</f>
        <v>BROWN FOLDER (LONG)</v>
      </c>
      <c r="D78" s="19">
        <f>IFERROR(__xludf.DUMMYFUNCTION("""COMPUTED_VALUE"""),20.0)</f>
        <v>20</v>
      </c>
      <c r="E78" s="19">
        <f>IFERROR(__xludf.DUMMYFUNCTION("""COMPUTED_VALUE"""),0.0)</f>
        <v>0</v>
      </c>
    </row>
    <row r="79">
      <c r="A79" s="4" t="str">
        <f>IFERROR(__xludf.DUMMYFUNCTION("""COMPUTED_VALUE"""),"Y3S TALISAY")</f>
        <v>Y3S TALISAY</v>
      </c>
      <c r="B79" s="4" t="str">
        <f>IFERROR(__xludf.DUMMYFUNCTION("""COMPUTED_VALUE"""),"ITM027")</f>
        <v>ITM027</v>
      </c>
      <c r="C79" s="4" t="str">
        <f>IFERROR(__xludf.DUMMYFUNCTION("""COMPUTED_VALUE"""),"CORRECTION TAPE")</f>
        <v>CORRECTION TAPE</v>
      </c>
      <c r="D79" s="19">
        <f>IFERROR(__xludf.DUMMYFUNCTION("""COMPUTED_VALUE"""),1.0)</f>
        <v>1</v>
      </c>
      <c r="E79" s="19">
        <f>IFERROR(__xludf.DUMMYFUNCTION("""COMPUTED_VALUE"""),0.0)</f>
        <v>0</v>
      </c>
    </row>
    <row r="80">
      <c r="A80" s="4" t="str">
        <f>IFERROR(__xludf.DUMMYFUNCTION("""COMPUTED_VALUE"""),"Y3S TALISAY")</f>
        <v>Y3S TALISAY</v>
      </c>
      <c r="B80" s="4" t="str">
        <f>IFERROR(__xludf.DUMMYFUNCTION("""COMPUTED_VALUE"""),"ITM020")</f>
        <v>ITM020</v>
      </c>
      <c r="C80" s="4" t="str">
        <f>IFERROR(__xludf.DUMMYFUNCTION("""COMPUTED_VALUE"""),"FLEXSTICK RED BALLPEN (0.5)")</f>
        <v>FLEXSTICK RED BALLPEN (0.5)</v>
      </c>
      <c r="D80" s="19">
        <f>IFERROR(__xludf.DUMMYFUNCTION("""COMPUTED_VALUE"""),2.0)</f>
        <v>2</v>
      </c>
      <c r="E80" s="19">
        <f>IFERROR(__xludf.DUMMYFUNCTION("""COMPUTED_VALUE"""),0.0)</f>
        <v>0</v>
      </c>
    </row>
    <row r="81">
      <c r="A81" s="4" t="str">
        <f>IFERROR(__xludf.DUMMYFUNCTION("""COMPUTED_VALUE"""),"Y3S TALISAY")</f>
        <v>Y3S TALISAY</v>
      </c>
      <c r="B81" s="4" t="str">
        <f>IFERROR(__xludf.DUMMYFUNCTION("""COMPUTED_VALUE"""),"ITM056")</f>
        <v>ITM056</v>
      </c>
      <c r="C81" s="4" t="str">
        <f>IFERROR(__xludf.DUMMYFUNCTION("""COMPUTED_VALUE"""),"PRIDE SOAP POWDER")</f>
        <v>PRIDE SOAP POWDER</v>
      </c>
      <c r="D81" s="19">
        <f>IFERROR(__xludf.DUMMYFUNCTION("""COMPUTED_VALUE"""),6.0)</f>
        <v>6</v>
      </c>
      <c r="E81" s="19">
        <f>IFERROR(__xludf.DUMMYFUNCTION("""COMPUTED_VALUE"""),0.0)</f>
        <v>0</v>
      </c>
    </row>
    <row r="82">
      <c r="A82" s="4" t="str">
        <f>IFERROR(__xludf.DUMMYFUNCTION("""COMPUTED_VALUE"""),"Y3S TALISAY")</f>
        <v>Y3S TALISAY</v>
      </c>
      <c r="B82" s="4" t="str">
        <f>IFERROR(__xludf.DUMMYFUNCTION("""COMPUTED_VALUE"""),"ITM092")</f>
        <v>ITM092</v>
      </c>
      <c r="C82" s="4" t="str">
        <f>IFERROR(__xludf.DUMMYFUNCTION("""COMPUTED_VALUE"""),"RAGS")</f>
        <v>RAGS</v>
      </c>
      <c r="D82" s="19">
        <f>IFERROR(__xludf.DUMMYFUNCTION("""COMPUTED_VALUE"""),1.0)</f>
        <v>1</v>
      </c>
      <c r="E82" s="19">
        <f>IFERROR(__xludf.DUMMYFUNCTION("""COMPUTED_VALUE"""),0.0)</f>
        <v>0</v>
      </c>
    </row>
    <row r="83">
      <c r="A83" s="4" t="str">
        <f>IFERROR(__xludf.DUMMYFUNCTION("""COMPUTED_VALUE"""),"Y3S TALISAY")</f>
        <v>Y3S TALISAY</v>
      </c>
      <c r="B83" s="4" t="str">
        <f>IFERROR(__xludf.DUMMYFUNCTION("""COMPUTED_VALUE"""),"ITM098")</f>
        <v>ITM098</v>
      </c>
      <c r="C83" s="4" t="str">
        <f>IFERROR(__xludf.DUMMYFUNCTION("""COMPUTED_VALUE"""),"TISSUE PAPER")</f>
        <v>TISSUE PAPER</v>
      </c>
      <c r="D83" s="19">
        <f>IFERROR(__xludf.DUMMYFUNCTION("""COMPUTED_VALUE"""),3.0)</f>
        <v>3</v>
      </c>
      <c r="E83" s="19">
        <f>IFERROR(__xludf.DUMMYFUNCTION("""COMPUTED_VALUE"""),0.0)</f>
        <v>0</v>
      </c>
    </row>
    <row r="84">
      <c r="A84" s="4" t="str">
        <f>IFERROR(__xludf.DUMMYFUNCTION("""COMPUTED_VALUE"""),"Y3S TALISAY")</f>
        <v>Y3S TALISAY</v>
      </c>
      <c r="B84" s="4" t="str">
        <f>IFERROR(__xludf.DUMMYFUNCTION("""COMPUTED_VALUE"""),"ITM100")</f>
        <v>ITM100</v>
      </c>
      <c r="C84" s="4" t="str">
        <f>IFERROR(__xludf.DUMMYFUNCTION("""COMPUTED_VALUE"""),"INK BROTHER SET")</f>
        <v>INK BROTHER SET</v>
      </c>
      <c r="D84" s="19">
        <f>IFERROR(__xludf.DUMMYFUNCTION("""COMPUTED_VALUE"""),1.0)</f>
        <v>1</v>
      </c>
      <c r="E84" s="19">
        <f>IFERROR(__xludf.DUMMYFUNCTION("""COMPUTED_VALUE"""),0.0)</f>
        <v>0</v>
      </c>
    </row>
    <row r="85">
      <c r="A85" s="4" t="str">
        <f>IFERROR(__xludf.DUMMYFUNCTION("""COMPUTED_VALUE"""),"Y3S TALISAY")</f>
        <v>Y3S TALISAY</v>
      </c>
      <c r="B85" s="4" t="str">
        <f>IFERROR(__xludf.DUMMYFUNCTION("""COMPUTED_VALUE"""),"ITM002")</f>
        <v>ITM002</v>
      </c>
      <c r="C85" s="4" t="str">
        <f>IFERROR(__xludf.DUMMYFUNCTION("""COMPUTED_VALUE"""),"BOND PAPER (SHORT)")</f>
        <v>BOND PAPER (SHORT)</v>
      </c>
      <c r="D85" s="19">
        <f>IFERROR(__xludf.DUMMYFUNCTION("""COMPUTED_VALUE"""),1.0)</f>
        <v>1</v>
      </c>
      <c r="E85" s="19">
        <f>IFERROR(__xludf.DUMMYFUNCTION("""COMPUTED_VALUE"""),0.0)</f>
        <v>0</v>
      </c>
    </row>
    <row r="86">
      <c r="A86" s="4" t="str">
        <f>IFERROR(__xludf.DUMMYFUNCTION("""COMPUTED_VALUE"""),"Y3S TALISAY")</f>
        <v>Y3S TALISAY</v>
      </c>
      <c r="B86" s="4" t="str">
        <f>IFERROR(__xludf.DUMMYFUNCTION("""COMPUTED_VALUE"""),"ITM027")</f>
        <v>ITM027</v>
      </c>
      <c r="C86" s="4" t="str">
        <f>IFERROR(__xludf.DUMMYFUNCTION("""COMPUTED_VALUE"""),"CORRECTION TAPE")</f>
        <v>CORRECTION TAPE</v>
      </c>
      <c r="D86" s="19">
        <f>IFERROR(__xludf.DUMMYFUNCTION("""COMPUTED_VALUE"""),4.0)</f>
        <v>4</v>
      </c>
      <c r="E86" s="19">
        <f>IFERROR(__xludf.DUMMYFUNCTION("""COMPUTED_VALUE"""),0.0)</f>
        <v>0</v>
      </c>
    </row>
    <row r="87">
      <c r="A87" s="4" t="str">
        <f>IFERROR(__xludf.DUMMYFUNCTION("""COMPUTED_VALUE"""),"Y3S TALISAY")</f>
        <v>Y3S TALISAY</v>
      </c>
      <c r="B87" s="4" t="str">
        <f>IFERROR(__xludf.DUMMYFUNCTION("""COMPUTED_VALUE"""),"ITM090")</f>
        <v>ITM090</v>
      </c>
      <c r="C87" s="4" t="str">
        <f>IFERROR(__xludf.DUMMYFUNCTION("""COMPUTED_VALUE"""),"GLASS CLEANER")</f>
        <v>GLASS CLEANER</v>
      </c>
      <c r="D87" s="19">
        <f>IFERROR(__xludf.DUMMYFUNCTION("""COMPUTED_VALUE"""),1.0)</f>
        <v>1</v>
      </c>
      <c r="E87" s="19">
        <f>IFERROR(__xludf.DUMMYFUNCTION("""COMPUTED_VALUE"""),0.0)</f>
        <v>0</v>
      </c>
    </row>
    <row r="88">
      <c r="A88" s="4" t="str">
        <f>IFERROR(__xludf.DUMMYFUNCTION("""COMPUTED_VALUE"""),"Y3S TALISAY")</f>
        <v>Y3S TALISAY</v>
      </c>
      <c r="B88" s="4" t="str">
        <f>IFERROR(__xludf.DUMMYFUNCTION("""COMPUTED_VALUE"""),"ITM002")</f>
        <v>ITM002</v>
      </c>
      <c r="C88" s="4" t="str">
        <f>IFERROR(__xludf.DUMMYFUNCTION("""COMPUTED_VALUE"""),"BOND PAPER (SHORT)")</f>
        <v>BOND PAPER (SHORT)</v>
      </c>
      <c r="D88" s="19">
        <f>IFERROR(__xludf.DUMMYFUNCTION("""COMPUTED_VALUE"""),1.0)</f>
        <v>1</v>
      </c>
      <c r="E88" s="19">
        <f>IFERROR(__xludf.DUMMYFUNCTION("""COMPUTED_VALUE"""),0.0)</f>
        <v>0</v>
      </c>
    </row>
    <row r="89">
      <c r="A89" s="4" t="str">
        <f>IFERROR(__xludf.DUMMYFUNCTION("""COMPUTED_VALUE"""),"Y3S TALISAY")</f>
        <v>Y3S TALISAY</v>
      </c>
      <c r="B89" s="4" t="str">
        <f>IFERROR(__xludf.DUMMYFUNCTION("""COMPUTED_VALUE"""),"ITM003")</f>
        <v>ITM003</v>
      </c>
      <c r="C89" s="4" t="str">
        <f>IFERROR(__xludf.DUMMYFUNCTION("""COMPUTED_VALUE"""),"BOND PAPER A4")</f>
        <v>BOND PAPER A4</v>
      </c>
      <c r="D89" s="19">
        <f>IFERROR(__xludf.DUMMYFUNCTION("""COMPUTED_VALUE"""),1.0)</f>
        <v>1</v>
      </c>
      <c r="E89" s="19">
        <f>IFERROR(__xludf.DUMMYFUNCTION("""COMPUTED_VALUE"""),0.0)</f>
        <v>0</v>
      </c>
    </row>
    <row r="90">
      <c r="A90" s="4" t="str">
        <f>IFERROR(__xludf.DUMMYFUNCTION("""COMPUTED_VALUE"""),"Y3S TALISAY")</f>
        <v>Y3S TALISAY</v>
      </c>
      <c r="B90" s="4" t="str">
        <f>IFERROR(__xludf.DUMMYFUNCTION("""COMPUTED_VALUE"""),"ITM010")</f>
        <v>ITM010</v>
      </c>
      <c r="C90" s="4" t="str">
        <f>IFERROR(__xludf.DUMMYFUNCTION("""COMPUTED_VALUE"""),"BROWN ENVELOPE (LONG)")</f>
        <v>BROWN ENVELOPE (LONG)</v>
      </c>
      <c r="D90" s="19">
        <f>IFERROR(__xludf.DUMMYFUNCTION("""COMPUTED_VALUE"""),15.0)</f>
        <v>15</v>
      </c>
      <c r="E90" s="19">
        <f>IFERROR(__xludf.DUMMYFUNCTION("""COMPUTED_VALUE"""),0.0)</f>
        <v>0</v>
      </c>
    </row>
    <row r="91">
      <c r="A91" s="4" t="str">
        <f>IFERROR(__xludf.DUMMYFUNCTION("""COMPUTED_VALUE"""),"Y3S TALISAY")</f>
        <v>Y3S TALISAY</v>
      </c>
      <c r="B91" s="4" t="str">
        <f>IFERROR(__xludf.DUMMYFUNCTION("""COMPUTED_VALUE"""),"ITM011")</f>
        <v>ITM011</v>
      </c>
      <c r="C91" s="4" t="str">
        <f>IFERROR(__xludf.DUMMYFUNCTION("""COMPUTED_VALUE"""),"BROWN ENVELOPE (SHORT)")</f>
        <v>BROWN ENVELOPE (SHORT)</v>
      </c>
      <c r="D91" s="19">
        <f>IFERROR(__xludf.DUMMYFUNCTION("""COMPUTED_VALUE"""),20.0)</f>
        <v>20</v>
      </c>
      <c r="E91" s="19">
        <f>IFERROR(__xludf.DUMMYFUNCTION("""COMPUTED_VALUE"""),0.0)</f>
        <v>0</v>
      </c>
    </row>
    <row r="92">
      <c r="A92" s="4" t="str">
        <f>IFERROR(__xludf.DUMMYFUNCTION("""COMPUTED_VALUE"""),"Y3S TALISAY")</f>
        <v>Y3S TALISAY</v>
      </c>
      <c r="B92" s="4" t="str">
        <f>IFERROR(__xludf.DUMMYFUNCTION("""COMPUTED_VALUE"""),"ITM012")</f>
        <v>ITM012</v>
      </c>
      <c r="C92" s="4" t="str">
        <f>IFERROR(__xludf.DUMMYFUNCTION("""COMPUTED_VALUE"""),"BROWN FOLDER (LONG)")</f>
        <v>BROWN FOLDER (LONG)</v>
      </c>
      <c r="D92" s="19">
        <f>IFERROR(__xludf.DUMMYFUNCTION("""COMPUTED_VALUE"""),20.0)</f>
        <v>20</v>
      </c>
      <c r="E92" s="19">
        <f>IFERROR(__xludf.DUMMYFUNCTION("""COMPUTED_VALUE"""),0.0)</f>
        <v>0</v>
      </c>
    </row>
    <row r="93">
      <c r="A93" s="4" t="str">
        <f>IFERROR(__xludf.DUMMYFUNCTION("""COMPUTED_VALUE"""),"Y3S TALISAY")</f>
        <v>Y3S TALISAY</v>
      </c>
      <c r="B93" s="4" t="str">
        <f>IFERROR(__xludf.DUMMYFUNCTION("""COMPUTED_VALUE"""),"ITM056")</f>
        <v>ITM056</v>
      </c>
      <c r="C93" s="4" t="str">
        <f>IFERROR(__xludf.DUMMYFUNCTION("""COMPUTED_VALUE"""),"PRIDE SOAP POWDER")</f>
        <v>PRIDE SOAP POWDER</v>
      </c>
      <c r="D93" s="19">
        <f>IFERROR(__xludf.DUMMYFUNCTION("""COMPUTED_VALUE"""),5.0)</f>
        <v>5</v>
      </c>
      <c r="E93" s="19">
        <f>IFERROR(__xludf.DUMMYFUNCTION("""COMPUTED_VALUE"""),0.0)</f>
        <v>0</v>
      </c>
    </row>
    <row r="94">
      <c r="A94" s="4" t="str">
        <f>IFERROR(__xludf.DUMMYFUNCTION("""COMPUTED_VALUE"""),"Y3S TALISAY")</f>
        <v>Y3S TALISAY</v>
      </c>
      <c r="B94" s="4" t="str">
        <f>IFERROR(__xludf.DUMMYFUNCTION("""COMPUTED_VALUE"""),"ITM092")</f>
        <v>ITM092</v>
      </c>
      <c r="C94" s="4" t="str">
        <f>IFERROR(__xludf.DUMMYFUNCTION("""COMPUTED_VALUE"""),"RAGS")</f>
        <v>RAGS</v>
      </c>
      <c r="D94" s="19">
        <f>IFERROR(__xludf.DUMMYFUNCTION("""COMPUTED_VALUE"""),1.0)</f>
        <v>1</v>
      </c>
      <c r="E94" s="19">
        <f>IFERROR(__xludf.DUMMYFUNCTION("""COMPUTED_VALUE"""),0.0)</f>
        <v>0</v>
      </c>
    </row>
    <row r="95">
      <c r="A95" s="4" t="str">
        <f>IFERROR(__xludf.DUMMYFUNCTION("""COMPUTED_VALUE"""),"Y3S TALISAY")</f>
        <v>Y3S TALISAY</v>
      </c>
      <c r="B95" s="4" t="str">
        <f>IFERROR(__xludf.DUMMYFUNCTION("""COMPUTED_VALUE"""),"ITM093")</f>
        <v>ITM093</v>
      </c>
      <c r="C95" s="4" t="str">
        <f>IFERROR(__xludf.DUMMYFUNCTION("""COMPUTED_VALUE"""),"TRASH BAG (XXL)")</f>
        <v>TRASH BAG (XXL)</v>
      </c>
      <c r="D95" s="19">
        <f>IFERROR(__xludf.DUMMYFUNCTION("""COMPUTED_VALUE"""),1.0)</f>
        <v>1</v>
      </c>
      <c r="E95" s="19">
        <f>IFERROR(__xludf.DUMMYFUNCTION("""COMPUTED_VALUE"""),0.0)</f>
        <v>0</v>
      </c>
    </row>
    <row r="96">
      <c r="A96" s="4" t="str">
        <f>IFERROR(__xludf.DUMMYFUNCTION("""COMPUTED_VALUE"""),"Y3S TALISAY")</f>
        <v>Y3S TALISAY</v>
      </c>
      <c r="B96" s="4" t="str">
        <f>IFERROR(__xludf.DUMMYFUNCTION("""COMPUTED_VALUE"""),"ITM015")</f>
        <v>ITM015</v>
      </c>
      <c r="C96" s="4" t="str">
        <f>IFERROR(__xludf.DUMMYFUNCTION("""COMPUTED_VALUE"""),"WHITE FOLDER (SHORT)")</f>
        <v>WHITE FOLDER (SHORT)</v>
      </c>
      <c r="D96" s="19">
        <f>IFERROR(__xludf.DUMMYFUNCTION("""COMPUTED_VALUE"""),5.0)</f>
        <v>5</v>
      </c>
      <c r="E96" s="19">
        <f>IFERROR(__xludf.DUMMYFUNCTION("""COMPUTED_VALUE"""),0.0)</f>
        <v>0</v>
      </c>
    </row>
    <row r="97">
      <c r="A97" s="4" t="str">
        <f>IFERROR(__xludf.DUMMYFUNCTION("""COMPUTED_VALUE"""),"Y3S TALISAY")</f>
        <v>Y3S TALISAY</v>
      </c>
      <c r="B97" s="4" t="str">
        <f>IFERROR(__xludf.DUMMYFUNCTION("""COMPUTED_VALUE"""),"ITM009")</f>
        <v>ITM009</v>
      </c>
      <c r="C97" s="4" t="str">
        <f>IFERROR(__xludf.DUMMYFUNCTION("""COMPUTED_VALUE"""),"CARBON PAPER (LONG BLUE)")</f>
        <v>CARBON PAPER (LONG BLUE)</v>
      </c>
      <c r="D97" s="19">
        <f>IFERROR(__xludf.DUMMYFUNCTION("""COMPUTED_VALUE"""),5.0)</f>
        <v>5</v>
      </c>
      <c r="E97" s="19">
        <f>IFERROR(__xludf.DUMMYFUNCTION("""COMPUTED_VALUE"""),0.0)</f>
        <v>0</v>
      </c>
    </row>
    <row r="98">
      <c r="A98" s="4" t="str">
        <f>IFERROR(__xludf.DUMMYFUNCTION("""COMPUTED_VALUE"""),"Y3S TALISAY")</f>
        <v>Y3S TALISAY</v>
      </c>
      <c r="B98" s="4" t="str">
        <f>IFERROR(__xludf.DUMMYFUNCTION("""COMPUTED_VALUE"""),"ITM078")</f>
        <v>ITM078</v>
      </c>
      <c r="C98" s="4" t="str">
        <f>IFERROR(__xludf.DUMMYFUNCTION("""COMPUTED_VALUE"""),"COFFEE CUPS")</f>
        <v>COFFEE CUPS</v>
      </c>
      <c r="D98" s="19">
        <f>IFERROR(__xludf.DUMMYFUNCTION("""COMPUTED_VALUE"""),1.0)</f>
        <v>1</v>
      </c>
      <c r="E98" s="19">
        <f>IFERROR(__xludf.DUMMYFUNCTION("""COMPUTED_VALUE"""),0.0)</f>
        <v>0</v>
      </c>
    </row>
    <row r="99">
      <c r="A99" s="4" t="str">
        <f>IFERROR(__xludf.DUMMYFUNCTION("""COMPUTED_VALUE"""),"Y3S TALISAY")</f>
        <v>Y3S TALISAY</v>
      </c>
      <c r="B99" s="4" t="str">
        <f>IFERROR(__xludf.DUMMYFUNCTION("""COMPUTED_VALUE"""),"ITM080")</f>
        <v>ITM080</v>
      </c>
      <c r="C99" s="4" t="str">
        <f>IFERROR(__xludf.DUMMYFUNCTION("""COMPUTED_VALUE"""),"COFFEE STICK")</f>
        <v>COFFEE STICK</v>
      </c>
      <c r="D99" s="19">
        <f>IFERROR(__xludf.DUMMYFUNCTION("""COMPUTED_VALUE"""),1.0)</f>
        <v>1</v>
      </c>
      <c r="E99" s="19">
        <f>IFERROR(__xludf.DUMMYFUNCTION("""COMPUTED_VALUE"""),0.0)</f>
        <v>0</v>
      </c>
    </row>
    <row r="100">
      <c r="A100" s="4" t="str">
        <f>IFERROR(__xludf.DUMMYFUNCTION("""COMPUTED_VALUE"""),"Y3S TALISAY")</f>
        <v>Y3S TALISAY</v>
      </c>
      <c r="B100" s="4" t="str">
        <f>IFERROR(__xludf.DUMMYFUNCTION("""COMPUTED_VALUE"""),"ITM079")</f>
        <v>ITM079</v>
      </c>
      <c r="C100" s="4" t="str">
        <f>IFERROR(__xludf.DUMMYFUNCTION("""COMPUTED_VALUE"""),"DRINKING CUPS")</f>
        <v>DRINKING CUPS</v>
      </c>
      <c r="D100" s="4">
        <f>IFERROR(__xludf.DUMMYFUNCTION("""COMPUTED_VALUE"""),1.0)</f>
        <v>1</v>
      </c>
      <c r="E100" s="4">
        <f>IFERROR(__xludf.DUMMYFUNCTION("""COMPUTED_VALUE"""),0.0)</f>
        <v>0</v>
      </c>
    </row>
    <row r="101">
      <c r="A101" s="4" t="str">
        <f>IFERROR(__xludf.DUMMYFUNCTION("""COMPUTED_VALUE"""),"Y3S TALISAY")</f>
        <v>Y3S TALISAY</v>
      </c>
      <c r="B101" s="4" t="str">
        <f>IFERROR(__xludf.DUMMYFUNCTION("""COMPUTED_VALUE"""),"ITM087")</f>
        <v>ITM087</v>
      </c>
      <c r="C101" s="4" t="str">
        <f>IFERROR(__xludf.DUMMYFUNCTION("""COMPUTED_VALUE"""),"ALBATROSS")</f>
        <v>ALBATROSS</v>
      </c>
      <c r="D101" s="4">
        <f>IFERROR(__xludf.DUMMYFUNCTION("""COMPUTED_VALUE"""),1.0)</f>
        <v>1</v>
      </c>
      <c r="E101" s="4">
        <f>IFERROR(__xludf.DUMMYFUNCTION("""COMPUTED_VALUE"""),0.0)</f>
        <v>0</v>
      </c>
    </row>
    <row r="102">
      <c r="A102" s="4" t="str">
        <f>IFERROR(__xludf.DUMMYFUNCTION("""COMPUTED_VALUE"""),"Y3S TALISAY")</f>
        <v>Y3S TALISAY</v>
      </c>
      <c r="B102" s="4" t="str">
        <f>IFERROR(__xludf.DUMMYFUNCTION("""COMPUTED_VALUE"""),"ITM082")</f>
        <v>ITM082</v>
      </c>
      <c r="C102" s="4" t="str">
        <f>IFERROR(__xludf.DUMMYFUNCTION("""COMPUTED_VALUE"""),"BROWN SUGAR")</f>
        <v>BROWN SUGAR</v>
      </c>
      <c r="D102" s="4">
        <f>IFERROR(__xludf.DUMMYFUNCTION("""COMPUTED_VALUE"""),1.0)</f>
        <v>1</v>
      </c>
      <c r="E102" s="4">
        <f>IFERROR(__xludf.DUMMYFUNCTION("""COMPUTED_VALUE"""),0.0)</f>
        <v>0</v>
      </c>
    </row>
    <row r="103">
      <c r="A103" s="4" t="str">
        <f>IFERROR(__xludf.DUMMYFUNCTION("""COMPUTED_VALUE"""),"Y3S TALISAY")</f>
        <v>Y3S TALISAY</v>
      </c>
      <c r="B103" s="4" t="str">
        <f>IFERROR(__xludf.DUMMYFUNCTION("""COMPUTED_VALUE"""),"ITM028")</f>
        <v>ITM028</v>
      </c>
      <c r="C103" s="4" t="str">
        <f>IFERROR(__xludf.DUMMYFUNCTION("""COMPUTED_VALUE"""),"CANDIES")</f>
        <v>CANDIES</v>
      </c>
      <c r="D103" s="4">
        <f>IFERROR(__xludf.DUMMYFUNCTION("""COMPUTED_VALUE"""),30.0)</f>
        <v>30</v>
      </c>
      <c r="E103" s="4">
        <f>IFERROR(__xludf.DUMMYFUNCTION("""COMPUTED_VALUE"""),0.0)</f>
        <v>0</v>
      </c>
    </row>
    <row r="104">
      <c r="A104" s="4" t="str">
        <f>IFERROR(__xludf.DUMMYFUNCTION("""COMPUTED_VALUE"""),"Y3S TALISAY")</f>
        <v>Y3S TALISAY</v>
      </c>
      <c r="B104" s="4" t="str">
        <f>IFERROR(__xludf.DUMMYFUNCTION("""COMPUTED_VALUE"""),"ITM081")</f>
        <v>ITM081</v>
      </c>
      <c r="C104" s="4" t="str">
        <f>IFERROR(__xludf.DUMMYFUNCTION("""COMPUTED_VALUE"""),"CREAMER")</f>
        <v>CREAMER</v>
      </c>
      <c r="D104" s="4">
        <f>IFERROR(__xludf.DUMMYFUNCTION("""COMPUTED_VALUE"""),1.0)</f>
        <v>1</v>
      </c>
      <c r="E104" s="4">
        <f>IFERROR(__xludf.DUMMYFUNCTION("""COMPUTED_VALUE"""),0.0)</f>
        <v>0</v>
      </c>
    </row>
    <row r="105">
      <c r="A105" s="4" t="str">
        <f>IFERROR(__xludf.DUMMYFUNCTION("""COMPUTED_VALUE"""),"Y3S TALISAY")</f>
        <v>Y3S TALISAY</v>
      </c>
      <c r="B105" s="4" t="str">
        <f>IFERROR(__xludf.DUMMYFUNCTION("""COMPUTED_VALUE"""),"ITM040")</f>
        <v>ITM040</v>
      </c>
      <c r="C105" s="4" t="str">
        <f>IFERROR(__xludf.DUMMYFUNCTION("""COMPUTED_VALUE"""),"DOUBLE-SIDED TAPE (1 INCH)")</f>
        <v>DOUBLE-SIDED TAPE (1 INCH)</v>
      </c>
      <c r="D105" s="4">
        <f>IFERROR(__xludf.DUMMYFUNCTION("""COMPUTED_VALUE"""),2.0)</f>
        <v>2</v>
      </c>
      <c r="E105" s="4">
        <f>IFERROR(__xludf.DUMMYFUNCTION("""COMPUTED_VALUE"""),0.0)</f>
        <v>0</v>
      </c>
    </row>
    <row r="106">
      <c r="A106" s="4" t="str">
        <f>IFERROR(__xludf.DUMMYFUNCTION("""COMPUTED_VALUE"""),"Y3S TALISAY")</f>
        <v>Y3S TALISAY</v>
      </c>
      <c r="B106" s="4" t="str">
        <f>IFERROR(__xludf.DUMMYFUNCTION("""COMPUTED_VALUE"""),"ITM062")</f>
        <v>ITM062</v>
      </c>
      <c r="C106" s="4" t="str">
        <f>IFERROR(__xludf.DUMMYFUNCTION("""COMPUTED_VALUE"""),"DOWNY")</f>
        <v>DOWNY</v>
      </c>
      <c r="D106" s="4">
        <f>IFERROR(__xludf.DUMMYFUNCTION("""COMPUTED_VALUE"""),5.0)</f>
        <v>5</v>
      </c>
      <c r="E106" s="4">
        <f>IFERROR(__xludf.DUMMYFUNCTION("""COMPUTED_VALUE"""),0.0)</f>
        <v>0</v>
      </c>
    </row>
    <row r="107">
      <c r="A107" s="4" t="str">
        <f>IFERROR(__xludf.DUMMYFUNCTION("""COMPUTED_VALUE"""),"Y3S TALISAY")</f>
        <v>Y3S TALISAY</v>
      </c>
      <c r="B107" s="4" t="str">
        <f>IFERROR(__xludf.DUMMYFUNCTION("""COMPUTED_VALUE"""),"ITM067")</f>
        <v>ITM067</v>
      </c>
      <c r="C107" s="4" t="str">
        <f>IFERROR(__xludf.DUMMYFUNCTION("""COMPUTED_VALUE"""),"FASTENER")</f>
        <v>FASTENER</v>
      </c>
      <c r="D107" s="4">
        <f>IFERROR(__xludf.DUMMYFUNCTION("""COMPUTED_VALUE"""),1.0)</f>
        <v>1</v>
      </c>
      <c r="E107" s="4">
        <f>IFERROR(__xludf.DUMMYFUNCTION("""COMPUTED_VALUE"""),0.0)</f>
        <v>0</v>
      </c>
    </row>
    <row r="108">
      <c r="A108" s="4" t="str">
        <f>IFERROR(__xludf.DUMMYFUNCTION("""COMPUTED_VALUE"""),"Y3S TALISAY")</f>
        <v>Y3S TALISAY</v>
      </c>
      <c r="B108" s="4" t="str">
        <f>IFERROR(__xludf.DUMMYFUNCTION("""COMPUTED_VALUE"""),"ITM038")</f>
        <v>ITM038</v>
      </c>
      <c r="C108" s="4" t="str">
        <f>IFERROR(__xludf.DUMMYFUNCTION("""COMPUTED_VALUE"""),"MASKING TAPE")</f>
        <v>MASKING TAPE</v>
      </c>
      <c r="D108" s="4"/>
      <c r="E108" s="4">
        <f>IFERROR(__xludf.DUMMYFUNCTION("""COMPUTED_VALUE"""),0.0)</f>
        <v>0</v>
      </c>
    </row>
    <row r="109">
      <c r="A109" s="4" t="str">
        <f>IFERROR(__xludf.DUMMYFUNCTION("""COMPUTED_VALUE"""),"Y3S TALISAY")</f>
        <v>Y3S TALISAY</v>
      </c>
      <c r="B109" s="4" t="str">
        <f>IFERROR(__xludf.DUMMYFUNCTION("""COMPUTED_VALUE"""),"ITM083")</f>
        <v>ITM083</v>
      </c>
      <c r="C109" s="4" t="str">
        <f>IFERROR(__xludf.DUMMYFUNCTION("""COMPUTED_VALUE"""),"STIRRER")</f>
        <v>STIRRER</v>
      </c>
      <c r="D109" s="4">
        <f>IFERROR(__xludf.DUMMYFUNCTION("""COMPUTED_VALUE"""),30.0)</f>
        <v>30</v>
      </c>
      <c r="E109" s="4">
        <f>IFERROR(__xludf.DUMMYFUNCTION("""COMPUTED_VALUE"""),0.0)</f>
        <v>0</v>
      </c>
    </row>
    <row r="110">
      <c r="A110" s="4" t="str">
        <f>IFERROR(__xludf.DUMMYFUNCTION("""COMPUTED_VALUE"""),"Y3S TALISAY")</f>
        <v>Y3S TALISAY</v>
      </c>
      <c r="B110" s="4" t="str">
        <f>IFERROR(__xludf.DUMMYFUNCTION("""COMPUTED_VALUE"""),"ITM009")</f>
        <v>ITM009</v>
      </c>
      <c r="C110" s="4" t="str">
        <f>IFERROR(__xludf.DUMMYFUNCTION("""COMPUTED_VALUE"""),"CARBON PAPER (LONG BLUE)")</f>
        <v>CARBON PAPER (LONG BLUE)</v>
      </c>
      <c r="D110" s="4">
        <f>IFERROR(__xludf.DUMMYFUNCTION("""COMPUTED_VALUE"""),5.0)</f>
        <v>5</v>
      </c>
      <c r="E110" s="4">
        <f>IFERROR(__xludf.DUMMYFUNCTION("""COMPUTED_VALUE"""),0.0)</f>
        <v>0</v>
      </c>
    </row>
    <row r="111">
      <c r="A111" s="4" t="str">
        <f>IFERROR(__xludf.DUMMYFUNCTION("""COMPUTED_VALUE"""),"Y3S TALISAY")</f>
        <v>Y3S TALISAY</v>
      </c>
      <c r="B111" s="4" t="str">
        <f>IFERROR(__xludf.DUMMYFUNCTION("""COMPUTED_VALUE"""),"ITM078")</f>
        <v>ITM078</v>
      </c>
      <c r="C111" s="4" t="str">
        <f>IFERROR(__xludf.DUMMYFUNCTION("""COMPUTED_VALUE"""),"COFFEE CUPS")</f>
        <v>COFFEE CUPS</v>
      </c>
      <c r="D111" s="4">
        <f>IFERROR(__xludf.DUMMYFUNCTION("""COMPUTED_VALUE"""),1.0)</f>
        <v>1</v>
      </c>
      <c r="E111" s="4">
        <f>IFERROR(__xludf.DUMMYFUNCTION("""COMPUTED_VALUE"""),0.0)</f>
        <v>0</v>
      </c>
    </row>
    <row r="112">
      <c r="A112" s="4" t="str">
        <f>IFERROR(__xludf.DUMMYFUNCTION("""COMPUTED_VALUE"""),"Y3S TALISAY")</f>
        <v>Y3S TALISAY</v>
      </c>
      <c r="B112" s="4" t="str">
        <f>IFERROR(__xludf.DUMMYFUNCTION("""COMPUTED_VALUE"""),"ITM079")</f>
        <v>ITM079</v>
      </c>
      <c r="C112" s="4" t="str">
        <f>IFERROR(__xludf.DUMMYFUNCTION("""COMPUTED_VALUE"""),"DRINKING CUPS")</f>
        <v>DRINKING CUPS</v>
      </c>
      <c r="D112" s="4">
        <f>IFERROR(__xludf.DUMMYFUNCTION("""COMPUTED_VALUE"""),1.0)</f>
        <v>1</v>
      </c>
      <c r="E112" s="4">
        <f>IFERROR(__xludf.DUMMYFUNCTION("""COMPUTED_VALUE"""),0.0)</f>
        <v>0</v>
      </c>
    </row>
    <row r="113">
      <c r="A113" s="4" t="str">
        <f>IFERROR(__xludf.DUMMYFUNCTION("""COMPUTED_VALUE"""),"Y3S TALISAY")</f>
        <v>Y3S TALISAY</v>
      </c>
      <c r="B113" s="4" t="str">
        <f>IFERROR(__xludf.DUMMYFUNCTION("""COMPUTED_VALUE"""),"ITM056")</f>
        <v>ITM056</v>
      </c>
      <c r="C113" s="4" t="str">
        <f>IFERROR(__xludf.DUMMYFUNCTION("""COMPUTED_VALUE"""),"PRIDE SOAP POWDER")</f>
        <v>PRIDE SOAP POWDER</v>
      </c>
      <c r="D113" s="4">
        <f>IFERROR(__xludf.DUMMYFUNCTION("""COMPUTED_VALUE"""),6.0)</f>
        <v>6</v>
      </c>
      <c r="E113" s="4">
        <f>IFERROR(__xludf.DUMMYFUNCTION("""COMPUTED_VALUE"""),0.0)</f>
        <v>0</v>
      </c>
    </row>
    <row r="114">
      <c r="A114" s="4" t="str">
        <f>IFERROR(__xludf.DUMMYFUNCTION("""COMPUTED_VALUE"""),"Y3S TALISAY")</f>
        <v>Y3S TALISAY</v>
      </c>
      <c r="B114" s="4" t="str">
        <f>IFERROR(__xludf.DUMMYFUNCTION("""COMPUTED_VALUE"""),"ITM092")</f>
        <v>ITM092</v>
      </c>
      <c r="C114" s="4" t="str">
        <f>IFERROR(__xludf.DUMMYFUNCTION("""COMPUTED_VALUE"""),"RAGS")</f>
        <v>RAGS</v>
      </c>
      <c r="D114" s="4">
        <f>IFERROR(__xludf.DUMMYFUNCTION("""COMPUTED_VALUE"""),1.0)</f>
        <v>1</v>
      </c>
      <c r="E114" s="4">
        <f>IFERROR(__xludf.DUMMYFUNCTION("""COMPUTED_VALUE"""),0.0)</f>
        <v>0</v>
      </c>
    </row>
    <row r="115">
      <c r="A115" s="4" t="str">
        <f>IFERROR(__xludf.DUMMYFUNCTION("""COMPUTED_VALUE"""),"Y3S TALISAY")</f>
        <v>Y3S TALISAY</v>
      </c>
      <c r="B115" s="4" t="str">
        <f>IFERROR(__xludf.DUMMYFUNCTION("""COMPUTED_VALUE"""),"ITM083")</f>
        <v>ITM083</v>
      </c>
      <c r="C115" s="4" t="str">
        <f>IFERROR(__xludf.DUMMYFUNCTION("""COMPUTED_VALUE"""),"STIRRER")</f>
        <v>STIRRER</v>
      </c>
      <c r="D115" s="4">
        <f>IFERROR(__xludf.DUMMYFUNCTION("""COMPUTED_VALUE"""),30.0)</f>
        <v>30</v>
      </c>
      <c r="E115" s="4">
        <f>IFERROR(__xludf.DUMMYFUNCTION("""COMPUTED_VALUE"""),0.0)</f>
        <v>0</v>
      </c>
    </row>
    <row r="116">
      <c r="A116" s="4" t="str">
        <f>IFERROR(__xludf.DUMMYFUNCTION("""COMPUTED_VALUE"""),"Y3S TALISAY")</f>
        <v>Y3S TALISAY</v>
      </c>
      <c r="B116" s="4" t="str">
        <f>IFERROR(__xludf.DUMMYFUNCTION("""COMPUTED_VALUE"""),"ITM098")</f>
        <v>ITM098</v>
      </c>
      <c r="C116" s="4" t="str">
        <f>IFERROR(__xludf.DUMMYFUNCTION("""COMPUTED_VALUE"""),"TISSUE PAPER")</f>
        <v>TISSUE PAPER</v>
      </c>
      <c r="D116" s="4">
        <f>IFERROR(__xludf.DUMMYFUNCTION("""COMPUTED_VALUE"""),2.0)</f>
        <v>2</v>
      </c>
      <c r="E116" s="4">
        <f>IFERROR(__xludf.DUMMYFUNCTION("""COMPUTED_VALUE"""),0.0)</f>
        <v>0</v>
      </c>
    </row>
    <row r="117">
      <c r="A117" s="4" t="str">
        <f>IFERROR(__xludf.DUMMYFUNCTION("""COMPUTED_VALUE"""),"Y3S TALISAY")</f>
        <v>Y3S TALISAY</v>
      </c>
      <c r="B117" s="4" t="str">
        <f>IFERROR(__xludf.DUMMYFUNCTION("""COMPUTED_VALUE"""),"ITM095")</f>
        <v>ITM095</v>
      </c>
      <c r="C117" s="4" t="str">
        <f>IFERROR(__xludf.DUMMYFUNCTION("""COMPUTED_VALUE"""),"TRASH BAG (LARGE)")</f>
        <v>TRASH BAG (LARGE)</v>
      </c>
      <c r="D117" s="4">
        <f>IFERROR(__xludf.DUMMYFUNCTION("""COMPUTED_VALUE"""),1.0)</f>
        <v>1</v>
      </c>
      <c r="E117" s="4">
        <f>IFERROR(__xludf.DUMMYFUNCTION("""COMPUTED_VALUE"""),0.0)</f>
        <v>0</v>
      </c>
    </row>
    <row r="118">
      <c r="A118" s="4" t="str">
        <f>IFERROR(__xludf.DUMMYFUNCTION("""COMPUTED_VALUE"""),"Y3S TALISAY")</f>
        <v>Y3S TALISAY</v>
      </c>
      <c r="B118" s="4" t="str">
        <f>IFERROR(__xludf.DUMMYFUNCTION("""COMPUTED_VALUE"""),"ITM093")</f>
        <v>ITM093</v>
      </c>
      <c r="C118" s="4" t="str">
        <f>IFERROR(__xludf.DUMMYFUNCTION("""COMPUTED_VALUE"""),"TRASH BAG (XXL)")</f>
        <v>TRASH BAG (XXL)</v>
      </c>
      <c r="D118" s="4">
        <f>IFERROR(__xludf.DUMMYFUNCTION("""COMPUTED_VALUE"""),1.0)</f>
        <v>1</v>
      </c>
      <c r="E118" s="4">
        <f>IFERROR(__xludf.DUMMYFUNCTION("""COMPUTED_VALUE"""),0.0)</f>
        <v>0</v>
      </c>
    </row>
    <row r="119">
      <c r="A119" s="4" t="str">
        <f>IFERROR(__xludf.DUMMYFUNCTION("""COMPUTED_VALUE"""),"Y3S TALISAY")</f>
        <v>Y3S TALISAY</v>
      </c>
      <c r="B119" s="4" t="str">
        <f>IFERROR(__xludf.DUMMYFUNCTION("""COMPUTED_VALUE"""),"ITM090")</f>
        <v>ITM090</v>
      </c>
      <c r="C119" s="4" t="str">
        <f>IFERROR(__xludf.DUMMYFUNCTION("""COMPUTED_VALUE"""),"GLASS CLEANER")</f>
        <v>GLASS CLEANER</v>
      </c>
      <c r="D119" s="4">
        <f>IFERROR(__xludf.DUMMYFUNCTION("""COMPUTED_VALUE"""),1.0)</f>
        <v>1</v>
      </c>
      <c r="E119" s="4">
        <f>IFERROR(__xludf.DUMMYFUNCTION("""COMPUTED_VALUE"""),0.0)</f>
        <v>0</v>
      </c>
    </row>
    <row r="120">
      <c r="A120" s="4" t="str">
        <f>IFERROR(__xludf.DUMMYFUNCTION("""COMPUTED_VALUE"""),"MINGLANILLA")</f>
        <v>MINGLANILLA</v>
      </c>
      <c r="B120" s="4" t="str">
        <f>IFERROR(__xludf.DUMMYFUNCTION("""COMPUTED_VALUE"""),"ITM019")</f>
        <v>ITM019</v>
      </c>
      <c r="C120" s="4" t="str">
        <f>IFERROR(__xludf.DUMMYFUNCTION("""COMPUTED_VALUE"""),"FLEXSTICK BLACK BALLPEN (0.5)")</f>
        <v>FLEXSTICK BLACK BALLPEN (0.5)</v>
      </c>
      <c r="D120" s="4">
        <f>IFERROR(__xludf.DUMMYFUNCTION("""COMPUTED_VALUE"""),2.0)</f>
        <v>2</v>
      </c>
      <c r="E120" s="4">
        <f>IFERROR(__xludf.DUMMYFUNCTION("""COMPUTED_VALUE"""),0.0)</f>
        <v>0</v>
      </c>
    </row>
    <row r="121">
      <c r="A121" s="4" t="str">
        <f>IFERROR(__xludf.DUMMYFUNCTION("""COMPUTED_VALUE"""),"MINGLANILLA")</f>
        <v>MINGLANILLA</v>
      </c>
      <c r="B121" s="4" t="str">
        <f>IFERROR(__xludf.DUMMYFUNCTION("""COMPUTED_VALUE"""),"ITM091")</f>
        <v>ITM091</v>
      </c>
      <c r="C121" s="4" t="str">
        <f>IFERROR(__xludf.DUMMYFUNCTION("""COMPUTED_VALUE"""),"HANDWASH")</f>
        <v>HANDWASH</v>
      </c>
      <c r="D121" s="4">
        <f>IFERROR(__xludf.DUMMYFUNCTION("""COMPUTED_VALUE"""),1.0)</f>
        <v>1</v>
      </c>
      <c r="E121" s="4">
        <f>IFERROR(__xludf.DUMMYFUNCTION("""COMPUTED_VALUE"""),0.0)</f>
        <v>0</v>
      </c>
    </row>
    <row r="122">
      <c r="A122" s="4" t="str">
        <f>IFERROR(__xludf.DUMMYFUNCTION("""COMPUTED_VALUE"""),"MINGLANILLA")</f>
        <v>MINGLANILLA</v>
      </c>
      <c r="B122" s="4" t="str">
        <f>IFERROR(__xludf.DUMMYFUNCTION("""COMPUTED_VALUE"""),"ITM038")</f>
        <v>ITM038</v>
      </c>
      <c r="C122" s="4" t="str">
        <f>IFERROR(__xludf.DUMMYFUNCTION("""COMPUTED_VALUE"""),"MASKING TAPE")</f>
        <v>MASKING TAPE</v>
      </c>
      <c r="D122" s="4">
        <f>IFERROR(__xludf.DUMMYFUNCTION("""COMPUTED_VALUE"""),1.0)</f>
        <v>1</v>
      </c>
      <c r="E122" s="4">
        <f>IFERROR(__xludf.DUMMYFUNCTION("""COMPUTED_VALUE"""),0.0)</f>
        <v>0</v>
      </c>
    </row>
    <row r="123">
      <c r="A123" s="4" t="str">
        <f>IFERROR(__xludf.DUMMYFUNCTION("""COMPUTED_VALUE"""),"MINGLANILLA")</f>
        <v>MINGLANILLA</v>
      </c>
      <c r="B123" s="4" t="str">
        <f>IFERROR(__xludf.DUMMYFUNCTION("""COMPUTED_VALUE"""),"ITM056")</f>
        <v>ITM056</v>
      </c>
      <c r="C123" s="4" t="str">
        <f>IFERROR(__xludf.DUMMYFUNCTION("""COMPUTED_VALUE"""),"PRIDE SOAP POWDER")</f>
        <v>PRIDE SOAP POWDER</v>
      </c>
      <c r="D123" s="4">
        <f>IFERROR(__xludf.DUMMYFUNCTION("""COMPUTED_VALUE"""),6.0)</f>
        <v>6</v>
      </c>
      <c r="E123" s="4">
        <f>IFERROR(__xludf.DUMMYFUNCTION("""COMPUTED_VALUE"""),0.0)</f>
        <v>0</v>
      </c>
    </row>
    <row r="124">
      <c r="A124" s="4" t="str">
        <f>IFERROR(__xludf.DUMMYFUNCTION("""COMPUTED_VALUE"""),"MINGLANILLA")</f>
        <v>MINGLANILLA</v>
      </c>
      <c r="B124" s="4" t="str">
        <f>IFERROR(__xludf.DUMMYFUNCTION("""COMPUTED_VALUE"""),"ITM063")</f>
        <v>ITM063</v>
      </c>
      <c r="C124" s="4" t="str">
        <f>IFERROR(__xludf.DUMMYFUNCTION("""COMPUTED_VALUE"""),"SAFEGUARD SOAP")</f>
        <v>SAFEGUARD SOAP</v>
      </c>
      <c r="D124" s="4">
        <f>IFERROR(__xludf.DUMMYFUNCTION("""COMPUTED_VALUE"""),1.0)</f>
        <v>1</v>
      </c>
      <c r="E124" s="4">
        <f>IFERROR(__xludf.DUMMYFUNCTION("""COMPUTED_VALUE"""),0.0)</f>
        <v>0</v>
      </c>
    </row>
    <row r="125">
      <c r="A125" s="4" t="str">
        <f>IFERROR(__xludf.DUMMYFUNCTION("""COMPUTED_VALUE"""),"MINGLANILLA")</f>
        <v>MINGLANILLA</v>
      </c>
      <c r="B125" s="4" t="str">
        <f>IFERROR(__xludf.DUMMYFUNCTION("""COMPUTED_VALUE"""),"ITM006")</f>
        <v>ITM006</v>
      </c>
      <c r="C125" s="4" t="str">
        <f>IFERROR(__xludf.DUMMYFUNCTION("""COMPUTED_VALUE"""),"VELLUM PAPER")</f>
        <v>VELLUM PAPER</v>
      </c>
      <c r="D125" s="4">
        <f>IFERROR(__xludf.DUMMYFUNCTION("""COMPUTED_VALUE"""),30.0)</f>
        <v>30</v>
      </c>
      <c r="E125" s="4">
        <f>IFERROR(__xludf.DUMMYFUNCTION("""COMPUTED_VALUE"""),0.0)</f>
        <v>0</v>
      </c>
    </row>
    <row r="126">
      <c r="A126" s="4" t="str">
        <f>IFERROR(__xludf.DUMMYFUNCTION("""COMPUTED_VALUE"""),"MINGLANILLA")</f>
        <v>MINGLANILLA</v>
      </c>
      <c r="B126" s="4" t="str">
        <f>IFERROR(__xludf.DUMMYFUNCTION("""COMPUTED_VALUE"""),"ITM088")</f>
        <v>ITM088</v>
      </c>
      <c r="C126" s="4" t="str">
        <f>IFERROR(__xludf.DUMMYFUNCTION("""COMPUTED_VALUE"""),"ZONROX (ORIGINAL)")</f>
        <v>ZONROX (ORIGINAL)</v>
      </c>
      <c r="D126" s="4">
        <f>IFERROR(__xludf.DUMMYFUNCTION("""COMPUTED_VALUE"""),1.0)</f>
        <v>1</v>
      </c>
      <c r="E126" s="4">
        <f>IFERROR(__xludf.DUMMYFUNCTION("""COMPUTED_VALUE"""),0.0)</f>
        <v>0</v>
      </c>
    </row>
    <row r="127">
      <c r="A127" s="4" t="str">
        <f>IFERROR(__xludf.DUMMYFUNCTION("""COMPUTED_VALUE"""),"MINGLANILLA")</f>
        <v>MINGLANILLA</v>
      </c>
      <c r="B127" s="4" t="str">
        <f>IFERROR(__xludf.DUMMYFUNCTION("""COMPUTED_VALUE"""),"ITM002")</f>
        <v>ITM002</v>
      </c>
      <c r="C127" s="4" t="str">
        <f>IFERROR(__xludf.DUMMYFUNCTION("""COMPUTED_VALUE"""),"BOND PAPER (SHORT)")</f>
        <v>BOND PAPER (SHORT)</v>
      </c>
      <c r="D127" s="4">
        <f>IFERROR(__xludf.DUMMYFUNCTION("""COMPUTED_VALUE"""),1.0)</f>
        <v>1</v>
      </c>
      <c r="E127" s="4">
        <f>IFERROR(__xludf.DUMMYFUNCTION("""COMPUTED_VALUE"""),0.0)</f>
        <v>0</v>
      </c>
    </row>
    <row r="128">
      <c r="A128" s="4" t="str">
        <f>IFERROR(__xludf.DUMMYFUNCTION("""COMPUTED_VALUE"""),"MINGLANILLA")</f>
        <v>MINGLANILLA</v>
      </c>
      <c r="B128" s="4" t="str">
        <f>IFERROR(__xludf.DUMMYFUNCTION("""COMPUTED_VALUE"""),"ITM012")</f>
        <v>ITM012</v>
      </c>
      <c r="C128" s="4" t="str">
        <f>IFERROR(__xludf.DUMMYFUNCTION("""COMPUTED_VALUE"""),"BROWN FOLDER (LONG)")</f>
        <v>BROWN FOLDER (LONG)</v>
      </c>
      <c r="D128" s="4">
        <f>IFERROR(__xludf.DUMMYFUNCTION("""COMPUTED_VALUE"""),10.0)</f>
        <v>10</v>
      </c>
      <c r="E128" s="4">
        <f>IFERROR(__xludf.DUMMYFUNCTION("""COMPUTED_VALUE"""),0.0)</f>
        <v>0</v>
      </c>
    </row>
    <row r="129">
      <c r="A129" s="4" t="str">
        <f>IFERROR(__xludf.DUMMYFUNCTION("""COMPUTED_VALUE"""),"MINGLANILLA")</f>
        <v>MINGLANILLA</v>
      </c>
      <c r="B129" s="4" t="str">
        <f>IFERROR(__xludf.DUMMYFUNCTION("""COMPUTED_VALUE"""),"ITM011")</f>
        <v>ITM011</v>
      </c>
      <c r="C129" s="4" t="str">
        <f>IFERROR(__xludf.DUMMYFUNCTION("""COMPUTED_VALUE"""),"BROWN ENVELOPE (SHORT)")</f>
        <v>BROWN ENVELOPE (SHORT)</v>
      </c>
      <c r="D129" s="4">
        <f>IFERROR(__xludf.DUMMYFUNCTION("""COMPUTED_VALUE"""),10.0)</f>
        <v>10</v>
      </c>
      <c r="E129" s="4">
        <f>IFERROR(__xludf.DUMMYFUNCTION("""COMPUTED_VALUE"""),0.0)</f>
        <v>0</v>
      </c>
    </row>
    <row r="130">
      <c r="A130" s="4" t="str">
        <f>IFERROR(__xludf.DUMMYFUNCTION("""COMPUTED_VALUE"""),"MINGLANILLA")</f>
        <v>MINGLANILLA</v>
      </c>
      <c r="B130" s="4" t="str">
        <f>IFERROR(__xludf.DUMMYFUNCTION("""COMPUTED_VALUE"""),"ITM047")</f>
        <v>ITM047</v>
      </c>
      <c r="C130" s="4" t="str">
        <f>IFERROR(__xludf.DUMMYFUNCTION("""COMPUTED_VALUE"""),"INK EPSON 003 (BLACK)")</f>
        <v>INK EPSON 003 (BLACK)</v>
      </c>
      <c r="D130" s="4">
        <f>IFERROR(__xludf.DUMMYFUNCTION("""COMPUTED_VALUE"""),1.0)</f>
        <v>1</v>
      </c>
      <c r="E130" s="4">
        <f>IFERROR(__xludf.DUMMYFUNCTION("""COMPUTED_VALUE"""),0.0)</f>
        <v>0</v>
      </c>
    </row>
    <row r="131">
      <c r="A131" s="4" t="str">
        <f>IFERROR(__xludf.DUMMYFUNCTION("""COMPUTED_VALUE"""),"MINGLANILLA")</f>
        <v>MINGLANILLA</v>
      </c>
      <c r="B131" s="4" t="str">
        <f>IFERROR(__xludf.DUMMYFUNCTION("""COMPUTED_VALUE"""),"ITM019")</f>
        <v>ITM019</v>
      </c>
      <c r="C131" s="4" t="str">
        <f>IFERROR(__xludf.DUMMYFUNCTION("""COMPUTED_VALUE"""),"FLEXSTICK BLACK BALLPEN (0.5)")</f>
        <v>FLEXSTICK BLACK BALLPEN (0.5)</v>
      </c>
      <c r="D131" s="4">
        <f>IFERROR(__xludf.DUMMYFUNCTION("""COMPUTED_VALUE"""),4.0)</f>
        <v>4</v>
      </c>
      <c r="E131" s="4">
        <f>IFERROR(__xludf.DUMMYFUNCTION("""COMPUTED_VALUE"""),0.0)</f>
        <v>0</v>
      </c>
    </row>
    <row r="132">
      <c r="A132" s="4" t="str">
        <f>IFERROR(__xludf.DUMMYFUNCTION("""COMPUTED_VALUE"""),"MINGLANILLA")</f>
        <v>MINGLANILLA</v>
      </c>
      <c r="B132" s="4" t="str">
        <f>IFERROR(__xludf.DUMMYFUNCTION("""COMPUTED_VALUE"""),"ITM009")</f>
        <v>ITM009</v>
      </c>
      <c r="C132" s="4" t="str">
        <f>IFERROR(__xludf.DUMMYFUNCTION("""COMPUTED_VALUE"""),"CARBON PAPER (LONG BLUE)")</f>
        <v>CARBON PAPER (LONG BLUE)</v>
      </c>
      <c r="D132" s="4">
        <f>IFERROR(__xludf.DUMMYFUNCTION("""COMPUTED_VALUE"""),10.0)</f>
        <v>10</v>
      </c>
      <c r="E132" s="4">
        <f>IFERROR(__xludf.DUMMYFUNCTION("""COMPUTED_VALUE"""),0.0)</f>
        <v>0</v>
      </c>
    </row>
    <row r="133">
      <c r="A133" s="4" t="str">
        <f>IFERROR(__xludf.DUMMYFUNCTION("""COMPUTED_VALUE"""),"MINGLANILLA")</f>
        <v>MINGLANILLA</v>
      </c>
      <c r="B133" s="4" t="str">
        <f>IFERROR(__xludf.DUMMYFUNCTION("""COMPUTED_VALUE"""),"ITM043")</f>
        <v>ITM043</v>
      </c>
      <c r="C133" s="4" t="str">
        <f>IFERROR(__xludf.DUMMYFUNCTION("""COMPUTED_VALUE"""),"TYPEWRITER BLACK NYLON")</f>
        <v>TYPEWRITER BLACK NYLON</v>
      </c>
      <c r="D133" s="4">
        <f>IFERROR(__xludf.DUMMYFUNCTION("""COMPUTED_VALUE"""),1.0)</f>
        <v>1</v>
      </c>
      <c r="E133" s="4">
        <f>IFERROR(__xludf.DUMMYFUNCTION("""COMPUTED_VALUE"""),0.0)</f>
        <v>0</v>
      </c>
    </row>
    <row r="134">
      <c r="A134" s="4" t="str">
        <f>IFERROR(__xludf.DUMMYFUNCTION("""COMPUTED_VALUE"""),"MINGLANILLA")</f>
        <v>MINGLANILLA</v>
      </c>
      <c r="B134" s="4" t="str">
        <f>IFERROR(__xludf.DUMMYFUNCTION("""COMPUTED_VALUE"""),"ITM076")</f>
        <v>ITM076</v>
      </c>
      <c r="C134" s="4" t="str">
        <f>IFERROR(__xludf.DUMMYFUNCTION("""COMPUTED_VALUE"""),"RUBBER BAND ROUND RB-350")</f>
        <v>RUBBER BAND ROUND RB-350</v>
      </c>
      <c r="D134" s="4">
        <f>IFERROR(__xludf.DUMMYFUNCTION("""COMPUTED_VALUE"""),2.0)</f>
        <v>2</v>
      </c>
      <c r="E134" s="4">
        <f>IFERROR(__xludf.DUMMYFUNCTION("""COMPUTED_VALUE"""),0.0)</f>
        <v>0</v>
      </c>
    </row>
    <row r="135">
      <c r="A135" s="4" t="str">
        <f>IFERROR(__xludf.DUMMYFUNCTION("""COMPUTED_VALUE"""),"Y3S PARDO")</f>
        <v>Y3S PARDO</v>
      </c>
      <c r="B135" s="4" t="str">
        <f>IFERROR(__xludf.DUMMYFUNCTION("""COMPUTED_VALUE"""),"ITM087")</f>
        <v>ITM087</v>
      </c>
      <c r="C135" s="4" t="str">
        <f>IFERROR(__xludf.DUMMYFUNCTION("""COMPUTED_VALUE"""),"ALBATROSS")</f>
        <v>ALBATROSS</v>
      </c>
      <c r="D135" s="4">
        <f>IFERROR(__xludf.DUMMYFUNCTION("""COMPUTED_VALUE"""),1.0)</f>
        <v>1</v>
      </c>
      <c r="E135" s="4">
        <f>IFERROR(__xludf.DUMMYFUNCTION("""COMPUTED_VALUE"""),0.0)</f>
        <v>0</v>
      </c>
    </row>
    <row r="136">
      <c r="A136" s="4" t="str">
        <f>IFERROR(__xludf.DUMMYFUNCTION("""COMPUTED_VALUE"""),"Y3S PARDO")</f>
        <v>Y3S PARDO</v>
      </c>
      <c r="B136" s="4" t="str">
        <f>IFERROR(__xludf.DUMMYFUNCTION("""COMPUTED_VALUE"""),"ITM003")</f>
        <v>ITM003</v>
      </c>
      <c r="C136" s="4" t="str">
        <f>IFERROR(__xludf.DUMMYFUNCTION("""COMPUTED_VALUE"""),"BOND PAPER A4")</f>
        <v>BOND PAPER A4</v>
      </c>
      <c r="D136" s="4">
        <f>IFERROR(__xludf.DUMMYFUNCTION("""COMPUTED_VALUE"""),1.0)</f>
        <v>1</v>
      </c>
      <c r="E136" s="4">
        <f>IFERROR(__xludf.DUMMYFUNCTION("""COMPUTED_VALUE"""),0.0)</f>
        <v>0</v>
      </c>
    </row>
    <row r="137">
      <c r="A137" s="4" t="str">
        <f>IFERROR(__xludf.DUMMYFUNCTION("""COMPUTED_VALUE"""),"Y3S PARDO")</f>
        <v>Y3S PARDO</v>
      </c>
      <c r="B137" s="4" t="str">
        <f>IFERROR(__xludf.DUMMYFUNCTION("""COMPUTED_VALUE"""),"ITM005")</f>
        <v>ITM005</v>
      </c>
      <c r="C137" s="4" t="str">
        <f>IFERROR(__xludf.DUMMYFUNCTION("""COMPUTED_VALUE"""),"BOND PAPER NEWSPRINT (LONG)")</f>
        <v>BOND PAPER NEWSPRINT (LONG)</v>
      </c>
      <c r="D137" s="4">
        <f>IFERROR(__xludf.DUMMYFUNCTION("""COMPUTED_VALUE"""),1.0)</f>
        <v>1</v>
      </c>
      <c r="E137" s="4">
        <f>IFERROR(__xludf.DUMMYFUNCTION("""COMPUTED_VALUE"""),0.0)</f>
        <v>0</v>
      </c>
    </row>
    <row r="138">
      <c r="A138" s="4" t="str">
        <f>IFERROR(__xludf.DUMMYFUNCTION("""COMPUTED_VALUE"""),"Y3S PARDO")</f>
        <v>Y3S PARDO</v>
      </c>
      <c r="B138" s="4" t="str">
        <f>IFERROR(__xludf.DUMMYFUNCTION("""COMPUTED_VALUE"""),"ITM004")</f>
        <v>ITM004</v>
      </c>
      <c r="C138" s="4" t="str">
        <f>IFERROR(__xludf.DUMMYFUNCTION("""COMPUTED_VALUE"""),"BOND PAPER NEWSPRINT (SHORT)")</f>
        <v>BOND PAPER NEWSPRINT (SHORT)</v>
      </c>
      <c r="D138" s="4">
        <f>IFERROR(__xludf.DUMMYFUNCTION("""COMPUTED_VALUE"""),1.0)</f>
        <v>1</v>
      </c>
      <c r="E138" s="4">
        <f>IFERROR(__xludf.DUMMYFUNCTION("""COMPUTED_VALUE"""),0.0)</f>
        <v>0</v>
      </c>
    </row>
    <row r="139">
      <c r="A139" s="4" t="str">
        <f>IFERROR(__xludf.DUMMYFUNCTION("""COMPUTED_VALUE"""),"Y3S PARDO")</f>
        <v>Y3S PARDO</v>
      </c>
      <c r="B139" s="4" t="str">
        <f>IFERROR(__xludf.DUMMYFUNCTION("""COMPUTED_VALUE"""),"ITM062")</f>
        <v>ITM062</v>
      </c>
      <c r="C139" s="4" t="str">
        <f>IFERROR(__xludf.DUMMYFUNCTION("""COMPUTED_VALUE"""),"DOWNY")</f>
        <v>DOWNY</v>
      </c>
      <c r="D139" s="4">
        <f>IFERROR(__xludf.DUMMYFUNCTION("""COMPUTED_VALUE"""),3.0)</f>
        <v>3</v>
      </c>
      <c r="E139" s="4">
        <f>IFERROR(__xludf.DUMMYFUNCTION("""COMPUTED_VALUE"""),0.0)</f>
        <v>0</v>
      </c>
    </row>
    <row r="140">
      <c r="A140" s="4" t="str">
        <f>IFERROR(__xludf.DUMMYFUNCTION("""COMPUTED_VALUE"""),"Y3S PARDO")</f>
        <v>Y3S PARDO</v>
      </c>
      <c r="B140" s="4" t="str">
        <f>IFERROR(__xludf.DUMMYFUNCTION("""COMPUTED_VALUE"""),"ITM079")</f>
        <v>ITM079</v>
      </c>
      <c r="C140" s="4" t="str">
        <f>IFERROR(__xludf.DUMMYFUNCTION("""COMPUTED_VALUE"""),"DRINKING CUPS")</f>
        <v>DRINKING CUPS</v>
      </c>
      <c r="D140" s="4">
        <f>IFERROR(__xludf.DUMMYFUNCTION("""COMPUTED_VALUE"""),1.0)</f>
        <v>1</v>
      </c>
      <c r="E140" s="4">
        <f>IFERROR(__xludf.DUMMYFUNCTION("""COMPUTED_VALUE"""),0.0)</f>
        <v>0</v>
      </c>
    </row>
    <row r="141">
      <c r="A141" s="4" t="str">
        <f>IFERROR(__xludf.DUMMYFUNCTION("""COMPUTED_VALUE"""),"Y3S PARDO")</f>
        <v>Y3S PARDO</v>
      </c>
      <c r="B141" s="4" t="str">
        <f>IFERROR(__xludf.DUMMYFUNCTION("""COMPUTED_VALUE"""),"ITM006")</f>
        <v>ITM006</v>
      </c>
      <c r="C141" s="4" t="str">
        <f>IFERROR(__xludf.DUMMYFUNCTION("""COMPUTED_VALUE"""),"VELLUM PAPER")</f>
        <v>VELLUM PAPER</v>
      </c>
      <c r="D141" s="4">
        <f>IFERROR(__xludf.DUMMYFUNCTION("""COMPUTED_VALUE"""),30.0)</f>
        <v>30</v>
      </c>
      <c r="E141" s="4">
        <f>IFERROR(__xludf.DUMMYFUNCTION("""COMPUTED_VALUE"""),0.0)</f>
        <v>0</v>
      </c>
    </row>
    <row r="142">
      <c r="A142" s="4" t="str">
        <f>IFERROR(__xludf.DUMMYFUNCTION("""COMPUTED_VALUE"""),"Y3S PARDO")</f>
        <v>Y3S PARDO</v>
      </c>
      <c r="B142" s="4" t="str">
        <f>IFERROR(__xludf.DUMMYFUNCTION("""COMPUTED_VALUE"""),"ITM088")</f>
        <v>ITM088</v>
      </c>
      <c r="C142" s="4" t="str">
        <f>IFERROR(__xludf.DUMMYFUNCTION("""COMPUTED_VALUE"""),"ZONROX (ORIGINAL)")</f>
        <v>ZONROX (ORIGINAL)</v>
      </c>
      <c r="D142" s="4">
        <f>IFERROR(__xludf.DUMMYFUNCTION("""COMPUTED_VALUE"""),1.0)</f>
        <v>1</v>
      </c>
      <c r="E142" s="4">
        <f>IFERROR(__xludf.DUMMYFUNCTION("""COMPUTED_VALUE"""),0.0)</f>
        <v>0</v>
      </c>
    </row>
    <row r="143">
      <c r="A143" s="4" t="str">
        <f>IFERROR(__xludf.DUMMYFUNCTION("""COMPUTED_VALUE"""),"Y3S PARDO")</f>
        <v>Y3S PARDO</v>
      </c>
      <c r="B143" s="4" t="str">
        <f>IFERROR(__xludf.DUMMYFUNCTION("""COMPUTED_VALUE"""),"ITM027")</f>
        <v>ITM027</v>
      </c>
      <c r="C143" s="4" t="str">
        <f>IFERROR(__xludf.DUMMYFUNCTION("""COMPUTED_VALUE"""),"CORRECTION TAPE")</f>
        <v>CORRECTION TAPE</v>
      </c>
      <c r="D143" s="4">
        <f>IFERROR(__xludf.DUMMYFUNCTION("""COMPUTED_VALUE"""),1.0)</f>
        <v>1</v>
      </c>
      <c r="E143" s="4">
        <f>IFERROR(__xludf.DUMMYFUNCTION("""COMPUTED_VALUE"""),0.0)</f>
        <v>0</v>
      </c>
    </row>
    <row r="144">
      <c r="A144" s="4" t="str">
        <f>IFERROR(__xludf.DUMMYFUNCTION("""COMPUTED_VALUE"""),"Y3S PARDO")</f>
        <v>Y3S PARDO</v>
      </c>
      <c r="B144" s="4" t="str">
        <f>IFERROR(__xludf.DUMMYFUNCTION("""COMPUTED_VALUE"""),"ITM019")</f>
        <v>ITM019</v>
      </c>
      <c r="C144" s="4" t="str">
        <f>IFERROR(__xludf.DUMMYFUNCTION("""COMPUTED_VALUE"""),"FLEXSTICK BLACK BALLPEN (0.5)")</f>
        <v>FLEXSTICK BLACK BALLPEN (0.5)</v>
      </c>
      <c r="D144" s="4">
        <f>IFERROR(__xludf.DUMMYFUNCTION("""COMPUTED_VALUE"""),5.0)</f>
        <v>5</v>
      </c>
      <c r="E144" s="4">
        <f>IFERROR(__xludf.DUMMYFUNCTION("""COMPUTED_VALUE"""),0.0)</f>
        <v>0</v>
      </c>
    </row>
    <row r="145">
      <c r="A145" s="4" t="str">
        <f>IFERROR(__xludf.DUMMYFUNCTION("""COMPUTED_VALUE"""),"Y3S PARDO")</f>
        <v>Y3S PARDO</v>
      </c>
      <c r="B145" s="4" t="str">
        <f>IFERROR(__xludf.DUMMYFUNCTION("""COMPUTED_VALUE"""),"ITM005")</f>
        <v>ITM005</v>
      </c>
      <c r="C145" s="4" t="str">
        <f>IFERROR(__xludf.DUMMYFUNCTION("""COMPUTED_VALUE"""),"BOND PAPER NEWSPRINT (LONG)")</f>
        <v>BOND PAPER NEWSPRINT (LONG)</v>
      </c>
      <c r="D145" s="4">
        <f>IFERROR(__xludf.DUMMYFUNCTION("""COMPUTED_VALUE"""),1.0)</f>
        <v>1</v>
      </c>
      <c r="E145" s="4">
        <f>IFERROR(__xludf.DUMMYFUNCTION("""COMPUTED_VALUE"""),0.0)</f>
        <v>0</v>
      </c>
    </row>
    <row r="146">
      <c r="A146" s="4" t="str">
        <f>IFERROR(__xludf.DUMMYFUNCTION("""COMPUTED_VALUE"""),"Y3S PARDO")</f>
        <v>Y3S PARDO</v>
      </c>
      <c r="B146" s="4" t="str">
        <f>IFERROR(__xludf.DUMMYFUNCTION("""COMPUTED_VALUE"""),"ITM004")</f>
        <v>ITM004</v>
      </c>
      <c r="C146" s="4" t="str">
        <f>IFERROR(__xludf.DUMMYFUNCTION("""COMPUTED_VALUE"""),"BOND PAPER NEWSPRINT (SHORT)")</f>
        <v>BOND PAPER NEWSPRINT (SHORT)</v>
      </c>
      <c r="D146" s="4">
        <f>IFERROR(__xludf.DUMMYFUNCTION("""COMPUTED_VALUE"""),1.0)</f>
        <v>1</v>
      </c>
      <c r="E146" s="4">
        <f>IFERROR(__xludf.DUMMYFUNCTION("""COMPUTED_VALUE"""),0.0)</f>
        <v>0</v>
      </c>
    </row>
    <row r="147">
      <c r="A147" s="4" t="str">
        <f>IFERROR(__xludf.DUMMYFUNCTION("""COMPUTED_VALUE"""),"Y3S PARDO")</f>
        <v>Y3S PARDO</v>
      </c>
      <c r="B147" s="4" t="str">
        <f>IFERROR(__xludf.DUMMYFUNCTION("""COMPUTED_VALUE"""),"ITM011")</f>
        <v>ITM011</v>
      </c>
      <c r="C147" s="4" t="str">
        <f>IFERROR(__xludf.DUMMYFUNCTION("""COMPUTED_VALUE"""),"BROWN ENVELOPE (SHORT)")</f>
        <v>BROWN ENVELOPE (SHORT)</v>
      </c>
      <c r="D147" s="4">
        <f>IFERROR(__xludf.DUMMYFUNCTION("""COMPUTED_VALUE"""),20.0)</f>
        <v>20</v>
      </c>
      <c r="E147" s="4">
        <f>IFERROR(__xludf.DUMMYFUNCTION("""COMPUTED_VALUE"""),0.0)</f>
        <v>0</v>
      </c>
    </row>
    <row r="148">
      <c r="A148" s="4" t="str">
        <f>IFERROR(__xludf.DUMMYFUNCTION("""COMPUTED_VALUE"""),"Y3S PARDO")</f>
        <v>Y3S PARDO</v>
      </c>
      <c r="B148" s="4" t="str">
        <f>IFERROR(__xludf.DUMMYFUNCTION("""COMPUTED_VALUE"""),"ITM012")</f>
        <v>ITM012</v>
      </c>
      <c r="C148" s="4" t="str">
        <f>IFERROR(__xludf.DUMMYFUNCTION("""COMPUTED_VALUE"""),"BROWN FOLDER (LONG)")</f>
        <v>BROWN FOLDER (LONG)</v>
      </c>
      <c r="D148" s="4">
        <f>IFERROR(__xludf.DUMMYFUNCTION("""COMPUTED_VALUE"""),20.0)</f>
        <v>20</v>
      </c>
      <c r="E148" s="4">
        <f>IFERROR(__xludf.DUMMYFUNCTION("""COMPUTED_VALUE"""),0.0)</f>
        <v>0</v>
      </c>
    </row>
    <row r="149">
      <c r="A149" s="4" t="str">
        <f>IFERROR(__xludf.DUMMYFUNCTION("""COMPUTED_VALUE"""),"Y3S PARDO")</f>
        <v>Y3S PARDO</v>
      </c>
      <c r="B149" s="4" t="str">
        <f>IFERROR(__xludf.DUMMYFUNCTION("""COMPUTED_VALUE"""),"ITM082")</f>
        <v>ITM082</v>
      </c>
      <c r="C149" s="4" t="str">
        <f>IFERROR(__xludf.DUMMYFUNCTION("""COMPUTED_VALUE"""),"BROWN SUGAR")</f>
        <v>BROWN SUGAR</v>
      </c>
      <c r="D149" s="4">
        <f>IFERROR(__xludf.DUMMYFUNCTION("""COMPUTED_VALUE"""),1.0)</f>
        <v>1</v>
      </c>
      <c r="E149" s="4">
        <f>IFERROR(__xludf.DUMMYFUNCTION("""COMPUTED_VALUE"""),0.0)</f>
        <v>0</v>
      </c>
    </row>
    <row r="150">
      <c r="A150" s="4" t="str">
        <f>IFERROR(__xludf.DUMMYFUNCTION("""COMPUTED_VALUE"""),"Y3S PARDO")</f>
        <v>Y3S PARDO</v>
      </c>
      <c r="B150" s="4" t="str">
        <f>IFERROR(__xludf.DUMMYFUNCTION("""COMPUTED_VALUE"""),"ITM078")</f>
        <v>ITM078</v>
      </c>
      <c r="C150" s="4" t="str">
        <f>IFERROR(__xludf.DUMMYFUNCTION("""COMPUTED_VALUE"""),"COFFEE CUPS")</f>
        <v>COFFEE CUPS</v>
      </c>
      <c r="D150" s="4">
        <f>IFERROR(__xludf.DUMMYFUNCTION("""COMPUTED_VALUE"""),1.0)</f>
        <v>1</v>
      </c>
      <c r="E150" s="4">
        <f>IFERROR(__xludf.DUMMYFUNCTION("""COMPUTED_VALUE"""),0.0)</f>
        <v>0</v>
      </c>
    </row>
    <row r="151">
      <c r="A151" s="4" t="str">
        <f>IFERROR(__xludf.DUMMYFUNCTION("""COMPUTED_VALUE"""),"Y3S PARDO")</f>
        <v>Y3S PARDO</v>
      </c>
      <c r="B151" s="4" t="str">
        <f>IFERROR(__xludf.DUMMYFUNCTION("""COMPUTED_VALUE"""),"ITM080")</f>
        <v>ITM080</v>
      </c>
      <c r="C151" s="4" t="str">
        <f>IFERROR(__xludf.DUMMYFUNCTION("""COMPUTED_VALUE"""),"COFFEE STICK")</f>
        <v>COFFEE STICK</v>
      </c>
      <c r="D151" s="4">
        <f>IFERROR(__xludf.DUMMYFUNCTION("""COMPUTED_VALUE"""),1.0)</f>
        <v>1</v>
      </c>
      <c r="E151" s="4">
        <f>IFERROR(__xludf.DUMMYFUNCTION("""COMPUTED_VALUE"""),0.0)</f>
        <v>0</v>
      </c>
    </row>
    <row r="152">
      <c r="A152" s="4" t="str">
        <f>IFERROR(__xludf.DUMMYFUNCTION("""COMPUTED_VALUE"""),"Y3S PARDO")</f>
        <v>Y3S PARDO</v>
      </c>
      <c r="B152" s="4" t="str">
        <f>IFERROR(__xludf.DUMMYFUNCTION("""COMPUTED_VALUE"""),"ITM081")</f>
        <v>ITM081</v>
      </c>
      <c r="C152" s="4" t="str">
        <f>IFERROR(__xludf.DUMMYFUNCTION("""COMPUTED_VALUE"""),"CREAMER")</f>
        <v>CREAMER</v>
      </c>
      <c r="D152" s="4">
        <f>IFERROR(__xludf.DUMMYFUNCTION("""COMPUTED_VALUE"""),1.0)</f>
        <v>1</v>
      </c>
      <c r="E152" s="4">
        <f>IFERROR(__xludf.DUMMYFUNCTION("""COMPUTED_VALUE"""),0.0)</f>
        <v>0</v>
      </c>
    </row>
    <row r="153">
      <c r="A153" s="4" t="str">
        <f>IFERROR(__xludf.DUMMYFUNCTION("""COMPUTED_VALUE"""),"Y3S PARDO")</f>
        <v>Y3S PARDO</v>
      </c>
      <c r="B153" s="4" t="str">
        <f>IFERROR(__xludf.DUMMYFUNCTION("""COMPUTED_VALUE"""),"ITM079")</f>
        <v>ITM079</v>
      </c>
      <c r="C153" s="4" t="str">
        <f>IFERROR(__xludf.DUMMYFUNCTION("""COMPUTED_VALUE"""),"DRINKING CUPS")</f>
        <v>DRINKING CUPS</v>
      </c>
      <c r="D153" s="4">
        <f>IFERROR(__xludf.DUMMYFUNCTION("""COMPUTED_VALUE"""),1.0)</f>
        <v>1</v>
      </c>
      <c r="E153" s="4">
        <f>IFERROR(__xludf.DUMMYFUNCTION("""COMPUTED_VALUE"""),0.0)</f>
        <v>0</v>
      </c>
    </row>
    <row r="154">
      <c r="A154" s="4" t="str">
        <f>IFERROR(__xludf.DUMMYFUNCTION("""COMPUTED_VALUE"""),"Y3S PARDO")</f>
        <v>Y3S PARDO</v>
      </c>
      <c r="B154" s="4" t="str">
        <f>IFERROR(__xludf.DUMMYFUNCTION("""COMPUTED_VALUE"""),"ITM019")</f>
        <v>ITM019</v>
      </c>
      <c r="C154" s="4" t="str">
        <f>IFERROR(__xludf.DUMMYFUNCTION("""COMPUTED_VALUE"""),"FLEXSTICK BLACK BALLPEN (0.5)")</f>
        <v>FLEXSTICK BLACK BALLPEN (0.5)</v>
      </c>
      <c r="D154" s="4">
        <f>IFERROR(__xludf.DUMMYFUNCTION("""COMPUTED_VALUE"""),4.0)</f>
        <v>4</v>
      </c>
      <c r="E154" s="4">
        <f>IFERROR(__xludf.DUMMYFUNCTION("""COMPUTED_VALUE"""),0.0)</f>
        <v>0</v>
      </c>
    </row>
    <row r="155">
      <c r="A155" s="4" t="str">
        <f>IFERROR(__xludf.DUMMYFUNCTION("""COMPUTED_VALUE"""),"Y3S PARDO")</f>
        <v>Y3S PARDO</v>
      </c>
      <c r="B155" s="4" t="str">
        <f>IFERROR(__xludf.DUMMYFUNCTION("""COMPUTED_VALUE"""),"ITM020")</f>
        <v>ITM020</v>
      </c>
      <c r="C155" s="4" t="str">
        <f>IFERROR(__xludf.DUMMYFUNCTION("""COMPUTED_VALUE"""),"FLEXSTICK RED BALLPEN (0.5)")</f>
        <v>FLEXSTICK RED BALLPEN (0.5)</v>
      </c>
      <c r="D155" s="4">
        <f>IFERROR(__xludf.DUMMYFUNCTION("""COMPUTED_VALUE"""),2.0)</f>
        <v>2</v>
      </c>
      <c r="E155" s="4">
        <f>IFERROR(__xludf.DUMMYFUNCTION("""COMPUTED_VALUE"""),0.0)</f>
        <v>0</v>
      </c>
    </row>
    <row r="156">
      <c r="A156" s="4" t="str">
        <f>IFERROR(__xludf.DUMMYFUNCTION("""COMPUTED_VALUE"""),"Y3S PARDO")</f>
        <v>Y3S PARDO</v>
      </c>
      <c r="B156" s="4" t="str">
        <f>IFERROR(__xludf.DUMMYFUNCTION("""COMPUTED_VALUE"""),"ITM092")</f>
        <v>ITM092</v>
      </c>
      <c r="C156" s="4" t="str">
        <f>IFERROR(__xludf.DUMMYFUNCTION("""COMPUTED_VALUE"""),"RAGS")</f>
        <v>RAGS</v>
      </c>
      <c r="D156" s="4">
        <f>IFERROR(__xludf.DUMMYFUNCTION("""COMPUTED_VALUE"""),1.0)</f>
        <v>1</v>
      </c>
      <c r="E156" s="4">
        <f>IFERROR(__xludf.DUMMYFUNCTION("""COMPUTED_VALUE"""),0.0)</f>
        <v>0</v>
      </c>
    </row>
    <row r="157">
      <c r="A157" s="4" t="str">
        <f>IFERROR(__xludf.DUMMYFUNCTION("""COMPUTED_VALUE"""),"Y3S PARDO")</f>
        <v>Y3S PARDO</v>
      </c>
      <c r="B157" s="4" t="str">
        <f>IFERROR(__xludf.DUMMYFUNCTION("""COMPUTED_VALUE"""),"ITM036")</f>
        <v>ITM036</v>
      </c>
      <c r="C157" s="4" t="str">
        <f>IFERROR(__xludf.DUMMYFUNCTION("""COMPUTED_VALUE"""),"SCOTCH TAPE (1 INCH)")</f>
        <v>SCOTCH TAPE (1 INCH)</v>
      </c>
      <c r="D157" s="4">
        <f>IFERROR(__xludf.DUMMYFUNCTION("""COMPUTED_VALUE"""),2.0)</f>
        <v>2</v>
      </c>
      <c r="E157" s="4">
        <f>IFERROR(__xludf.DUMMYFUNCTION("""COMPUTED_VALUE"""),0.0)</f>
        <v>0</v>
      </c>
    </row>
    <row r="158">
      <c r="A158" s="4" t="str">
        <f>IFERROR(__xludf.DUMMYFUNCTION("""COMPUTED_VALUE"""),"Y3S PARDO")</f>
        <v>Y3S PARDO</v>
      </c>
      <c r="B158" s="4" t="str">
        <f>IFERROR(__xludf.DUMMYFUNCTION("""COMPUTED_VALUE"""),"ITM083")</f>
        <v>ITM083</v>
      </c>
      <c r="C158" s="4" t="str">
        <f>IFERROR(__xludf.DUMMYFUNCTION("""COMPUTED_VALUE"""),"STIRRER")</f>
        <v>STIRRER</v>
      </c>
      <c r="D158" s="4">
        <f>IFERROR(__xludf.DUMMYFUNCTION("""COMPUTED_VALUE"""),20.0)</f>
        <v>20</v>
      </c>
      <c r="E158" s="4">
        <f>IFERROR(__xludf.DUMMYFUNCTION("""COMPUTED_VALUE"""),0.0)</f>
        <v>0</v>
      </c>
    </row>
    <row r="159">
      <c r="A159" s="4" t="str">
        <f>IFERROR(__xludf.DUMMYFUNCTION("""COMPUTED_VALUE"""),"Y3S PARDO")</f>
        <v>Y3S PARDO</v>
      </c>
      <c r="B159" s="4" t="str">
        <f>IFERROR(__xludf.DUMMYFUNCTION("""COMPUTED_VALUE"""),"ITM098")</f>
        <v>ITM098</v>
      </c>
      <c r="C159" s="4" t="str">
        <f>IFERROR(__xludf.DUMMYFUNCTION("""COMPUTED_VALUE"""),"TISSUE PAPER")</f>
        <v>TISSUE PAPER</v>
      </c>
      <c r="D159" s="4">
        <f>IFERROR(__xludf.DUMMYFUNCTION("""COMPUTED_VALUE"""),3.0)</f>
        <v>3</v>
      </c>
      <c r="E159" s="4">
        <f>IFERROR(__xludf.DUMMYFUNCTION("""COMPUTED_VALUE"""),0.0)</f>
        <v>0</v>
      </c>
    </row>
    <row r="160">
      <c r="A160" s="4" t="str">
        <f>IFERROR(__xludf.DUMMYFUNCTION("""COMPUTED_VALUE"""),"LAPU-LAPU")</f>
        <v>LAPU-LAPU</v>
      </c>
      <c r="B160" s="4" t="str">
        <f>IFERROR(__xludf.DUMMYFUNCTION("""COMPUTED_VALUE"""),"ITM106")</f>
        <v>ITM106</v>
      </c>
      <c r="C160" s="4" t="str">
        <f>IFERROR(__xludf.DUMMYFUNCTION("""COMPUTED_VALUE"""),"DOOR MAT")</f>
        <v>DOOR MAT</v>
      </c>
      <c r="D160" s="4">
        <f>IFERROR(__xludf.DUMMYFUNCTION("""COMPUTED_VALUE"""),2.0)</f>
        <v>2</v>
      </c>
      <c r="E160" s="4">
        <f>IFERROR(__xludf.DUMMYFUNCTION("""COMPUTED_VALUE"""),0.0)</f>
        <v>0</v>
      </c>
    </row>
    <row r="161">
      <c r="A161" s="4" t="str">
        <f>IFERROR(__xludf.DUMMYFUNCTION("""COMPUTED_VALUE"""),"BACAYAN")</f>
        <v>BACAYAN</v>
      </c>
      <c r="B161" s="4" t="str">
        <f>IFERROR(__xludf.DUMMYFUNCTION("""COMPUTED_VALUE"""),"ITM092")</f>
        <v>ITM092</v>
      </c>
      <c r="C161" s="4" t="str">
        <f>IFERROR(__xludf.DUMMYFUNCTION("""COMPUTED_VALUE"""),"RAGS")</f>
        <v>RAGS</v>
      </c>
      <c r="D161" s="4">
        <f>IFERROR(__xludf.DUMMYFUNCTION("""COMPUTED_VALUE"""),1.0)</f>
        <v>1</v>
      </c>
      <c r="E161" s="4">
        <f>IFERROR(__xludf.DUMMYFUNCTION("""COMPUTED_VALUE"""),0.0)</f>
        <v>0</v>
      </c>
    </row>
    <row r="162">
      <c r="A162" s="4" t="str">
        <f>IFERROR(__xludf.DUMMYFUNCTION("""COMPUTED_VALUE"""),"BACAYAN")</f>
        <v>BACAYAN</v>
      </c>
      <c r="B162" s="4" t="str">
        <f>IFERROR(__xludf.DUMMYFUNCTION("""COMPUTED_VALUE"""),"ITM074")</f>
        <v>ITM074</v>
      </c>
      <c r="C162" s="4" t="str">
        <f>IFERROR(__xludf.DUMMYFUNCTION("""COMPUTED_VALUE"""),"STAPLE WIRE #35")</f>
        <v>STAPLE WIRE #35</v>
      </c>
      <c r="D162" s="4">
        <f>IFERROR(__xludf.DUMMYFUNCTION("""COMPUTED_VALUE"""),1.0)</f>
        <v>1</v>
      </c>
      <c r="E162" s="4">
        <f>IFERROR(__xludf.DUMMYFUNCTION("""COMPUTED_VALUE"""),0.0)</f>
        <v>0</v>
      </c>
    </row>
    <row r="163">
      <c r="A163" s="4" t="str">
        <f>IFERROR(__xludf.DUMMYFUNCTION("""COMPUTED_VALUE"""),"BACAYAN")</f>
        <v>BACAYAN</v>
      </c>
      <c r="B163" s="4" t="str">
        <f>IFERROR(__xludf.DUMMYFUNCTION("""COMPUTED_VALUE"""),"ITM096")</f>
        <v>ITM096</v>
      </c>
      <c r="C163" s="4" t="str">
        <f>IFERROR(__xludf.DUMMYFUNCTION("""COMPUTED_VALUE"""),"TRASH BAG (MEDIUM)")</f>
        <v>TRASH BAG (MEDIUM)</v>
      </c>
      <c r="D163" s="4">
        <f>IFERROR(__xludf.DUMMYFUNCTION("""COMPUTED_VALUE"""),1.0)</f>
        <v>1</v>
      </c>
      <c r="E163" s="4">
        <f>IFERROR(__xludf.DUMMYFUNCTION("""COMPUTED_VALUE"""),0.0)</f>
        <v>0</v>
      </c>
    </row>
    <row r="164">
      <c r="A164" s="4" t="str">
        <f>IFERROR(__xludf.DUMMYFUNCTION("""COMPUTED_VALUE"""),"BACAYAN")</f>
        <v>BACAYAN</v>
      </c>
      <c r="B164" s="4" t="str">
        <f>IFERROR(__xludf.DUMMYFUNCTION("""COMPUTED_VALUE"""),"ITM006")</f>
        <v>ITM006</v>
      </c>
      <c r="C164" s="4" t="str">
        <f>IFERROR(__xludf.DUMMYFUNCTION("""COMPUTED_VALUE"""),"VELLUM PAPER")</f>
        <v>VELLUM PAPER</v>
      </c>
      <c r="D164" s="4">
        <f>IFERROR(__xludf.DUMMYFUNCTION("""COMPUTED_VALUE"""),20.0)</f>
        <v>20</v>
      </c>
      <c r="E164" s="4">
        <f>IFERROR(__xludf.DUMMYFUNCTION("""COMPUTED_VALUE"""),0.0)</f>
        <v>0</v>
      </c>
    </row>
    <row r="165">
      <c r="A165" s="4" t="str">
        <f>IFERROR(__xludf.DUMMYFUNCTION("""COMPUTED_VALUE"""),"BACAYAN")</f>
        <v>BACAYAN</v>
      </c>
      <c r="B165" s="4" t="str">
        <f>IFERROR(__xludf.DUMMYFUNCTION("""COMPUTED_VALUE"""),"ITM012")</f>
        <v>ITM012</v>
      </c>
      <c r="C165" s="4" t="str">
        <f>IFERROR(__xludf.DUMMYFUNCTION("""COMPUTED_VALUE"""),"BROWN FOLDER (LONG)")</f>
        <v>BROWN FOLDER (LONG)</v>
      </c>
      <c r="D165" s="4">
        <f>IFERROR(__xludf.DUMMYFUNCTION("""COMPUTED_VALUE"""),30.0)</f>
        <v>30</v>
      </c>
      <c r="E165" s="4">
        <f>IFERROR(__xludf.DUMMYFUNCTION("""COMPUTED_VALUE"""),0.0)</f>
        <v>0</v>
      </c>
    </row>
    <row r="166">
      <c r="A166" s="4" t="str">
        <f>IFERROR(__xludf.DUMMYFUNCTION("""COMPUTED_VALUE"""),"BACAYAN")</f>
        <v>BACAYAN</v>
      </c>
      <c r="B166" s="4" t="str">
        <f>IFERROR(__xludf.DUMMYFUNCTION("""COMPUTED_VALUE"""),"ITM023")</f>
        <v>ITM023</v>
      </c>
      <c r="C166" s="4" t="str">
        <f>IFERROR(__xludf.DUMMYFUNCTION("""COMPUTED_VALUE"""),"HIGHLIGHTER")</f>
        <v>HIGHLIGHTER</v>
      </c>
      <c r="D166" s="4">
        <f>IFERROR(__xludf.DUMMYFUNCTION("""COMPUTED_VALUE"""),2.0)</f>
        <v>2</v>
      </c>
      <c r="E166" s="4">
        <f>IFERROR(__xludf.DUMMYFUNCTION("""COMPUTED_VALUE"""),0.0)</f>
        <v>0</v>
      </c>
    </row>
    <row r="167">
      <c r="A167" s="4" t="str">
        <f>IFERROR(__xludf.DUMMYFUNCTION("""COMPUTED_VALUE"""),"BACAYAN")</f>
        <v>BACAYAN</v>
      </c>
      <c r="B167" s="4" t="str">
        <f>IFERROR(__xludf.DUMMYFUNCTION("""COMPUTED_VALUE"""),"ITM011")</f>
        <v>ITM011</v>
      </c>
      <c r="C167" s="4" t="str">
        <f>IFERROR(__xludf.DUMMYFUNCTION("""COMPUTED_VALUE"""),"BROWN ENVELOPE (SHORT)")</f>
        <v>BROWN ENVELOPE (SHORT)</v>
      </c>
      <c r="D167" s="4">
        <f>IFERROR(__xludf.DUMMYFUNCTION("""COMPUTED_VALUE"""),10.0)</f>
        <v>10</v>
      </c>
      <c r="E167" s="4">
        <f>IFERROR(__xludf.DUMMYFUNCTION("""COMPUTED_VALUE"""),0.0)</f>
        <v>0</v>
      </c>
    </row>
    <row r="168">
      <c r="A168" s="4" t="str">
        <f>IFERROR(__xludf.DUMMYFUNCTION("""COMPUTED_VALUE"""),"BACAYAN")</f>
        <v>BACAYAN</v>
      </c>
      <c r="B168" s="4" t="str">
        <f>IFERROR(__xludf.DUMMYFUNCTION("""COMPUTED_VALUE"""),"ITM001")</f>
        <v>ITM001</v>
      </c>
      <c r="C168" s="4" t="str">
        <f>IFERROR(__xludf.DUMMYFUNCTION("""COMPUTED_VALUE"""),"BOND PAPER (LONG)")</f>
        <v>BOND PAPER (LONG)</v>
      </c>
      <c r="D168" s="4">
        <f>IFERROR(__xludf.DUMMYFUNCTION("""COMPUTED_VALUE"""),1.0)</f>
        <v>1</v>
      </c>
      <c r="E168" s="4">
        <f>IFERROR(__xludf.DUMMYFUNCTION("""COMPUTED_VALUE"""),0.0)</f>
        <v>0</v>
      </c>
    </row>
    <row r="169">
      <c r="A169" s="4" t="str">
        <f>IFERROR(__xludf.DUMMYFUNCTION("""COMPUTED_VALUE"""),"BACAYAN")</f>
        <v>BACAYAN</v>
      </c>
      <c r="B169" s="4" t="str">
        <f>IFERROR(__xludf.DUMMYFUNCTION("""COMPUTED_VALUE"""),"ITM004")</f>
        <v>ITM004</v>
      </c>
      <c r="C169" s="4" t="str">
        <f>IFERROR(__xludf.DUMMYFUNCTION("""COMPUTED_VALUE"""),"BOND PAPER NEWSPRINT (SHORT)")</f>
        <v>BOND PAPER NEWSPRINT (SHORT)</v>
      </c>
      <c r="D169" s="4">
        <f>IFERROR(__xludf.DUMMYFUNCTION("""COMPUTED_VALUE"""),1.0)</f>
        <v>1</v>
      </c>
      <c r="E169" s="4">
        <f>IFERROR(__xludf.DUMMYFUNCTION("""COMPUTED_VALUE"""),0.0)</f>
        <v>0</v>
      </c>
    </row>
    <row r="170">
      <c r="A170" s="4" t="str">
        <f>IFERROR(__xludf.DUMMYFUNCTION("""COMPUTED_VALUE"""),"BACAYAN")</f>
        <v>BACAYAN</v>
      </c>
      <c r="B170" s="4" t="str">
        <f>IFERROR(__xludf.DUMMYFUNCTION("""COMPUTED_VALUE"""),"ITM067")</f>
        <v>ITM067</v>
      </c>
      <c r="C170" s="4" t="str">
        <f>IFERROR(__xludf.DUMMYFUNCTION("""COMPUTED_VALUE"""),"FASTENER")</f>
        <v>FASTENER</v>
      </c>
      <c r="D170" s="4">
        <f>IFERROR(__xludf.DUMMYFUNCTION("""COMPUTED_VALUE"""),1.0)</f>
        <v>1</v>
      </c>
      <c r="E170" s="4">
        <f>IFERROR(__xludf.DUMMYFUNCTION("""COMPUTED_VALUE"""),0.0)</f>
        <v>0</v>
      </c>
    </row>
    <row r="171">
      <c r="A171" s="4" t="str">
        <f>IFERROR(__xludf.DUMMYFUNCTION("""COMPUTED_VALUE"""),"BACAYAN")</f>
        <v>BACAYAN</v>
      </c>
      <c r="B171" s="4" t="str">
        <f>IFERROR(__xludf.DUMMYFUNCTION("""COMPUTED_VALUE"""),"ITM103")</f>
        <v>ITM103</v>
      </c>
      <c r="C171" s="4" t="str">
        <f>IFERROR(__xludf.DUMMYFUNCTION("""COMPUTED_VALUE"""),"STAMP PAD BLACK NO.2")</f>
        <v>STAMP PAD BLACK NO.2</v>
      </c>
      <c r="D171" s="4">
        <f>IFERROR(__xludf.DUMMYFUNCTION("""COMPUTED_VALUE"""),1.0)</f>
        <v>1</v>
      </c>
      <c r="E171" s="4">
        <f>IFERROR(__xludf.DUMMYFUNCTION("""COMPUTED_VALUE"""),0.0)</f>
        <v>0</v>
      </c>
    </row>
    <row r="172">
      <c r="A172" s="4" t="str">
        <f>IFERROR(__xludf.DUMMYFUNCTION("""COMPUTED_VALUE"""),"BACAYAN")</f>
        <v>BACAYAN</v>
      </c>
      <c r="B172" s="4" t="str">
        <f>IFERROR(__xludf.DUMMYFUNCTION("""COMPUTED_VALUE"""),"ITM095")</f>
        <v>ITM095</v>
      </c>
      <c r="C172" s="4" t="str">
        <f>IFERROR(__xludf.DUMMYFUNCTION("""COMPUTED_VALUE"""),"TRASH BAG (LARGE)")</f>
        <v>TRASH BAG (LARGE)</v>
      </c>
      <c r="D172" s="4">
        <f>IFERROR(__xludf.DUMMYFUNCTION("""COMPUTED_VALUE"""),1.0)</f>
        <v>1</v>
      </c>
      <c r="E172" s="4">
        <f>IFERROR(__xludf.DUMMYFUNCTION("""COMPUTED_VALUE"""),0.0)</f>
        <v>0</v>
      </c>
    </row>
    <row r="173">
      <c r="A173" s="4" t="str">
        <f>IFERROR(__xludf.DUMMYFUNCTION("""COMPUTED_VALUE"""),"BACAYAN")</f>
        <v>BACAYAN</v>
      </c>
      <c r="B173" s="4" t="str">
        <f>IFERROR(__xludf.DUMMYFUNCTION("""COMPUTED_VALUE"""),"ITM094")</f>
        <v>ITM094</v>
      </c>
      <c r="C173" s="4" t="str">
        <f>IFERROR(__xludf.DUMMYFUNCTION("""COMPUTED_VALUE"""),"TRASH BAG (XL)")</f>
        <v>TRASH BAG (XL)</v>
      </c>
      <c r="D173" s="4">
        <f>IFERROR(__xludf.DUMMYFUNCTION("""COMPUTED_VALUE"""),1.0)</f>
        <v>1</v>
      </c>
      <c r="E173" s="4">
        <f>IFERROR(__xludf.DUMMYFUNCTION("""COMPUTED_VALUE"""),0.0)</f>
        <v>0</v>
      </c>
    </row>
    <row r="174">
      <c r="A174" s="4" t="str">
        <f>IFERROR(__xludf.DUMMYFUNCTION("""COMPUTED_VALUE"""),"BACAYAN")</f>
        <v>BACAYAN</v>
      </c>
      <c r="B174" s="4" t="str">
        <f>IFERROR(__xludf.DUMMYFUNCTION("""COMPUTED_VALUE"""),"ITM019")</f>
        <v>ITM019</v>
      </c>
      <c r="C174" s="4" t="str">
        <f>IFERROR(__xludf.DUMMYFUNCTION("""COMPUTED_VALUE"""),"FLEXSTICK BLACK BALLPEN (0.5)")</f>
        <v>FLEXSTICK BLACK BALLPEN (0.5)</v>
      </c>
      <c r="D174" s="4">
        <f>IFERROR(__xludf.DUMMYFUNCTION("""COMPUTED_VALUE"""),5.0)</f>
        <v>5</v>
      </c>
      <c r="E174" s="4">
        <f>IFERROR(__xludf.DUMMYFUNCTION("""COMPUTED_VALUE"""),0.0)</f>
        <v>0</v>
      </c>
    </row>
    <row r="175">
      <c r="A175" s="4" t="str">
        <f>IFERROR(__xludf.DUMMYFUNCTION("""COMPUTED_VALUE"""),"BACAYAN")</f>
        <v>BACAYAN</v>
      </c>
      <c r="B175" s="4" t="str">
        <f>IFERROR(__xludf.DUMMYFUNCTION("""COMPUTED_VALUE"""),"ITM092")</f>
        <v>ITM092</v>
      </c>
      <c r="C175" s="4" t="str">
        <f>IFERROR(__xludf.DUMMYFUNCTION("""COMPUTED_VALUE"""),"RAGS")</f>
        <v>RAGS</v>
      </c>
      <c r="D175" s="4">
        <f>IFERROR(__xludf.DUMMYFUNCTION("""COMPUTED_VALUE"""),1.0)</f>
        <v>1</v>
      </c>
      <c r="E175" s="4">
        <f>IFERROR(__xludf.DUMMYFUNCTION("""COMPUTED_VALUE"""),0.0)</f>
        <v>0</v>
      </c>
    </row>
    <row r="176">
      <c r="A176" s="4" t="str">
        <f>IFERROR(__xludf.DUMMYFUNCTION("""COMPUTED_VALUE"""),"BACAYAN")</f>
        <v>BACAYAN</v>
      </c>
      <c r="B176" s="4" t="str">
        <f>IFERROR(__xludf.DUMMYFUNCTION("""COMPUTED_VALUE"""),"ITM036")</f>
        <v>ITM036</v>
      </c>
      <c r="C176" s="4" t="str">
        <f>IFERROR(__xludf.DUMMYFUNCTION("""COMPUTED_VALUE"""),"SCOTCH TAPE (1 INCH)")</f>
        <v>SCOTCH TAPE (1 INCH)</v>
      </c>
      <c r="D176" s="4">
        <f>IFERROR(__xludf.DUMMYFUNCTION("""COMPUTED_VALUE"""),2.0)</f>
        <v>2</v>
      </c>
      <c r="E176" s="4">
        <f>IFERROR(__xludf.DUMMYFUNCTION("""COMPUTED_VALUE"""),0.0)</f>
        <v>0</v>
      </c>
    </row>
    <row r="177">
      <c r="A177" s="4" t="str">
        <f>IFERROR(__xludf.DUMMYFUNCTION("""COMPUTED_VALUE"""),"BACAYAN")</f>
        <v>BACAYAN</v>
      </c>
      <c r="B177" s="4" t="str">
        <f>IFERROR(__xludf.DUMMYFUNCTION("""COMPUTED_VALUE"""),"ITM020")</f>
        <v>ITM020</v>
      </c>
      <c r="C177" s="4" t="str">
        <f>IFERROR(__xludf.DUMMYFUNCTION("""COMPUTED_VALUE"""),"FLEXSTICK RED BALLPEN (0.5)")</f>
        <v>FLEXSTICK RED BALLPEN (0.5)</v>
      </c>
      <c r="D177" s="4">
        <f>IFERROR(__xludf.DUMMYFUNCTION("""COMPUTED_VALUE"""),5.0)</f>
        <v>5</v>
      </c>
      <c r="E177" s="4">
        <f>IFERROR(__xludf.DUMMYFUNCTION("""COMPUTED_VALUE"""),0.0)</f>
        <v>0</v>
      </c>
    </row>
    <row r="178">
      <c r="A178" s="4" t="str">
        <f>IFERROR(__xludf.DUMMYFUNCTION("""COMPUTED_VALUE"""),"BACAYAN")</f>
        <v>BACAYAN</v>
      </c>
      <c r="B178" s="4" t="str">
        <f>IFERROR(__xludf.DUMMYFUNCTION("""COMPUTED_VALUE"""),"ITM057")</f>
        <v>ITM057</v>
      </c>
      <c r="C178" s="4" t="str">
        <f>IFERROR(__xludf.DUMMYFUNCTION("""COMPUTED_VALUE"""),"STAMP PAD INK BLACK 30ML")</f>
        <v>STAMP PAD INK BLACK 30ML</v>
      </c>
      <c r="D178" s="4">
        <f>IFERROR(__xludf.DUMMYFUNCTION("""COMPUTED_VALUE"""),1.0)</f>
        <v>1</v>
      </c>
      <c r="E178" s="4">
        <f>IFERROR(__xludf.DUMMYFUNCTION("""COMPUTED_VALUE"""),0.0)</f>
        <v>0</v>
      </c>
    </row>
    <row r="179">
      <c r="A179" s="4" t="str">
        <f>IFERROR(__xludf.DUMMYFUNCTION("""COMPUTED_VALUE"""),"BACAYAN")</f>
        <v>BACAYAN</v>
      </c>
      <c r="B179" s="4" t="str">
        <f>IFERROR(__xludf.DUMMYFUNCTION("""COMPUTED_VALUE"""),"ITM058")</f>
        <v>ITM058</v>
      </c>
      <c r="C179" s="4" t="str">
        <f>IFERROR(__xludf.DUMMYFUNCTION("""COMPUTED_VALUE"""),"STAMP PAD INK BLUE 30ML")</f>
        <v>STAMP PAD INK BLUE 30ML</v>
      </c>
      <c r="D179" s="4">
        <f>IFERROR(__xludf.DUMMYFUNCTION("""COMPUTED_VALUE"""),1.0)</f>
        <v>1</v>
      </c>
      <c r="E179" s="4">
        <f>IFERROR(__xludf.DUMMYFUNCTION("""COMPUTED_VALUE"""),0.0)</f>
        <v>0</v>
      </c>
    </row>
    <row r="180">
      <c r="A180" s="4" t="str">
        <f>IFERROR(__xludf.DUMMYFUNCTION("""COMPUTED_VALUE"""),"SAN FERNANDO MB")</f>
        <v>SAN FERNANDO MB</v>
      </c>
      <c r="B180" s="4" t="str">
        <f>IFERROR(__xludf.DUMMYFUNCTION("""COMPUTED_VALUE"""),"ITM001")</f>
        <v>ITM001</v>
      </c>
      <c r="C180" s="4" t="str">
        <f>IFERROR(__xludf.DUMMYFUNCTION("""COMPUTED_VALUE"""),"BOND PAPER (LONG)")</f>
        <v>BOND PAPER (LONG)</v>
      </c>
      <c r="D180" s="4">
        <f>IFERROR(__xludf.DUMMYFUNCTION("""COMPUTED_VALUE"""),1.0)</f>
        <v>1</v>
      </c>
      <c r="E180" s="4">
        <f>IFERROR(__xludf.DUMMYFUNCTION("""COMPUTED_VALUE"""),0.0)</f>
        <v>0</v>
      </c>
    </row>
    <row r="181">
      <c r="A181" s="4" t="str">
        <f>IFERROR(__xludf.DUMMYFUNCTION("""COMPUTED_VALUE"""),"SAN FERNANDO MB")</f>
        <v>SAN FERNANDO MB</v>
      </c>
      <c r="B181" s="4" t="str">
        <f>IFERROR(__xludf.DUMMYFUNCTION("""COMPUTED_VALUE"""),"ITM002")</f>
        <v>ITM002</v>
      </c>
      <c r="C181" s="4" t="str">
        <f>IFERROR(__xludf.DUMMYFUNCTION("""COMPUTED_VALUE"""),"BOND PAPER (SHORT)")</f>
        <v>BOND PAPER (SHORT)</v>
      </c>
      <c r="D181" s="4">
        <f>IFERROR(__xludf.DUMMYFUNCTION("""COMPUTED_VALUE"""),1.0)</f>
        <v>1</v>
      </c>
      <c r="E181" s="4">
        <f>IFERROR(__xludf.DUMMYFUNCTION("""COMPUTED_VALUE"""),0.0)</f>
        <v>0</v>
      </c>
    </row>
    <row r="182">
      <c r="A182" s="4" t="str">
        <f>IFERROR(__xludf.DUMMYFUNCTION("""COMPUTED_VALUE"""),"SAN FERNANDO MB")</f>
        <v>SAN FERNANDO MB</v>
      </c>
      <c r="B182" s="4" t="str">
        <f>IFERROR(__xludf.DUMMYFUNCTION("""COMPUTED_VALUE"""),"ITM062")</f>
        <v>ITM062</v>
      </c>
      <c r="C182" s="4" t="str">
        <f>IFERROR(__xludf.DUMMYFUNCTION("""COMPUTED_VALUE"""),"DOWNY")</f>
        <v>DOWNY</v>
      </c>
      <c r="D182" s="4">
        <f>IFERROR(__xludf.DUMMYFUNCTION("""COMPUTED_VALUE"""),3.0)</f>
        <v>3</v>
      </c>
      <c r="E182" s="4">
        <f>IFERROR(__xludf.DUMMYFUNCTION("""COMPUTED_VALUE"""),0.0)</f>
        <v>0</v>
      </c>
    </row>
    <row r="183">
      <c r="A183" s="4" t="str">
        <f>IFERROR(__xludf.DUMMYFUNCTION("""COMPUTED_VALUE"""),"SAN FERNANDO MB")</f>
        <v>SAN FERNANDO MB</v>
      </c>
      <c r="B183" s="4" t="str">
        <f>IFERROR(__xludf.DUMMYFUNCTION("""COMPUTED_VALUE"""),"ITM019")</f>
        <v>ITM019</v>
      </c>
      <c r="C183" s="4" t="str">
        <f>IFERROR(__xludf.DUMMYFUNCTION("""COMPUTED_VALUE"""),"FLEXSTICK BLACK BALLPEN (0.5)")</f>
        <v>FLEXSTICK BLACK BALLPEN (0.5)</v>
      </c>
      <c r="D183" s="4">
        <f>IFERROR(__xludf.DUMMYFUNCTION("""COMPUTED_VALUE"""),3.0)</f>
        <v>3</v>
      </c>
      <c r="E183" s="4">
        <f>IFERROR(__xludf.DUMMYFUNCTION("""COMPUTED_VALUE"""),0.0)</f>
        <v>0</v>
      </c>
    </row>
    <row r="184">
      <c r="A184" s="4" t="str">
        <f>IFERROR(__xludf.DUMMYFUNCTION("""COMPUTED_VALUE"""),"SAN FERNANDO MB")</f>
        <v>SAN FERNANDO MB</v>
      </c>
      <c r="B184" s="4" t="str">
        <f>IFERROR(__xludf.DUMMYFUNCTION("""COMPUTED_VALUE"""),"ITM056")</f>
        <v>ITM056</v>
      </c>
      <c r="C184" s="4" t="str">
        <f>IFERROR(__xludf.DUMMYFUNCTION("""COMPUTED_VALUE"""),"PRIDE SOAP POWDER")</f>
        <v>PRIDE SOAP POWDER</v>
      </c>
      <c r="D184" s="4">
        <f>IFERROR(__xludf.DUMMYFUNCTION("""COMPUTED_VALUE"""),6.0)</f>
        <v>6</v>
      </c>
      <c r="E184" s="4">
        <f>IFERROR(__xludf.DUMMYFUNCTION("""COMPUTED_VALUE"""),0.0)</f>
        <v>0</v>
      </c>
    </row>
    <row r="185">
      <c r="A185" s="4" t="str">
        <f>IFERROR(__xludf.DUMMYFUNCTION("""COMPUTED_VALUE"""),"SAN FERNANDO MB")</f>
        <v>SAN FERNANDO MB</v>
      </c>
      <c r="B185" s="4" t="str">
        <f>IFERROR(__xludf.DUMMYFUNCTION("""COMPUTED_VALUE"""),"ITM025")</f>
        <v>ITM025</v>
      </c>
      <c r="C185" s="4" t="str">
        <f>IFERROR(__xludf.DUMMYFUNCTION("""COMPUTED_VALUE"""),"SHARPENER")</f>
        <v>SHARPENER</v>
      </c>
      <c r="D185" s="4">
        <f>IFERROR(__xludf.DUMMYFUNCTION("""COMPUTED_VALUE"""),1.0)</f>
        <v>1</v>
      </c>
      <c r="E185" s="4">
        <f>IFERROR(__xludf.DUMMYFUNCTION("""COMPUTED_VALUE"""),0.0)</f>
        <v>0</v>
      </c>
    </row>
    <row r="186">
      <c r="A186" s="4" t="str">
        <f>IFERROR(__xludf.DUMMYFUNCTION("""COMPUTED_VALUE"""),"SAN FERNANDO MB")</f>
        <v>SAN FERNANDO MB</v>
      </c>
      <c r="B186" s="4" t="str">
        <f>IFERROR(__xludf.DUMMYFUNCTION("""COMPUTED_VALUE"""),"ITM060")</f>
        <v>ITM060</v>
      </c>
      <c r="C186" s="4" t="str">
        <f>IFERROR(__xludf.DUMMYFUNCTION("""COMPUTED_VALUE"""),"SUPER COLOR MARKER PILOT (BLACK)")</f>
        <v>SUPER COLOR MARKER PILOT (BLACK)</v>
      </c>
      <c r="D186" s="4">
        <f>IFERROR(__xludf.DUMMYFUNCTION("""COMPUTED_VALUE"""),2.0)</f>
        <v>2</v>
      </c>
      <c r="E186" s="4">
        <f>IFERROR(__xludf.DUMMYFUNCTION("""COMPUTED_VALUE"""),0.0)</f>
        <v>0</v>
      </c>
    </row>
    <row r="187">
      <c r="A187" s="4" t="str">
        <f>IFERROR(__xludf.DUMMYFUNCTION("""COMPUTED_VALUE"""),"SAN FERNANDO MB")</f>
        <v>SAN FERNANDO MB</v>
      </c>
      <c r="B187" s="4" t="str">
        <f>IFERROR(__xludf.DUMMYFUNCTION("""COMPUTED_VALUE"""),"ITM093")</f>
        <v>ITM093</v>
      </c>
      <c r="C187" s="4" t="str">
        <f>IFERROR(__xludf.DUMMYFUNCTION("""COMPUTED_VALUE"""),"TRASH BAG (XXL)")</f>
        <v>TRASH BAG (XXL)</v>
      </c>
      <c r="D187" s="4">
        <f>IFERROR(__xludf.DUMMYFUNCTION("""COMPUTED_VALUE"""),1.0)</f>
        <v>1</v>
      </c>
      <c r="E187" s="4">
        <f>IFERROR(__xludf.DUMMYFUNCTION("""COMPUTED_VALUE"""),0.0)</f>
        <v>0</v>
      </c>
    </row>
    <row r="188">
      <c r="A188" s="4" t="str">
        <f>IFERROR(__xludf.DUMMYFUNCTION("""COMPUTED_VALUE"""),"SAN FERNANDO MB")</f>
        <v>SAN FERNANDO MB</v>
      </c>
      <c r="B188" s="4" t="str">
        <f>IFERROR(__xludf.DUMMYFUNCTION("""COMPUTED_VALUE"""),"ITM088")</f>
        <v>ITM088</v>
      </c>
      <c r="C188" s="4" t="str">
        <f>IFERROR(__xludf.DUMMYFUNCTION("""COMPUTED_VALUE"""),"ZONROX (ORIGINAL)")</f>
        <v>ZONROX (ORIGINAL)</v>
      </c>
      <c r="D188" s="4">
        <f>IFERROR(__xludf.DUMMYFUNCTION("""COMPUTED_VALUE"""),1.0)</f>
        <v>1</v>
      </c>
      <c r="E188" s="4">
        <f>IFERROR(__xludf.DUMMYFUNCTION("""COMPUTED_VALUE"""),0.0)</f>
        <v>0</v>
      </c>
    </row>
    <row r="189">
      <c r="A189" s="4" t="str">
        <f>IFERROR(__xludf.DUMMYFUNCTION("""COMPUTED_VALUE"""),"SAN FERNANDO MB")</f>
        <v>SAN FERNANDO MB</v>
      </c>
      <c r="B189" s="4" t="str">
        <f>IFERROR(__xludf.DUMMYFUNCTION("""COMPUTED_VALUE"""),"ITM010")</f>
        <v>ITM010</v>
      </c>
      <c r="C189" s="4" t="str">
        <f>IFERROR(__xludf.DUMMYFUNCTION("""COMPUTED_VALUE"""),"BROWN ENVELOPE (LONG)")</f>
        <v>BROWN ENVELOPE (LONG)</v>
      </c>
      <c r="D189" s="4">
        <f>IFERROR(__xludf.DUMMYFUNCTION("""COMPUTED_VALUE"""),20.0)</f>
        <v>20</v>
      </c>
      <c r="E189" s="4">
        <f>IFERROR(__xludf.DUMMYFUNCTION("""COMPUTED_VALUE"""),0.0)</f>
        <v>0</v>
      </c>
    </row>
    <row r="190">
      <c r="A190" s="4" t="str">
        <f>IFERROR(__xludf.DUMMYFUNCTION("""COMPUTED_VALUE"""),"SAN FERNANDO MB")</f>
        <v>SAN FERNANDO MB</v>
      </c>
      <c r="B190" s="4" t="str">
        <f>IFERROR(__xludf.DUMMYFUNCTION("""COMPUTED_VALUE"""),"ITM012")</f>
        <v>ITM012</v>
      </c>
      <c r="C190" s="4" t="str">
        <f>IFERROR(__xludf.DUMMYFUNCTION("""COMPUTED_VALUE"""),"BROWN FOLDER (LONG)")</f>
        <v>BROWN FOLDER (LONG)</v>
      </c>
      <c r="D190" s="4">
        <f>IFERROR(__xludf.DUMMYFUNCTION("""COMPUTED_VALUE"""),20.0)</f>
        <v>20</v>
      </c>
      <c r="E190" s="4">
        <f>IFERROR(__xludf.DUMMYFUNCTION("""COMPUTED_VALUE"""),0.0)</f>
        <v>0</v>
      </c>
    </row>
    <row r="191">
      <c r="A191" s="4" t="str">
        <f>IFERROR(__xludf.DUMMYFUNCTION("""COMPUTED_VALUE"""),"Y3S SAN FERNANDO")</f>
        <v>Y3S SAN FERNANDO</v>
      </c>
      <c r="B191" s="4" t="str">
        <f>IFERROR(__xludf.DUMMYFUNCTION("""COMPUTED_VALUE"""),"ITM064")</f>
        <v>ITM064</v>
      </c>
      <c r="C191" s="4" t="str">
        <f>IFERROR(__xludf.DUMMYFUNCTION("""COMPUTED_VALUE"""),"STICKY NOTES 2X2 A02")</f>
        <v>STICKY NOTES 2X2 A02</v>
      </c>
      <c r="D191" s="4">
        <f>IFERROR(__xludf.DUMMYFUNCTION("""COMPUTED_VALUE"""),2.0)</f>
        <v>2</v>
      </c>
      <c r="E191" s="4">
        <f>IFERROR(__xludf.DUMMYFUNCTION("""COMPUTED_VALUE"""),0.0)</f>
        <v>0</v>
      </c>
    </row>
    <row r="192">
      <c r="A192" s="4" t="str">
        <f>IFERROR(__xludf.DUMMYFUNCTION("""COMPUTED_VALUE"""),"Y3S SAN FERNANDO")</f>
        <v>Y3S SAN FERNANDO</v>
      </c>
      <c r="B192" s="4" t="str">
        <f>IFERROR(__xludf.DUMMYFUNCTION("""COMPUTED_VALUE"""),"ITM082")</f>
        <v>ITM082</v>
      </c>
      <c r="C192" s="4" t="str">
        <f>IFERROR(__xludf.DUMMYFUNCTION("""COMPUTED_VALUE"""),"BROWN SUGAR")</f>
        <v>BROWN SUGAR</v>
      </c>
      <c r="D192" s="4">
        <f>IFERROR(__xludf.DUMMYFUNCTION("""COMPUTED_VALUE"""),1.0)</f>
        <v>1</v>
      </c>
      <c r="E192" s="4">
        <f>IFERROR(__xludf.DUMMYFUNCTION("""COMPUTED_VALUE"""),0.0)</f>
        <v>0</v>
      </c>
    </row>
    <row r="193">
      <c r="A193" s="4" t="str">
        <f>IFERROR(__xludf.DUMMYFUNCTION("""COMPUTED_VALUE"""),"Y3S SAN FERNANDO")</f>
        <v>Y3S SAN FERNANDO</v>
      </c>
      <c r="B193" s="4" t="str">
        <f>IFERROR(__xludf.DUMMYFUNCTION("""COMPUTED_VALUE"""),"ITM078")</f>
        <v>ITM078</v>
      </c>
      <c r="C193" s="4" t="str">
        <f>IFERROR(__xludf.DUMMYFUNCTION("""COMPUTED_VALUE"""),"COFFEE CUPS")</f>
        <v>COFFEE CUPS</v>
      </c>
      <c r="D193" s="4">
        <f>IFERROR(__xludf.DUMMYFUNCTION("""COMPUTED_VALUE"""),1.0)</f>
        <v>1</v>
      </c>
      <c r="E193" s="4">
        <f>IFERROR(__xludf.DUMMYFUNCTION("""COMPUTED_VALUE"""),0.0)</f>
        <v>0</v>
      </c>
    </row>
    <row r="194">
      <c r="A194" s="4" t="str">
        <f>IFERROR(__xludf.DUMMYFUNCTION("""COMPUTED_VALUE"""),"Y3S SAN FERNANDO")</f>
        <v>Y3S SAN FERNANDO</v>
      </c>
      <c r="B194" s="4" t="str">
        <f>IFERROR(__xludf.DUMMYFUNCTION("""COMPUTED_VALUE"""),"ITM080")</f>
        <v>ITM080</v>
      </c>
      <c r="C194" s="4" t="str">
        <f>IFERROR(__xludf.DUMMYFUNCTION("""COMPUTED_VALUE"""),"COFFEE STICK")</f>
        <v>COFFEE STICK</v>
      </c>
      <c r="D194" s="4">
        <f>IFERROR(__xludf.DUMMYFUNCTION("""COMPUTED_VALUE"""),1.0)</f>
        <v>1</v>
      </c>
      <c r="E194" s="4">
        <f>IFERROR(__xludf.DUMMYFUNCTION("""COMPUTED_VALUE"""),0.0)</f>
        <v>0</v>
      </c>
    </row>
    <row r="195">
      <c r="A195" s="4" t="str">
        <f>IFERROR(__xludf.DUMMYFUNCTION("""COMPUTED_VALUE"""),"Y3S SAN FERNANDO")</f>
        <v>Y3S SAN FERNANDO</v>
      </c>
      <c r="B195" s="4" t="str">
        <f>IFERROR(__xludf.DUMMYFUNCTION("""COMPUTED_VALUE"""),"ITM079")</f>
        <v>ITM079</v>
      </c>
      <c r="C195" s="4" t="str">
        <f>IFERROR(__xludf.DUMMYFUNCTION("""COMPUTED_VALUE"""),"DRINKING CUPS")</f>
        <v>DRINKING CUPS</v>
      </c>
      <c r="D195" s="4">
        <f>IFERROR(__xludf.DUMMYFUNCTION("""COMPUTED_VALUE"""),1.0)</f>
        <v>1</v>
      </c>
      <c r="E195" s="4">
        <f>IFERROR(__xludf.DUMMYFUNCTION("""COMPUTED_VALUE"""),0.0)</f>
        <v>0</v>
      </c>
    </row>
    <row r="196">
      <c r="A196" s="4" t="str">
        <f>IFERROR(__xludf.DUMMYFUNCTION("""COMPUTED_VALUE"""),"Y3S SAN FERNANDO")</f>
        <v>Y3S SAN FERNANDO</v>
      </c>
      <c r="B196" s="4" t="str">
        <f>IFERROR(__xludf.DUMMYFUNCTION("""COMPUTED_VALUE"""),"ITM019")</f>
        <v>ITM019</v>
      </c>
      <c r="C196" s="4" t="str">
        <f>IFERROR(__xludf.DUMMYFUNCTION("""COMPUTED_VALUE"""),"FLEXSTICK BLACK BALLPEN (0.5)")</f>
        <v>FLEXSTICK BLACK BALLPEN (0.5)</v>
      </c>
      <c r="D196" s="4">
        <f>IFERROR(__xludf.DUMMYFUNCTION("""COMPUTED_VALUE"""),5.0)</f>
        <v>5</v>
      </c>
      <c r="E196" s="4">
        <f>IFERROR(__xludf.DUMMYFUNCTION("""COMPUTED_VALUE"""),0.0)</f>
        <v>0</v>
      </c>
    </row>
    <row r="197">
      <c r="A197" s="4" t="str">
        <f>IFERROR(__xludf.DUMMYFUNCTION("""COMPUTED_VALUE"""),"Y3S SAN FERNANDO")</f>
        <v>Y3S SAN FERNANDO</v>
      </c>
      <c r="B197" s="4" t="str">
        <f>IFERROR(__xludf.DUMMYFUNCTION("""COMPUTED_VALUE"""),"ITM020")</f>
        <v>ITM020</v>
      </c>
      <c r="C197" s="4" t="str">
        <f>IFERROR(__xludf.DUMMYFUNCTION("""COMPUTED_VALUE"""),"FLEXSTICK RED BALLPEN (0.5)")</f>
        <v>FLEXSTICK RED BALLPEN (0.5)</v>
      </c>
      <c r="D197" s="4">
        <f>IFERROR(__xludf.DUMMYFUNCTION("""COMPUTED_VALUE"""),2.0)</f>
        <v>2</v>
      </c>
      <c r="E197" s="4">
        <f>IFERROR(__xludf.DUMMYFUNCTION("""COMPUTED_VALUE"""),0.0)</f>
        <v>0</v>
      </c>
    </row>
    <row r="198">
      <c r="A198" s="4" t="str">
        <f>IFERROR(__xludf.DUMMYFUNCTION("""COMPUTED_VALUE"""),"Y3S SAN FERNANDO")</f>
        <v>Y3S SAN FERNANDO</v>
      </c>
      <c r="B198" s="4" t="str">
        <f>IFERROR(__xludf.DUMMYFUNCTION("""COMPUTED_VALUE"""),"ITM094")</f>
        <v>ITM094</v>
      </c>
      <c r="C198" s="4" t="str">
        <f>IFERROR(__xludf.DUMMYFUNCTION("""COMPUTED_VALUE"""),"TRASH BAG (XL)")</f>
        <v>TRASH BAG (XL)</v>
      </c>
      <c r="D198" s="4">
        <f>IFERROR(__xludf.DUMMYFUNCTION("""COMPUTED_VALUE"""),1.0)</f>
        <v>1</v>
      </c>
      <c r="E198" s="4">
        <f>IFERROR(__xludf.DUMMYFUNCTION("""COMPUTED_VALUE"""),0.0)</f>
        <v>0</v>
      </c>
    </row>
    <row r="199">
      <c r="A199" s="4" t="str">
        <f>IFERROR(__xludf.DUMMYFUNCTION("""COMPUTED_VALUE"""),"Y3S SAN FERNANDO")</f>
        <v>Y3S SAN FERNANDO</v>
      </c>
      <c r="B199" s="4" t="str">
        <f>IFERROR(__xludf.DUMMYFUNCTION("""COMPUTED_VALUE"""),"ITM028")</f>
        <v>ITM028</v>
      </c>
      <c r="C199" s="4" t="str">
        <f>IFERROR(__xludf.DUMMYFUNCTION("""COMPUTED_VALUE"""),"CANDIES")</f>
        <v>CANDIES</v>
      </c>
      <c r="D199" s="4">
        <f>IFERROR(__xludf.DUMMYFUNCTION("""COMPUTED_VALUE"""),50.0)</f>
        <v>50</v>
      </c>
      <c r="E199" s="4">
        <f>IFERROR(__xludf.DUMMYFUNCTION("""COMPUTED_VALUE"""),0.0)</f>
        <v>0</v>
      </c>
    </row>
    <row r="200">
      <c r="A200" s="4" t="str">
        <f>IFERROR(__xludf.DUMMYFUNCTION("""COMPUTED_VALUE"""),"Y3S SAN FERNANDO")</f>
        <v>Y3S SAN FERNANDO</v>
      </c>
      <c r="B200" s="4" t="str">
        <f>IFERROR(__xludf.DUMMYFUNCTION("""COMPUTED_VALUE"""),"ITM062")</f>
        <v>ITM062</v>
      </c>
      <c r="C200" s="4" t="str">
        <f>IFERROR(__xludf.DUMMYFUNCTION("""COMPUTED_VALUE"""),"DOWNY")</f>
        <v>DOWNY</v>
      </c>
      <c r="D200" s="4">
        <f>IFERROR(__xludf.DUMMYFUNCTION("""COMPUTED_VALUE"""),2.0)</f>
        <v>2</v>
      </c>
      <c r="E200" s="4">
        <f>IFERROR(__xludf.DUMMYFUNCTION("""COMPUTED_VALUE"""),0.0)</f>
        <v>0</v>
      </c>
    </row>
    <row r="201">
      <c r="A201" s="4" t="str">
        <f>IFERROR(__xludf.DUMMYFUNCTION("""COMPUTED_VALUE"""),"Y3S SAN FERNANDO")</f>
        <v>Y3S SAN FERNANDO</v>
      </c>
      <c r="B201" s="4" t="str">
        <f>IFERROR(__xludf.DUMMYFUNCTION("""COMPUTED_VALUE"""),"ITM090")</f>
        <v>ITM090</v>
      </c>
      <c r="C201" s="4" t="str">
        <f>IFERROR(__xludf.DUMMYFUNCTION("""COMPUTED_VALUE"""),"GLASS CLEANER")</f>
        <v>GLASS CLEANER</v>
      </c>
      <c r="D201" s="4">
        <f>IFERROR(__xludf.DUMMYFUNCTION("""COMPUTED_VALUE"""),1.0)</f>
        <v>1</v>
      </c>
      <c r="E201" s="4">
        <f>IFERROR(__xludf.DUMMYFUNCTION("""COMPUTED_VALUE"""),0.0)</f>
        <v>0</v>
      </c>
    </row>
    <row r="202">
      <c r="A202" s="4" t="str">
        <f>IFERROR(__xludf.DUMMYFUNCTION("""COMPUTED_VALUE"""),"Y3S SAN FERNANDO")</f>
        <v>Y3S SAN FERNANDO</v>
      </c>
      <c r="B202" s="4" t="str">
        <f>IFERROR(__xludf.DUMMYFUNCTION("""COMPUTED_VALUE"""),"ITM023")</f>
        <v>ITM023</v>
      </c>
      <c r="C202" s="4" t="str">
        <f>IFERROR(__xludf.DUMMYFUNCTION("""COMPUTED_VALUE"""),"HIGHLIGHTER")</f>
        <v>HIGHLIGHTER</v>
      </c>
      <c r="D202" s="4">
        <f>IFERROR(__xludf.DUMMYFUNCTION("""COMPUTED_VALUE"""),3.0)</f>
        <v>3</v>
      </c>
      <c r="E202" s="4">
        <f>IFERROR(__xludf.DUMMYFUNCTION("""COMPUTED_VALUE"""),0.0)</f>
        <v>0</v>
      </c>
    </row>
    <row r="203">
      <c r="A203" s="4" t="str">
        <f>IFERROR(__xludf.DUMMYFUNCTION("""COMPUTED_VALUE"""),"Y3S SAN FERNANDO")</f>
        <v>Y3S SAN FERNANDO</v>
      </c>
      <c r="B203" s="4" t="str">
        <f>IFERROR(__xludf.DUMMYFUNCTION("""COMPUTED_VALUE"""),"ITM056")</f>
        <v>ITM056</v>
      </c>
      <c r="C203" s="4" t="str">
        <f>IFERROR(__xludf.DUMMYFUNCTION("""COMPUTED_VALUE"""),"PRIDE SOAP POWDER")</f>
        <v>PRIDE SOAP POWDER</v>
      </c>
      <c r="D203" s="4">
        <f>IFERROR(__xludf.DUMMYFUNCTION("""COMPUTED_VALUE"""),6.0)</f>
        <v>6</v>
      </c>
      <c r="E203" s="4">
        <f>IFERROR(__xludf.DUMMYFUNCTION("""COMPUTED_VALUE"""),0.0)</f>
        <v>0</v>
      </c>
    </row>
    <row r="204">
      <c r="A204" s="4" t="str">
        <f>IFERROR(__xludf.DUMMYFUNCTION("""COMPUTED_VALUE"""),"Y3S SAN FERNANDO")</f>
        <v>Y3S SAN FERNANDO</v>
      </c>
      <c r="B204" s="4" t="str">
        <f>IFERROR(__xludf.DUMMYFUNCTION("""COMPUTED_VALUE"""),"ITM001")</f>
        <v>ITM001</v>
      </c>
      <c r="C204" s="4" t="str">
        <f>IFERROR(__xludf.DUMMYFUNCTION("""COMPUTED_VALUE"""),"BOND PAPER (LONG)")</f>
        <v>BOND PAPER (LONG)</v>
      </c>
      <c r="D204" s="4">
        <f>IFERROR(__xludf.DUMMYFUNCTION("""COMPUTED_VALUE"""),1.0)</f>
        <v>1</v>
      </c>
      <c r="E204" s="4">
        <f>IFERROR(__xludf.DUMMYFUNCTION("""COMPUTED_VALUE"""),0.0)</f>
        <v>0</v>
      </c>
    </row>
    <row r="205">
      <c r="A205" s="4" t="str">
        <f>IFERROR(__xludf.DUMMYFUNCTION("""COMPUTED_VALUE"""),"Y3S SAN FERNANDO")</f>
        <v>Y3S SAN FERNANDO</v>
      </c>
      <c r="B205" s="4" t="str">
        <f>IFERROR(__xludf.DUMMYFUNCTION("""COMPUTED_VALUE"""),"ITM002")</f>
        <v>ITM002</v>
      </c>
      <c r="C205" s="4" t="str">
        <f>IFERROR(__xludf.DUMMYFUNCTION("""COMPUTED_VALUE"""),"BOND PAPER (SHORT)")</f>
        <v>BOND PAPER (SHORT)</v>
      </c>
      <c r="D205" s="4">
        <f>IFERROR(__xludf.DUMMYFUNCTION("""COMPUTED_VALUE"""),1.0)</f>
        <v>1</v>
      </c>
      <c r="E205" s="4">
        <f>IFERROR(__xludf.DUMMYFUNCTION("""COMPUTED_VALUE"""),0.0)</f>
        <v>0</v>
      </c>
    </row>
    <row r="206">
      <c r="A206" s="4" t="str">
        <f>IFERROR(__xludf.DUMMYFUNCTION("""COMPUTED_VALUE"""),"Y3S SAN FERNANDO")</f>
        <v>Y3S SAN FERNANDO</v>
      </c>
      <c r="B206" s="4" t="str">
        <f>IFERROR(__xludf.DUMMYFUNCTION("""COMPUTED_VALUE"""),"ITM027")</f>
        <v>ITM027</v>
      </c>
      <c r="C206" s="4" t="str">
        <f>IFERROR(__xludf.DUMMYFUNCTION("""COMPUTED_VALUE"""),"CORRECTION TAPE")</f>
        <v>CORRECTION TAPE</v>
      </c>
      <c r="D206" s="4">
        <f>IFERROR(__xludf.DUMMYFUNCTION("""COMPUTED_VALUE"""),2.0)</f>
        <v>2</v>
      </c>
      <c r="E206" s="4">
        <f>IFERROR(__xludf.DUMMYFUNCTION("""COMPUTED_VALUE"""),0.0)</f>
        <v>0</v>
      </c>
    </row>
    <row r="207">
      <c r="A207" s="4" t="str">
        <f>IFERROR(__xludf.DUMMYFUNCTION("""COMPUTED_VALUE"""),"Y3S SAN FERNANDO")</f>
        <v>Y3S SAN FERNANDO</v>
      </c>
      <c r="B207" s="4" t="str">
        <f>IFERROR(__xludf.DUMMYFUNCTION("""COMPUTED_VALUE"""),"ITM010")</f>
        <v>ITM010</v>
      </c>
      <c r="C207" s="4" t="str">
        <f>IFERROR(__xludf.DUMMYFUNCTION("""COMPUTED_VALUE"""),"BROWN ENVELOPE (LONG)")</f>
        <v>BROWN ENVELOPE (LONG)</v>
      </c>
      <c r="D207" s="4">
        <f>IFERROR(__xludf.DUMMYFUNCTION("""COMPUTED_VALUE"""),15.0)</f>
        <v>15</v>
      </c>
      <c r="E207" s="4">
        <f>IFERROR(__xludf.DUMMYFUNCTION("""COMPUTED_VALUE"""),0.0)</f>
        <v>0</v>
      </c>
    </row>
    <row r="208">
      <c r="A208" s="4" t="str">
        <f>IFERROR(__xludf.DUMMYFUNCTION("""COMPUTED_VALUE"""),"Y3S SAN FERNANDO")</f>
        <v>Y3S SAN FERNANDO</v>
      </c>
      <c r="B208" s="4" t="str">
        <f>IFERROR(__xludf.DUMMYFUNCTION("""COMPUTED_VALUE"""),"ITM012")</f>
        <v>ITM012</v>
      </c>
      <c r="C208" s="4" t="str">
        <f>IFERROR(__xludf.DUMMYFUNCTION("""COMPUTED_VALUE"""),"BROWN FOLDER (LONG)")</f>
        <v>BROWN FOLDER (LONG)</v>
      </c>
      <c r="D208" s="4">
        <f>IFERROR(__xludf.DUMMYFUNCTION("""COMPUTED_VALUE"""),40.0)</f>
        <v>40</v>
      </c>
      <c r="E208" s="4">
        <f>IFERROR(__xludf.DUMMYFUNCTION("""COMPUTED_VALUE"""),0.0)</f>
        <v>0</v>
      </c>
    </row>
    <row r="209">
      <c r="A209" s="4" t="str">
        <f>IFERROR(__xludf.DUMMYFUNCTION("""COMPUTED_VALUE"""),"Y3S SAN FERNANDO")</f>
        <v>Y3S SAN FERNANDO</v>
      </c>
      <c r="B209" s="4" t="str">
        <f>IFERROR(__xludf.DUMMYFUNCTION("""COMPUTED_VALUE"""),"ITM017")</f>
        <v>ITM017</v>
      </c>
      <c r="C209" s="4" t="str">
        <f>IFERROR(__xludf.DUMMYFUNCTION("""COMPUTED_VALUE"""),"LETTER LONG WHITE ENVELOPE")</f>
        <v>LETTER LONG WHITE ENVELOPE</v>
      </c>
      <c r="D209" s="4">
        <f>IFERROR(__xludf.DUMMYFUNCTION("""COMPUTED_VALUE"""),10.0)</f>
        <v>10</v>
      </c>
      <c r="E209" s="4">
        <f>IFERROR(__xludf.DUMMYFUNCTION("""COMPUTED_VALUE"""),0.0)</f>
        <v>0</v>
      </c>
    </row>
    <row r="210">
      <c r="A210" s="4" t="str">
        <f>IFERROR(__xludf.DUMMYFUNCTION("""COMPUTED_VALUE"""),"Y3S SAN FERNANDO")</f>
        <v>Y3S SAN FERNANDO</v>
      </c>
      <c r="B210" s="4" t="str">
        <f>IFERROR(__xludf.DUMMYFUNCTION("""COMPUTED_VALUE"""),"ITM036")</f>
        <v>ITM036</v>
      </c>
      <c r="C210" s="4" t="str">
        <f>IFERROR(__xludf.DUMMYFUNCTION("""COMPUTED_VALUE"""),"SCOTCH TAPE (1 INCH)")</f>
        <v>SCOTCH TAPE (1 INCH)</v>
      </c>
      <c r="D210" s="4">
        <f>IFERROR(__xludf.DUMMYFUNCTION("""COMPUTED_VALUE"""),3.0)</f>
        <v>3</v>
      </c>
      <c r="E210" s="4">
        <f>IFERROR(__xludf.DUMMYFUNCTION("""COMPUTED_VALUE"""),0.0)</f>
        <v>0</v>
      </c>
    </row>
    <row r="211">
      <c r="A211" s="4" t="str">
        <f>IFERROR(__xludf.DUMMYFUNCTION("""COMPUTED_VALUE"""),"Y3S SAN FERNANDO")</f>
        <v>Y3S SAN FERNANDO</v>
      </c>
      <c r="B211" s="4" t="str">
        <f>IFERROR(__xludf.DUMMYFUNCTION("""COMPUTED_VALUE"""),"ITM100")</f>
        <v>ITM100</v>
      </c>
      <c r="C211" s="4" t="str">
        <f>IFERROR(__xludf.DUMMYFUNCTION("""COMPUTED_VALUE"""),"INK BROTHER SET")</f>
        <v>INK BROTHER SET</v>
      </c>
      <c r="D211" s="4">
        <f>IFERROR(__xludf.DUMMYFUNCTION("""COMPUTED_VALUE"""),1.0)</f>
        <v>1</v>
      </c>
      <c r="E211" s="4">
        <f>IFERROR(__xludf.DUMMYFUNCTION("""COMPUTED_VALUE"""),0.0)</f>
        <v>0</v>
      </c>
    </row>
    <row r="212">
      <c r="A212" s="4" t="str">
        <f>IFERROR(__xludf.DUMMYFUNCTION("""COMPUTED_VALUE"""),"Y3S SAN FERNANDO")</f>
        <v>Y3S SAN FERNANDO</v>
      </c>
      <c r="B212" s="4" t="str">
        <f>IFERROR(__xludf.DUMMYFUNCTION("""COMPUTED_VALUE"""),"ITM015")</f>
        <v>ITM015</v>
      </c>
      <c r="C212" s="4" t="str">
        <f>IFERROR(__xludf.DUMMYFUNCTION("""COMPUTED_VALUE"""),"WHITE FOLDER (SHORT)")</f>
        <v>WHITE FOLDER (SHORT)</v>
      </c>
      <c r="D212" s="4">
        <f>IFERROR(__xludf.DUMMYFUNCTION("""COMPUTED_VALUE"""),15.0)</f>
        <v>15</v>
      </c>
      <c r="E212" s="4">
        <f>IFERROR(__xludf.DUMMYFUNCTION("""COMPUTED_VALUE"""),0.0)</f>
        <v>0</v>
      </c>
    </row>
    <row r="213">
      <c r="A213" s="4" t="str">
        <f>IFERROR(__xludf.DUMMYFUNCTION("""COMPUTED_VALUE"""),"Y3S SAN FERNANDO")</f>
        <v>Y3S SAN FERNANDO</v>
      </c>
      <c r="B213" s="4" t="str">
        <f>IFERROR(__xludf.DUMMYFUNCTION("""COMPUTED_VALUE"""),"ITM021")</f>
        <v>ITM021</v>
      </c>
      <c r="C213" s="4" t="str">
        <f>IFERROR(__xludf.DUMMYFUNCTION("""COMPUTED_VALUE"""),"WYTEBORD MARKER PILOT (BLACK)")</f>
        <v>WYTEBORD MARKER PILOT (BLACK)</v>
      </c>
      <c r="D213" s="4">
        <f>IFERROR(__xludf.DUMMYFUNCTION("""COMPUTED_VALUE"""),1.0)</f>
        <v>1</v>
      </c>
      <c r="E213" s="4">
        <f>IFERROR(__xludf.DUMMYFUNCTION("""COMPUTED_VALUE"""),0.0)</f>
        <v>0</v>
      </c>
    </row>
    <row r="214">
      <c r="A214" s="4" t="str">
        <f>IFERROR(__xludf.DUMMYFUNCTION("""COMPUTED_VALUE"""),"LILOAN")</f>
        <v>LILOAN</v>
      </c>
      <c r="B214" s="4" t="str">
        <f>IFERROR(__xludf.DUMMYFUNCTION("""COMPUTED_VALUE"""),"ITM035")</f>
        <v>ITM035</v>
      </c>
      <c r="C214" s="4" t="str">
        <f>IFERROR(__xludf.DUMMYFUNCTION("""COMPUTED_VALUE"""),"TAPE DISPENSER BIG")</f>
        <v>TAPE DISPENSER BIG</v>
      </c>
      <c r="D214" s="4">
        <f>IFERROR(__xludf.DUMMYFUNCTION("""COMPUTED_VALUE"""),1.0)</f>
        <v>1</v>
      </c>
      <c r="E214" s="4">
        <f>IFERROR(__xludf.DUMMYFUNCTION("""COMPUTED_VALUE"""),0.0)</f>
        <v>0</v>
      </c>
    </row>
    <row r="215">
      <c r="A215" s="4" t="str">
        <f>IFERROR(__xludf.DUMMYFUNCTION("""COMPUTED_VALUE"""),"LILOAN")</f>
        <v>LILOAN</v>
      </c>
      <c r="B215" s="4" t="str">
        <f>IFERROR(__xludf.DUMMYFUNCTION("""COMPUTED_VALUE"""),"ITM001")</f>
        <v>ITM001</v>
      </c>
      <c r="C215" s="4" t="str">
        <f>IFERROR(__xludf.DUMMYFUNCTION("""COMPUTED_VALUE"""),"BOND PAPER (LONG)")</f>
        <v>BOND PAPER (LONG)</v>
      </c>
      <c r="D215" s="4">
        <f>IFERROR(__xludf.DUMMYFUNCTION("""COMPUTED_VALUE"""),1.0)</f>
        <v>1</v>
      </c>
      <c r="E215" s="4">
        <f>IFERROR(__xludf.DUMMYFUNCTION("""COMPUTED_VALUE"""),0.0)</f>
        <v>0</v>
      </c>
    </row>
    <row r="216">
      <c r="A216" s="4" t="str">
        <f>IFERROR(__xludf.DUMMYFUNCTION("""COMPUTED_VALUE"""),"LILOAN")</f>
        <v>LILOAN</v>
      </c>
      <c r="B216" s="4" t="str">
        <f>IFERROR(__xludf.DUMMYFUNCTION("""COMPUTED_VALUE"""),"ITM002")</f>
        <v>ITM002</v>
      </c>
      <c r="C216" s="4" t="str">
        <f>IFERROR(__xludf.DUMMYFUNCTION("""COMPUTED_VALUE"""),"BOND PAPER (SHORT)")</f>
        <v>BOND PAPER (SHORT)</v>
      </c>
      <c r="D216" s="4">
        <f>IFERROR(__xludf.DUMMYFUNCTION("""COMPUTED_VALUE"""),1.0)</f>
        <v>1</v>
      </c>
      <c r="E216" s="4">
        <f>IFERROR(__xludf.DUMMYFUNCTION("""COMPUTED_VALUE"""),0.0)</f>
        <v>0</v>
      </c>
    </row>
    <row r="217">
      <c r="A217" s="4" t="str">
        <f>IFERROR(__xludf.DUMMYFUNCTION("""COMPUTED_VALUE"""),"LILOAN")</f>
        <v>LILOAN</v>
      </c>
      <c r="B217" s="4" t="str">
        <f>IFERROR(__xludf.DUMMYFUNCTION("""COMPUTED_VALUE"""),"ITM004")</f>
        <v>ITM004</v>
      </c>
      <c r="C217" s="4" t="str">
        <f>IFERROR(__xludf.DUMMYFUNCTION("""COMPUTED_VALUE"""),"BOND PAPER NEWSPRINT (SHORT)")</f>
        <v>BOND PAPER NEWSPRINT (SHORT)</v>
      </c>
      <c r="D217" s="4">
        <f>IFERROR(__xludf.DUMMYFUNCTION("""COMPUTED_VALUE"""),1.0)</f>
        <v>1</v>
      </c>
      <c r="E217" s="4">
        <f>IFERROR(__xludf.DUMMYFUNCTION("""COMPUTED_VALUE"""),0.0)</f>
        <v>0</v>
      </c>
    </row>
    <row r="218">
      <c r="A218" s="4" t="str">
        <f>IFERROR(__xludf.DUMMYFUNCTION("""COMPUTED_VALUE"""),"LILOAN")</f>
        <v>LILOAN</v>
      </c>
      <c r="B218" s="4" t="str">
        <f>IFERROR(__xludf.DUMMYFUNCTION("""COMPUTED_VALUE"""),"ITM012")</f>
        <v>ITM012</v>
      </c>
      <c r="C218" s="4" t="str">
        <f>IFERROR(__xludf.DUMMYFUNCTION("""COMPUTED_VALUE"""),"BROWN FOLDER (LONG)")</f>
        <v>BROWN FOLDER (LONG)</v>
      </c>
      <c r="D218" s="4">
        <f>IFERROR(__xludf.DUMMYFUNCTION("""COMPUTED_VALUE"""),30.0)</f>
        <v>30</v>
      </c>
      <c r="E218" s="4">
        <f>IFERROR(__xludf.DUMMYFUNCTION("""COMPUTED_VALUE"""),0.0)</f>
        <v>0</v>
      </c>
    </row>
    <row r="219">
      <c r="A219" s="4" t="str">
        <f>IFERROR(__xludf.DUMMYFUNCTION("""COMPUTED_VALUE"""),"LILOAN")</f>
        <v>LILOAN</v>
      </c>
      <c r="B219" s="4" t="str">
        <f>IFERROR(__xludf.DUMMYFUNCTION("""COMPUTED_VALUE"""),"ITM009")</f>
        <v>ITM009</v>
      </c>
      <c r="C219" s="4" t="str">
        <f>IFERROR(__xludf.DUMMYFUNCTION("""COMPUTED_VALUE"""),"CARBON PAPER (LONG BLUE)")</f>
        <v>CARBON PAPER (LONG BLUE)</v>
      </c>
      <c r="D219" s="4">
        <f>IFERROR(__xludf.DUMMYFUNCTION("""COMPUTED_VALUE"""),10.0)</f>
        <v>10</v>
      </c>
      <c r="E219" s="4">
        <f>IFERROR(__xludf.DUMMYFUNCTION("""COMPUTED_VALUE"""),0.0)</f>
        <v>0</v>
      </c>
    </row>
    <row r="220">
      <c r="A220" s="4" t="str">
        <f>IFERROR(__xludf.DUMMYFUNCTION("""COMPUTED_VALUE"""),"LILOAN")</f>
        <v>LILOAN</v>
      </c>
      <c r="B220" s="4" t="str">
        <f>IFERROR(__xludf.DUMMYFUNCTION("""COMPUTED_VALUE"""),"ITM040")</f>
        <v>ITM040</v>
      </c>
      <c r="C220" s="4" t="str">
        <f>IFERROR(__xludf.DUMMYFUNCTION("""COMPUTED_VALUE"""),"DOUBLE-SIDED TAPE (1 INCH)")</f>
        <v>DOUBLE-SIDED TAPE (1 INCH)</v>
      </c>
      <c r="D220" s="4">
        <f>IFERROR(__xludf.DUMMYFUNCTION("""COMPUTED_VALUE"""),3.0)</f>
        <v>3</v>
      </c>
      <c r="E220" s="4">
        <f>IFERROR(__xludf.DUMMYFUNCTION("""COMPUTED_VALUE"""),0.0)</f>
        <v>0</v>
      </c>
    </row>
    <row r="221">
      <c r="A221" s="4" t="str">
        <f>IFERROR(__xludf.DUMMYFUNCTION("""COMPUTED_VALUE"""),"LILOAN")</f>
        <v>LILOAN</v>
      </c>
      <c r="B221" s="4" t="str">
        <f>IFERROR(__xludf.DUMMYFUNCTION("""COMPUTED_VALUE"""),"ITM062")</f>
        <v>ITM062</v>
      </c>
      <c r="C221" s="4" t="str">
        <f>IFERROR(__xludf.DUMMYFUNCTION("""COMPUTED_VALUE"""),"DOWNY")</f>
        <v>DOWNY</v>
      </c>
      <c r="D221" s="4">
        <f>IFERROR(__xludf.DUMMYFUNCTION("""COMPUTED_VALUE"""),2.0)</f>
        <v>2</v>
      </c>
      <c r="E221" s="4">
        <f>IFERROR(__xludf.DUMMYFUNCTION("""COMPUTED_VALUE"""),0.0)</f>
        <v>0</v>
      </c>
    </row>
    <row r="222">
      <c r="A222" s="4" t="str">
        <f>IFERROR(__xludf.DUMMYFUNCTION("""COMPUTED_VALUE"""),"LILOAN")</f>
        <v>LILOAN</v>
      </c>
      <c r="B222" s="4" t="str">
        <f>IFERROR(__xludf.DUMMYFUNCTION("""COMPUTED_VALUE"""),"ITM019")</f>
        <v>ITM019</v>
      </c>
      <c r="C222" s="4" t="str">
        <f>IFERROR(__xludf.DUMMYFUNCTION("""COMPUTED_VALUE"""),"FLEXSTICK BLACK BALLPEN (0.5)")</f>
        <v>FLEXSTICK BLACK BALLPEN (0.5)</v>
      </c>
      <c r="D222" s="4">
        <f>IFERROR(__xludf.DUMMYFUNCTION("""COMPUTED_VALUE"""),6.0)</f>
        <v>6</v>
      </c>
      <c r="E222" s="4">
        <f>IFERROR(__xludf.DUMMYFUNCTION("""COMPUTED_VALUE"""),0.0)</f>
        <v>0</v>
      </c>
    </row>
    <row r="223">
      <c r="A223" s="4" t="str">
        <f>IFERROR(__xludf.DUMMYFUNCTION("""COMPUTED_VALUE"""),"LILOAN")</f>
        <v>LILOAN</v>
      </c>
      <c r="B223" s="4" t="str">
        <f>IFERROR(__xludf.DUMMYFUNCTION("""COMPUTED_VALUE"""),"ITM023")</f>
        <v>ITM023</v>
      </c>
      <c r="C223" s="4" t="str">
        <f>IFERROR(__xludf.DUMMYFUNCTION("""COMPUTED_VALUE"""),"HIGHLIGHTER")</f>
        <v>HIGHLIGHTER</v>
      </c>
      <c r="D223" s="4">
        <f>IFERROR(__xludf.DUMMYFUNCTION("""COMPUTED_VALUE"""),1.0)</f>
        <v>1</v>
      </c>
      <c r="E223" s="4">
        <f>IFERROR(__xludf.DUMMYFUNCTION("""COMPUTED_VALUE"""),0.0)</f>
        <v>0</v>
      </c>
    </row>
    <row r="224">
      <c r="A224" s="4" t="str">
        <f>IFERROR(__xludf.DUMMYFUNCTION("""COMPUTED_VALUE"""),"LILOAN")</f>
        <v>LILOAN</v>
      </c>
      <c r="B224" s="4" t="str">
        <f>IFERROR(__xludf.DUMMYFUNCTION("""COMPUTED_VALUE"""),"ITM061")</f>
        <v>ITM061</v>
      </c>
      <c r="C224" s="4" t="str">
        <f>IFERROR(__xludf.DUMMYFUNCTION("""COMPUTED_VALUE"""),"JOY")</f>
        <v>JOY</v>
      </c>
      <c r="D224" s="4">
        <f>IFERROR(__xludf.DUMMYFUNCTION("""COMPUTED_VALUE"""),3.0)</f>
        <v>3</v>
      </c>
      <c r="E224" s="4">
        <f>IFERROR(__xludf.DUMMYFUNCTION("""COMPUTED_VALUE"""),0.0)</f>
        <v>0</v>
      </c>
    </row>
    <row r="225">
      <c r="A225" s="4" t="str">
        <f>IFERROR(__xludf.DUMMYFUNCTION("""COMPUTED_VALUE"""),"LILOAN")</f>
        <v>LILOAN</v>
      </c>
      <c r="B225" s="4" t="str">
        <f>IFERROR(__xludf.DUMMYFUNCTION("""COMPUTED_VALUE"""),"ITM017")</f>
        <v>ITM017</v>
      </c>
      <c r="C225" s="4" t="str">
        <f>IFERROR(__xludf.DUMMYFUNCTION("""COMPUTED_VALUE"""),"LETTER LONG WHITE ENVELOPE")</f>
        <v>LETTER LONG WHITE ENVELOPE</v>
      </c>
      <c r="D225" s="4">
        <f>IFERROR(__xludf.DUMMYFUNCTION("""COMPUTED_VALUE"""),10.0)</f>
        <v>10</v>
      </c>
      <c r="E225" s="4">
        <f>IFERROR(__xludf.DUMMYFUNCTION("""COMPUTED_VALUE"""),0.0)</f>
        <v>0</v>
      </c>
    </row>
    <row r="226">
      <c r="A226" s="4" t="str">
        <f>IFERROR(__xludf.DUMMYFUNCTION("""COMPUTED_VALUE"""),"LILOAN")</f>
        <v>LILOAN</v>
      </c>
      <c r="B226" s="4" t="str">
        <f>IFERROR(__xludf.DUMMYFUNCTION("""COMPUTED_VALUE"""),"ITM016")</f>
        <v>ITM016</v>
      </c>
      <c r="C226" s="4" t="str">
        <f>IFERROR(__xludf.DUMMYFUNCTION("""COMPUTED_VALUE"""),"LETTER SHORT WHITE ENVELOPE")</f>
        <v>LETTER SHORT WHITE ENVELOPE</v>
      </c>
      <c r="D226" s="4">
        <f>IFERROR(__xludf.DUMMYFUNCTION("""COMPUTED_VALUE"""),10.0)</f>
        <v>10</v>
      </c>
      <c r="E226" s="4">
        <f>IFERROR(__xludf.DUMMYFUNCTION("""COMPUTED_VALUE"""),0.0)</f>
        <v>0</v>
      </c>
    </row>
    <row r="227">
      <c r="A227" s="4" t="str">
        <f>IFERROR(__xludf.DUMMYFUNCTION("""COMPUTED_VALUE"""),"LILOAN")</f>
        <v>LILOAN</v>
      </c>
      <c r="B227" s="4" t="str">
        <f>IFERROR(__xludf.DUMMYFUNCTION("""COMPUTED_VALUE"""),"ITM007")</f>
        <v>ITM007</v>
      </c>
      <c r="C227" s="4" t="str">
        <f>IFERROR(__xludf.DUMMYFUNCTION("""COMPUTED_VALUE"""),"LOGBOOK VALIANT RECORD (150 &amp; 300P PAGES)")</f>
        <v>LOGBOOK VALIANT RECORD (150 &amp; 300P PAGES)</v>
      </c>
      <c r="D227" s="4">
        <f>IFERROR(__xludf.DUMMYFUNCTION("""COMPUTED_VALUE"""),1.0)</f>
        <v>1</v>
      </c>
      <c r="E227" s="4">
        <f>IFERROR(__xludf.DUMMYFUNCTION("""COMPUTED_VALUE"""),0.0)</f>
        <v>0</v>
      </c>
    </row>
    <row r="228">
      <c r="A228" s="4" t="str">
        <f>IFERROR(__xludf.DUMMYFUNCTION("""COMPUTED_VALUE"""),"LILOAN")</f>
        <v>LILOAN</v>
      </c>
      <c r="B228" s="4" t="str">
        <f>IFERROR(__xludf.DUMMYFUNCTION("""COMPUTED_VALUE"""),"ITM024")</f>
        <v>ITM024</v>
      </c>
      <c r="C228" s="4" t="str">
        <f>IFERROR(__xludf.DUMMYFUNCTION("""COMPUTED_VALUE"""),"PENCIL")</f>
        <v>PENCIL</v>
      </c>
      <c r="D228" s="4">
        <f>IFERROR(__xludf.DUMMYFUNCTION("""COMPUTED_VALUE"""),2.0)</f>
        <v>2</v>
      </c>
      <c r="E228" s="4">
        <f>IFERROR(__xludf.DUMMYFUNCTION("""COMPUTED_VALUE"""),0.0)</f>
        <v>0</v>
      </c>
    </row>
    <row r="229">
      <c r="A229" s="4" t="str">
        <f>IFERROR(__xludf.DUMMYFUNCTION("""COMPUTED_VALUE"""),"LILOAN")</f>
        <v>LILOAN</v>
      </c>
      <c r="B229" s="4" t="str">
        <f>IFERROR(__xludf.DUMMYFUNCTION("""COMPUTED_VALUE"""),"ITM056")</f>
        <v>ITM056</v>
      </c>
      <c r="C229" s="4" t="str">
        <f>IFERROR(__xludf.DUMMYFUNCTION("""COMPUTED_VALUE"""),"PRIDE SOAP POWDER")</f>
        <v>PRIDE SOAP POWDER</v>
      </c>
      <c r="D229" s="4">
        <f>IFERROR(__xludf.DUMMYFUNCTION("""COMPUTED_VALUE"""),6.0)</f>
        <v>6</v>
      </c>
      <c r="E229" s="4">
        <f>IFERROR(__xludf.DUMMYFUNCTION("""COMPUTED_VALUE"""),0.0)</f>
        <v>0</v>
      </c>
    </row>
    <row r="230">
      <c r="A230" s="4" t="str">
        <f>IFERROR(__xludf.DUMMYFUNCTION("""COMPUTED_VALUE"""),"LILOAN")</f>
        <v>LILOAN</v>
      </c>
      <c r="B230" s="4" t="str">
        <f>IFERROR(__xludf.DUMMYFUNCTION("""COMPUTED_VALUE"""),"ITM092")</f>
        <v>ITM092</v>
      </c>
      <c r="C230" s="4" t="str">
        <f>IFERROR(__xludf.DUMMYFUNCTION("""COMPUTED_VALUE"""),"RAGS")</f>
        <v>RAGS</v>
      </c>
      <c r="D230" s="4">
        <f>IFERROR(__xludf.DUMMYFUNCTION("""COMPUTED_VALUE"""),1.0)</f>
        <v>1</v>
      </c>
      <c r="E230" s="4">
        <f>IFERROR(__xludf.DUMMYFUNCTION("""COMPUTED_VALUE"""),0.0)</f>
        <v>0</v>
      </c>
    </row>
    <row r="231">
      <c r="A231" s="4" t="str">
        <f>IFERROR(__xludf.DUMMYFUNCTION("""COMPUTED_VALUE"""),"LILOAN")</f>
        <v>LILOAN</v>
      </c>
      <c r="B231" s="4" t="str">
        <f>IFERROR(__xludf.DUMMYFUNCTION("""COMPUTED_VALUE"""),"ITM063")</f>
        <v>ITM063</v>
      </c>
      <c r="C231" s="4" t="str">
        <f>IFERROR(__xludf.DUMMYFUNCTION("""COMPUTED_VALUE"""),"SAFEGUARD SOAP")</f>
        <v>SAFEGUARD SOAP</v>
      </c>
      <c r="D231" s="4">
        <f>IFERROR(__xludf.DUMMYFUNCTION("""COMPUTED_VALUE"""),1.0)</f>
        <v>1</v>
      </c>
      <c r="E231" s="4">
        <f>IFERROR(__xludf.DUMMYFUNCTION("""COMPUTED_VALUE"""),0.0)</f>
        <v>0</v>
      </c>
    </row>
    <row r="232">
      <c r="A232" s="4" t="str">
        <f>IFERROR(__xludf.DUMMYFUNCTION("""COMPUTED_VALUE"""),"LILOAN")</f>
        <v>LILOAN</v>
      </c>
      <c r="B232" s="4" t="str">
        <f>IFERROR(__xludf.DUMMYFUNCTION("""COMPUTED_VALUE"""),"ITM036")</f>
        <v>ITM036</v>
      </c>
      <c r="C232" s="4" t="str">
        <f>IFERROR(__xludf.DUMMYFUNCTION("""COMPUTED_VALUE"""),"SCOTCH TAPE (1 INCH)")</f>
        <v>SCOTCH TAPE (1 INCH)</v>
      </c>
      <c r="D232" s="4">
        <f>IFERROR(__xludf.DUMMYFUNCTION("""COMPUTED_VALUE"""),1.0)</f>
        <v>1</v>
      </c>
      <c r="E232" s="4">
        <f>IFERROR(__xludf.DUMMYFUNCTION("""COMPUTED_VALUE"""),0.0)</f>
        <v>0</v>
      </c>
    </row>
    <row r="233">
      <c r="A233" s="4" t="str">
        <f>IFERROR(__xludf.DUMMYFUNCTION("""COMPUTED_VALUE"""),"LILOAN")</f>
        <v>LILOAN</v>
      </c>
      <c r="B233" s="4" t="str">
        <f>IFERROR(__xludf.DUMMYFUNCTION("""COMPUTED_VALUE"""),"ITM025")</f>
        <v>ITM025</v>
      </c>
      <c r="C233" s="4" t="str">
        <f>IFERROR(__xludf.DUMMYFUNCTION("""COMPUTED_VALUE"""),"SHARPENER")</f>
        <v>SHARPENER</v>
      </c>
      <c r="D233" s="4">
        <f>IFERROR(__xludf.DUMMYFUNCTION("""COMPUTED_VALUE"""),1.0)</f>
        <v>1</v>
      </c>
      <c r="E233" s="4">
        <f>IFERROR(__xludf.DUMMYFUNCTION("""COMPUTED_VALUE"""),0.0)</f>
        <v>0</v>
      </c>
    </row>
    <row r="234">
      <c r="A234" s="4" t="str">
        <f>IFERROR(__xludf.DUMMYFUNCTION("""COMPUTED_VALUE"""),"LILOAN")</f>
        <v>LILOAN</v>
      </c>
      <c r="B234" s="4" t="str">
        <f>IFERROR(__xludf.DUMMYFUNCTION("""COMPUTED_VALUE"""),"ITM064")</f>
        <v>ITM064</v>
      </c>
      <c r="C234" s="4" t="str">
        <f>IFERROR(__xludf.DUMMYFUNCTION("""COMPUTED_VALUE"""),"STICKY NOTES 2X2 A02")</f>
        <v>STICKY NOTES 2X2 A02</v>
      </c>
      <c r="D234" s="4">
        <f>IFERROR(__xludf.DUMMYFUNCTION("""COMPUTED_VALUE"""),1.0)</f>
        <v>1</v>
      </c>
      <c r="E234" s="4">
        <f>IFERROR(__xludf.DUMMYFUNCTION("""COMPUTED_VALUE"""),0.0)</f>
        <v>0</v>
      </c>
    </row>
    <row r="235">
      <c r="A235" s="4" t="str">
        <f>IFERROR(__xludf.DUMMYFUNCTION("""COMPUTED_VALUE"""),"LILOAN")</f>
        <v>LILOAN</v>
      </c>
      <c r="B235" s="4" t="str">
        <f>IFERROR(__xludf.DUMMYFUNCTION("""COMPUTED_VALUE"""),"ITM097")</f>
        <v>ITM097</v>
      </c>
      <c r="C235" s="4" t="str">
        <f>IFERROR(__xludf.DUMMYFUNCTION("""COMPUTED_VALUE"""),"TRASH BAG (SMALL)")</f>
        <v>TRASH BAG (SMALL)</v>
      </c>
      <c r="D235" s="4">
        <f>IFERROR(__xludf.DUMMYFUNCTION("""COMPUTED_VALUE"""),1.0)</f>
        <v>1</v>
      </c>
      <c r="E235" s="4">
        <f>IFERROR(__xludf.DUMMYFUNCTION("""COMPUTED_VALUE"""),0.0)</f>
        <v>0</v>
      </c>
    </row>
    <row r="236">
      <c r="A236" s="4" t="str">
        <f>IFERROR(__xludf.DUMMYFUNCTION("""COMPUTED_VALUE"""),"LILOAN")</f>
        <v>LILOAN</v>
      </c>
      <c r="B236" s="4" t="str">
        <f>IFERROR(__xludf.DUMMYFUNCTION("""COMPUTED_VALUE"""),"ITM094")</f>
        <v>ITM094</v>
      </c>
      <c r="C236" s="4" t="str">
        <f>IFERROR(__xludf.DUMMYFUNCTION("""COMPUTED_VALUE"""),"TRASH BAG (XL)")</f>
        <v>TRASH BAG (XL)</v>
      </c>
      <c r="D236" s="4">
        <f>IFERROR(__xludf.DUMMYFUNCTION("""COMPUTED_VALUE"""),1.0)</f>
        <v>1</v>
      </c>
      <c r="E236" s="4">
        <f>IFERROR(__xludf.DUMMYFUNCTION("""COMPUTED_VALUE"""),0.0)</f>
        <v>0</v>
      </c>
    </row>
    <row r="237">
      <c r="A237" s="4" t="str">
        <f>IFERROR(__xludf.DUMMYFUNCTION("""COMPUTED_VALUE"""),"LILOAN")</f>
        <v>LILOAN</v>
      </c>
      <c r="B237" s="4" t="str">
        <f>IFERROR(__xludf.DUMMYFUNCTION("""COMPUTED_VALUE"""),"ITM043")</f>
        <v>ITM043</v>
      </c>
      <c r="C237" s="4" t="str">
        <f>IFERROR(__xludf.DUMMYFUNCTION("""COMPUTED_VALUE"""),"TYPEWRITER BLACK NYLON")</f>
        <v>TYPEWRITER BLACK NYLON</v>
      </c>
      <c r="D237" s="4">
        <f>IFERROR(__xludf.DUMMYFUNCTION("""COMPUTED_VALUE"""),2.0)</f>
        <v>2</v>
      </c>
      <c r="E237" s="4">
        <f>IFERROR(__xludf.DUMMYFUNCTION("""COMPUTED_VALUE"""),0.0)</f>
        <v>0</v>
      </c>
    </row>
    <row r="238">
      <c r="A238" s="4" t="str">
        <f>IFERROR(__xludf.DUMMYFUNCTION("""COMPUTED_VALUE"""),"LILOAN")</f>
        <v>LILOAN</v>
      </c>
      <c r="B238" s="4" t="str">
        <f>IFERROR(__xludf.DUMMYFUNCTION("""COMPUTED_VALUE"""),"ITM006")</f>
        <v>ITM006</v>
      </c>
      <c r="C238" s="4" t="str">
        <f>IFERROR(__xludf.DUMMYFUNCTION("""COMPUTED_VALUE"""),"VELLUM PAPER")</f>
        <v>VELLUM PAPER</v>
      </c>
      <c r="D238" s="4">
        <f>IFERROR(__xludf.DUMMYFUNCTION("""COMPUTED_VALUE"""),30.0)</f>
        <v>30</v>
      </c>
      <c r="E238" s="4">
        <f>IFERROR(__xludf.DUMMYFUNCTION("""COMPUTED_VALUE"""),0.0)</f>
        <v>0</v>
      </c>
    </row>
    <row r="239">
      <c r="A239" s="4" t="str">
        <f>IFERROR(__xludf.DUMMYFUNCTION("""COMPUTED_VALUE"""),"LILOAN")</f>
        <v>LILOAN</v>
      </c>
      <c r="B239" s="4" t="str">
        <f>IFERROR(__xludf.DUMMYFUNCTION("""COMPUTED_VALUE"""),"ITM088")</f>
        <v>ITM088</v>
      </c>
      <c r="C239" s="4" t="str">
        <f>IFERROR(__xludf.DUMMYFUNCTION("""COMPUTED_VALUE"""),"ZONROX (ORIGINAL)")</f>
        <v>ZONROX (ORIGINAL)</v>
      </c>
      <c r="D239" s="4">
        <f>IFERROR(__xludf.DUMMYFUNCTION("""COMPUTED_VALUE"""),1.0)</f>
        <v>1</v>
      </c>
      <c r="E239" s="4">
        <f>IFERROR(__xludf.DUMMYFUNCTION("""COMPUTED_VALUE"""),0.0)</f>
        <v>0</v>
      </c>
    </row>
    <row r="240">
      <c r="A240" s="4" t="str">
        <f>IFERROR(__xludf.DUMMYFUNCTION("""COMPUTED_VALUE"""),"CORDOVA MB")</f>
        <v>CORDOVA MB</v>
      </c>
      <c r="B240" s="4" t="str">
        <f>IFERROR(__xludf.DUMMYFUNCTION("""COMPUTED_VALUE"""),"ITM009")</f>
        <v>ITM009</v>
      </c>
      <c r="C240" s="4" t="str">
        <f>IFERROR(__xludf.DUMMYFUNCTION("""COMPUTED_VALUE"""),"CARBON PAPER (LONG BLUE)")</f>
        <v>CARBON PAPER (LONG BLUE)</v>
      </c>
      <c r="D240" s="4">
        <f>IFERROR(__xludf.DUMMYFUNCTION("""COMPUTED_VALUE"""),5.0)</f>
        <v>5</v>
      </c>
      <c r="E240" s="4">
        <f>IFERROR(__xludf.DUMMYFUNCTION("""COMPUTED_VALUE"""),0.0)</f>
        <v>0</v>
      </c>
    </row>
    <row r="241">
      <c r="A241" s="4" t="str">
        <f>IFERROR(__xludf.DUMMYFUNCTION("""COMPUTED_VALUE"""),"CORDOVA MB")</f>
        <v>CORDOVA MB</v>
      </c>
      <c r="B241" s="4" t="str">
        <f>IFERROR(__xludf.DUMMYFUNCTION("""COMPUTED_VALUE"""),"ITM067")</f>
        <v>ITM067</v>
      </c>
      <c r="C241" s="4" t="str">
        <f>IFERROR(__xludf.DUMMYFUNCTION("""COMPUTED_VALUE"""),"FASTENER")</f>
        <v>FASTENER</v>
      </c>
      <c r="D241" s="4">
        <f>IFERROR(__xludf.DUMMYFUNCTION("""COMPUTED_VALUE"""),1.0)</f>
        <v>1</v>
      </c>
      <c r="E241" s="4">
        <f>IFERROR(__xludf.DUMMYFUNCTION("""COMPUTED_VALUE"""),0.0)</f>
        <v>0</v>
      </c>
    </row>
    <row r="242">
      <c r="A242" s="4" t="str">
        <f>IFERROR(__xludf.DUMMYFUNCTION("""COMPUTED_VALUE"""),"CORDOVA MB")</f>
        <v>CORDOVA MB</v>
      </c>
      <c r="B242" s="4" t="str">
        <f>IFERROR(__xludf.DUMMYFUNCTION("""COMPUTED_VALUE"""),"ITM012")</f>
        <v>ITM012</v>
      </c>
      <c r="C242" s="4" t="str">
        <f>IFERROR(__xludf.DUMMYFUNCTION("""COMPUTED_VALUE"""),"BROWN FOLDER (LONG)")</f>
        <v>BROWN FOLDER (LONG)</v>
      </c>
      <c r="D242" s="4">
        <f>IFERROR(__xludf.DUMMYFUNCTION("""COMPUTED_VALUE"""),30.0)</f>
        <v>30</v>
      </c>
      <c r="E242" s="4">
        <f>IFERROR(__xludf.DUMMYFUNCTION("""COMPUTED_VALUE"""),0.0)</f>
        <v>0</v>
      </c>
    </row>
    <row r="243">
      <c r="A243" s="4" t="str">
        <f>IFERROR(__xludf.DUMMYFUNCTION("""COMPUTED_VALUE"""),"CORDOVA MB")</f>
        <v>CORDOVA MB</v>
      </c>
      <c r="B243" s="4" t="str">
        <f>IFERROR(__xludf.DUMMYFUNCTION("""COMPUTED_VALUE"""),"ITM056")</f>
        <v>ITM056</v>
      </c>
      <c r="C243" s="4" t="str">
        <f>IFERROR(__xludf.DUMMYFUNCTION("""COMPUTED_VALUE"""),"PRIDE SOAP POWDER")</f>
        <v>PRIDE SOAP POWDER</v>
      </c>
      <c r="D243" s="4">
        <f>IFERROR(__xludf.DUMMYFUNCTION("""COMPUTED_VALUE"""),6.0)</f>
        <v>6</v>
      </c>
      <c r="E243" s="4">
        <f>IFERROR(__xludf.DUMMYFUNCTION("""COMPUTED_VALUE"""),0.0)</f>
        <v>0</v>
      </c>
    </row>
    <row r="244">
      <c r="A244" s="4" t="str">
        <f>IFERROR(__xludf.DUMMYFUNCTION("""COMPUTED_VALUE"""),"CORDOVA MB")</f>
        <v>CORDOVA MB</v>
      </c>
      <c r="B244" s="4" t="str">
        <f>IFERROR(__xludf.DUMMYFUNCTION("""COMPUTED_VALUE"""),"ITM036")</f>
        <v>ITM036</v>
      </c>
      <c r="C244" s="4" t="str">
        <f>IFERROR(__xludf.DUMMYFUNCTION("""COMPUTED_VALUE"""),"SCOTCH TAPE (1 INCH)")</f>
        <v>SCOTCH TAPE (1 INCH)</v>
      </c>
      <c r="D244" s="4">
        <f>IFERROR(__xludf.DUMMYFUNCTION("""COMPUTED_VALUE"""),2.0)</f>
        <v>2</v>
      </c>
      <c r="E244" s="4">
        <f>IFERROR(__xludf.DUMMYFUNCTION("""COMPUTED_VALUE"""),0.0)</f>
        <v>0</v>
      </c>
    </row>
    <row r="245">
      <c r="A245" s="4" t="str">
        <f>IFERROR(__xludf.DUMMYFUNCTION("""COMPUTED_VALUE"""),"CORDOVA MB")</f>
        <v>CORDOVA MB</v>
      </c>
      <c r="B245" s="4" t="str">
        <f>IFERROR(__xludf.DUMMYFUNCTION("""COMPUTED_VALUE"""),"ITM006")</f>
        <v>ITM006</v>
      </c>
      <c r="C245" s="4" t="str">
        <f>IFERROR(__xludf.DUMMYFUNCTION("""COMPUTED_VALUE"""),"VELLUM PAPER")</f>
        <v>VELLUM PAPER</v>
      </c>
      <c r="D245" s="4">
        <f>IFERROR(__xludf.DUMMYFUNCTION("""COMPUTED_VALUE"""),10.0)</f>
        <v>10</v>
      </c>
      <c r="E245" s="4">
        <f>IFERROR(__xludf.DUMMYFUNCTION("""COMPUTED_VALUE"""),0.0)</f>
        <v>0</v>
      </c>
    </row>
    <row r="246">
      <c r="A246" s="4" t="str">
        <f>IFERROR(__xludf.DUMMYFUNCTION("""COMPUTED_VALUE"""),"Y3S CORDOVA")</f>
        <v>Y3S CORDOVA</v>
      </c>
      <c r="B246" s="4" t="str">
        <f>IFERROR(__xludf.DUMMYFUNCTION("""COMPUTED_VALUE"""),"ITM087")</f>
        <v>ITM087</v>
      </c>
      <c r="C246" s="4" t="str">
        <f>IFERROR(__xludf.DUMMYFUNCTION("""COMPUTED_VALUE"""),"ALBATROSS")</f>
        <v>ALBATROSS</v>
      </c>
      <c r="D246" s="4">
        <f>IFERROR(__xludf.DUMMYFUNCTION("""COMPUTED_VALUE"""),1.0)</f>
        <v>1</v>
      </c>
      <c r="E246" s="4">
        <f>IFERROR(__xludf.DUMMYFUNCTION("""COMPUTED_VALUE"""),0.0)</f>
        <v>0</v>
      </c>
    </row>
    <row r="247">
      <c r="A247" s="4" t="str">
        <f>IFERROR(__xludf.DUMMYFUNCTION("""COMPUTED_VALUE"""),"Y3S CORDOVA")</f>
        <v>Y3S CORDOVA</v>
      </c>
      <c r="B247" s="4" t="str">
        <f>IFERROR(__xludf.DUMMYFUNCTION("""COMPUTED_VALUE"""),"ITM012")</f>
        <v>ITM012</v>
      </c>
      <c r="C247" s="4" t="str">
        <f>IFERROR(__xludf.DUMMYFUNCTION("""COMPUTED_VALUE"""),"BROWN FOLDER (LONG)")</f>
        <v>BROWN FOLDER (LONG)</v>
      </c>
      <c r="D247" s="4">
        <f>IFERROR(__xludf.DUMMYFUNCTION("""COMPUTED_VALUE"""),20.0)</f>
        <v>20</v>
      </c>
      <c r="E247" s="4">
        <f>IFERROR(__xludf.DUMMYFUNCTION("""COMPUTED_VALUE"""),0.0)</f>
        <v>0</v>
      </c>
    </row>
    <row r="248">
      <c r="A248" s="4" t="str">
        <f>IFERROR(__xludf.DUMMYFUNCTION("""COMPUTED_VALUE"""),"Y3S CORDOVA")</f>
        <v>Y3S CORDOVA</v>
      </c>
      <c r="B248" s="4" t="str">
        <f>IFERROR(__xludf.DUMMYFUNCTION("""COMPUTED_VALUE"""),"ITM082")</f>
        <v>ITM082</v>
      </c>
      <c r="C248" s="4" t="str">
        <f>IFERROR(__xludf.DUMMYFUNCTION("""COMPUTED_VALUE"""),"BROWN SUGAR")</f>
        <v>BROWN SUGAR</v>
      </c>
      <c r="D248" s="4">
        <f>IFERROR(__xludf.DUMMYFUNCTION("""COMPUTED_VALUE"""),1.0)</f>
        <v>1</v>
      </c>
      <c r="E248" s="4">
        <f>IFERROR(__xludf.DUMMYFUNCTION("""COMPUTED_VALUE"""),0.0)</f>
        <v>0</v>
      </c>
    </row>
    <row r="249">
      <c r="A249" s="4" t="str">
        <f>IFERROR(__xludf.DUMMYFUNCTION("""COMPUTED_VALUE"""),"Y3S CORDOVA")</f>
        <v>Y3S CORDOVA</v>
      </c>
      <c r="B249" s="4" t="str">
        <f>IFERROR(__xludf.DUMMYFUNCTION("""COMPUTED_VALUE"""),"ITM028")</f>
        <v>ITM028</v>
      </c>
      <c r="C249" s="4" t="str">
        <f>IFERROR(__xludf.DUMMYFUNCTION("""COMPUTED_VALUE"""),"CANDIES")</f>
        <v>CANDIES</v>
      </c>
      <c r="D249" s="4">
        <f>IFERROR(__xludf.DUMMYFUNCTION("""COMPUTED_VALUE"""),30.0)</f>
        <v>30</v>
      </c>
      <c r="E249" s="4">
        <f>IFERROR(__xludf.DUMMYFUNCTION("""COMPUTED_VALUE"""),0.0)</f>
        <v>0</v>
      </c>
    </row>
    <row r="250">
      <c r="A250" s="4" t="str">
        <f>IFERROR(__xludf.DUMMYFUNCTION("""COMPUTED_VALUE"""),"Y3S CORDOVA")</f>
        <v>Y3S CORDOVA</v>
      </c>
      <c r="B250" s="4" t="str">
        <f>IFERROR(__xludf.DUMMYFUNCTION("""COMPUTED_VALUE"""),"ITM009")</f>
        <v>ITM009</v>
      </c>
      <c r="C250" s="4" t="str">
        <f>IFERROR(__xludf.DUMMYFUNCTION("""COMPUTED_VALUE"""),"CARBON PAPER (LONG BLUE)")</f>
        <v>CARBON PAPER (LONG BLUE)</v>
      </c>
      <c r="D250" s="4">
        <f>IFERROR(__xludf.DUMMYFUNCTION("""COMPUTED_VALUE"""),10.0)</f>
        <v>10</v>
      </c>
      <c r="E250" s="4">
        <f>IFERROR(__xludf.DUMMYFUNCTION("""COMPUTED_VALUE"""),0.0)</f>
        <v>0</v>
      </c>
    </row>
    <row r="251">
      <c r="A251" s="4" t="str">
        <f>IFERROR(__xludf.DUMMYFUNCTION("""COMPUTED_VALUE"""),"Y3S CORDOVA")</f>
        <v>Y3S CORDOVA</v>
      </c>
      <c r="B251" s="4" t="str">
        <f>IFERROR(__xludf.DUMMYFUNCTION("""COMPUTED_VALUE"""),"ITM078")</f>
        <v>ITM078</v>
      </c>
      <c r="C251" s="4" t="str">
        <f>IFERROR(__xludf.DUMMYFUNCTION("""COMPUTED_VALUE"""),"COFFEE CUPS")</f>
        <v>COFFEE CUPS</v>
      </c>
      <c r="D251" s="4">
        <f>IFERROR(__xludf.DUMMYFUNCTION("""COMPUTED_VALUE"""),1.0)</f>
        <v>1</v>
      </c>
      <c r="E251" s="4">
        <f>IFERROR(__xludf.DUMMYFUNCTION("""COMPUTED_VALUE"""),0.0)</f>
        <v>0</v>
      </c>
    </row>
    <row r="252">
      <c r="A252" s="4" t="str">
        <f>IFERROR(__xludf.DUMMYFUNCTION("""COMPUTED_VALUE"""),"Y3S CORDOVA")</f>
        <v>Y3S CORDOVA</v>
      </c>
      <c r="B252" s="4" t="str">
        <f>IFERROR(__xludf.DUMMYFUNCTION("""COMPUTED_VALUE"""),"ITM080")</f>
        <v>ITM080</v>
      </c>
      <c r="C252" s="4" t="str">
        <f>IFERROR(__xludf.DUMMYFUNCTION("""COMPUTED_VALUE"""),"COFFEE STICK")</f>
        <v>COFFEE STICK</v>
      </c>
      <c r="D252" s="4">
        <f>IFERROR(__xludf.DUMMYFUNCTION("""COMPUTED_VALUE"""),1.0)</f>
        <v>1</v>
      </c>
      <c r="E252" s="4">
        <f>IFERROR(__xludf.DUMMYFUNCTION("""COMPUTED_VALUE"""),0.0)</f>
        <v>0</v>
      </c>
    </row>
    <row r="253">
      <c r="A253" s="4" t="str">
        <f>IFERROR(__xludf.DUMMYFUNCTION("""COMPUTED_VALUE"""),"Y3S CORDOVA")</f>
        <v>Y3S CORDOVA</v>
      </c>
      <c r="B253" s="4" t="str">
        <f>IFERROR(__xludf.DUMMYFUNCTION("""COMPUTED_VALUE"""),"ITM027")</f>
        <v>ITM027</v>
      </c>
      <c r="C253" s="4" t="str">
        <f>IFERROR(__xludf.DUMMYFUNCTION("""COMPUTED_VALUE"""),"CORRECTION TAPE")</f>
        <v>CORRECTION TAPE</v>
      </c>
      <c r="D253" s="4">
        <f>IFERROR(__xludf.DUMMYFUNCTION("""COMPUTED_VALUE"""),3.0)</f>
        <v>3</v>
      </c>
      <c r="E253" s="4">
        <f>IFERROR(__xludf.DUMMYFUNCTION("""COMPUTED_VALUE"""),0.0)</f>
        <v>0</v>
      </c>
    </row>
    <row r="254">
      <c r="A254" s="4" t="str">
        <f>IFERROR(__xludf.DUMMYFUNCTION("""COMPUTED_VALUE"""),"Y3S CORDOVA")</f>
        <v>Y3S CORDOVA</v>
      </c>
      <c r="B254" s="4" t="str">
        <f>IFERROR(__xludf.DUMMYFUNCTION("""COMPUTED_VALUE"""),"ITM040")</f>
        <v>ITM040</v>
      </c>
      <c r="C254" s="4" t="str">
        <f>IFERROR(__xludf.DUMMYFUNCTION("""COMPUTED_VALUE"""),"DOUBLE-SIDED TAPE (1 INCH)")</f>
        <v>DOUBLE-SIDED TAPE (1 INCH)</v>
      </c>
      <c r="D254" s="4">
        <f>IFERROR(__xludf.DUMMYFUNCTION("""COMPUTED_VALUE"""),3.0)</f>
        <v>3</v>
      </c>
      <c r="E254" s="4">
        <f>IFERROR(__xludf.DUMMYFUNCTION("""COMPUTED_VALUE"""),0.0)</f>
        <v>0</v>
      </c>
    </row>
    <row r="255">
      <c r="A255" s="4" t="str">
        <f>IFERROR(__xludf.DUMMYFUNCTION("""COMPUTED_VALUE"""),"Y3S CORDOVA")</f>
        <v>Y3S CORDOVA</v>
      </c>
      <c r="B255" s="4" t="str">
        <f>IFERROR(__xludf.DUMMYFUNCTION("""COMPUTED_VALUE"""),"ITM062")</f>
        <v>ITM062</v>
      </c>
      <c r="C255" s="4" t="str">
        <f>IFERROR(__xludf.DUMMYFUNCTION("""COMPUTED_VALUE"""),"DOWNY")</f>
        <v>DOWNY</v>
      </c>
      <c r="D255" s="4">
        <f>IFERROR(__xludf.DUMMYFUNCTION("""COMPUTED_VALUE"""),6.0)</f>
        <v>6</v>
      </c>
      <c r="E255" s="4">
        <f>IFERROR(__xludf.DUMMYFUNCTION("""COMPUTED_VALUE"""),0.0)</f>
        <v>0</v>
      </c>
    </row>
    <row r="256">
      <c r="A256" s="4" t="str">
        <f>IFERROR(__xludf.DUMMYFUNCTION("""COMPUTED_VALUE"""),"Y3S CORDOVA")</f>
        <v>Y3S CORDOVA</v>
      </c>
      <c r="B256" s="4" t="str">
        <f>IFERROR(__xludf.DUMMYFUNCTION("""COMPUTED_VALUE"""),"ITM079")</f>
        <v>ITM079</v>
      </c>
      <c r="C256" s="4" t="str">
        <f>IFERROR(__xludf.DUMMYFUNCTION("""COMPUTED_VALUE"""),"DRINKING CUPS")</f>
        <v>DRINKING CUPS</v>
      </c>
      <c r="D256" s="4">
        <f>IFERROR(__xludf.DUMMYFUNCTION("""COMPUTED_VALUE"""),1.0)</f>
        <v>1</v>
      </c>
      <c r="E256" s="4">
        <f>IFERROR(__xludf.DUMMYFUNCTION("""COMPUTED_VALUE"""),0.0)</f>
        <v>0</v>
      </c>
    </row>
    <row r="257">
      <c r="A257" s="4" t="str">
        <f>IFERROR(__xludf.DUMMYFUNCTION("""COMPUTED_VALUE"""),"Y3S CORDOVA")</f>
        <v>Y3S CORDOVA</v>
      </c>
      <c r="B257" s="4" t="str">
        <f>IFERROR(__xludf.DUMMYFUNCTION("""COMPUTED_VALUE"""),"ITM023")</f>
        <v>ITM023</v>
      </c>
      <c r="C257" s="4" t="str">
        <f>IFERROR(__xludf.DUMMYFUNCTION("""COMPUTED_VALUE"""),"HIGHLIGHTER")</f>
        <v>HIGHLIGHTER</v>
      </c>
      <c r="D257" s="4">
        <f>IFERROR(__xludf.DUMMYFUNCTION("""COMPUTED_VALUE"""),3.0)</f>
        <v>3</v>
      </c>
      <c r="E257" s="4">
        <f>IFERROR(__xludf.DUMMYFUNCTION("""COMPUTED_VALUE"""),0.0)</f>
        <v>0</v>
      </c>
    </row>
    <row r="258">
      <c r="A258" s="4" t="str">
        <f>IFERROR(__xludf.DUMMYFUNCTION("""COMPUTED_VALUE"""),"Y3S CORDOVA")</f>
        <v>Y3S CORDOVA</v>
      </c>
      <c r="B258" s="4" t="str">
        <f>IFERROR(__xludf.DUMMYFUNCTION("""COMPUTED_VALUE"""),"ITM061")</f>
        <v>ITM061</v>
      </c>
      <c r="C258" s="4" t="str">
        <f>IFERROR(__xludf.DUMMYFUNCTION("""COMPUTED_VALUE"""),"JOY")</f>
        <v>JOY</v>
      </c>
      <c r="D258" s="4">
        <f>IFERROR(__xludf.DUMMYFUNCTION("""COMPUTED_VALUE"""),5.0)</f>
        <v>5</v>
      </c>
      <c r="E258" s="4">
        <f>IFERROR(__xludf.DUMMYFUNCTION("""COMPUTED_VALUE"""),0.0)</f>
        <v>0</v>
      </c>
    </row>
    <row r="259">
      <c r="A259" s="4" t="str">
        <f>IFERROR(__xludf.DUMMYFUNCTION("""COMPUTED_VALUE"""),"Y3S CORDOVA")</f>
        <v>Y3S CORDOVA</v>
      </c>
      <c r="B259" s="4" t="str">
        <f>IFERROR(__xludf.DUMMYFUNCTION("""COMPUTED_VALUE"""),"ITM039")</f>
        <v>ITM039</v>
      </c>
      <c r="C259" s="4" t="str">
        <f>IFERROR(__xludf.DUMMYFUNCTION("""COMPUTED_VALUE"""),"PACKAGING TAPE BROWN")</f>
        <v>PACKAGING TAPE BROWN</v>
      </c>
      <c r="D259" s="4">
        <f>IFERROR(__xludf.DUMMYFUNCTION("""COMPUTED_VALUE"""),2.0)</f>
        <v>2</v>
      </c>
      <c r="E259" s="4">
        <f>IFERROR(__xludf.DUMMYFUNCTION("""COMPUTED_VALUE"""),0.0)</f>
        <v>0</v>
      </c>
    </row>
    <row r="260">
      <c r="A260" s="4" t="str">
        <f>IFERROR(__xludf.DUMMYFUNCTION("""COMPUTED_VALUE"""),"Y3S CORDOVA")</f>
        <v>Y3S CORDOVA</v>
      </c>
      <c r="B260" s="4" t="str">
        <f>IFERROR(__xludf.DUMMYFUNCTION("""COMPUTED_VALUE"""),"ITM056")</f>
        <v>ITM056</v>
      </c>
      <c r="C260" s="4" t="str">
        <f>IFERROR(__xludf.DUMMYFUNCTION("""COMPUTED_VALUE"""),"PRIDE SOAP POWDER")</f>
        <v>PRIDE SOAP POWDER</v>
      </c>
      <c r="D260" s="4">
        <f>IFERROR(__xludf.DUMMYFUNCTION("""COMPUTED_VALUE"""),12.0)</f>
        <v>12</v>
      </c>
      <c r="E260" s="4">
        <f>IFERROR(__xludf.DUMMYFUNCTION("""COMPUTED_VALUE"""),0.0)</f>
        <v>0</v>
      </c>
    </row>
    <row r="261">
      <c r="A261" s="4" t="str">
        <f>IFERROR(__xludf.DUMMYFUNCTION("""COMPUTED_VALUE"""),"Y3S CORDOVA")</f>
        <v>Y3S CORDOVA</v>
      </c>
      <c r="B261" s="4" t="str">
        <f>IFERROR(__xludf.DUMMYFUNCTION("""COMPUTED_VALUE"""),"ITM064")</f>
        <v>ITM064</v>
      </c>
      <c r="C261" s="4" t="str">
        <f>IFERROR(__xludf.DUMMYFUNCTION("""COMPUTED_VALUE"""),"STICKY NOTES 2X2 A02")</f>
        <v>STICKY NOTES 2X2 A02</v>
      </c>
      <c r="D261" s="4">
        <f>IFERROR(__xludf.DUMMYFUNCTION("""COMPUTED_VALUE"""),2.0)</f>
        <v>2</v>
      </c>
      <c r="E261" s="4">
        <f>IFERROR(__xludf.DUMMYFUNCTION("""COMPUTED_VALUE"""),0.0)</f>
        <v>0</v>
      </c>
    </row>
    <row r="262">
      <c r="A262" s="4" t="str">
        <f>IFERROR(__xludf.DUMMYFUNCTION("""COMPUTED_VALUE"""),"Y3S CORDOVA")</f>
        <v>Y3S CORDOVA</v>
      </c>
      <c r="B262" s="4" t="str">
        <f>IFERROR(__xludf.DUMMYFUNCTION("""COMPUTED_VALUE"""),"ITM083")</f>
        <v>ITM083</v>
      </c>
      <c r="C262" s="4" t="str">
        <f>IFERROR(__xludf.DUMMYFUNCTION("""COMPUTED_VALUE"""),"STIRRER")</f>
        <v>STIRRER</v>
      </c>
      <c r="D262" s="4">
        <f>IFERROR(__xludf.DUMMYFUNCTION("""COMPUTED_VALUE"""),50.0)</f>
        <v>50</v>
      </c>
      <c r="E262" s="4">
        <f>IFERROR(__xludf.DUMMYFUNCTION("""COMPUTED_VALUE"""),0.0)</f>
        <v>0</v>
      </c>
    </row>
    <row r="263">
      <c r="A263" s="4" t="str">
        <f>IFERROR(__xludf.DUMMYFUNCTION("""COMPUTED_VALUE"""),"Y3S CORDOVA")</f>
        <v>Y3S CORDOVA</v>
      </c>
      <c r="B263" s="4" t="str">
        <f>IFERROR(__xludf.DUMMYFUNCTION("""COMPUTED_VALUE"""),"ITM098")</f>
        <v>ITM098</v>
      </c>
      <c r="C263" s="4" t="str">
        <f>IFERROR(__xludf.DUMMYFUNCTION("""COMPUTED_VALUE"""),"TISSUE PAPER")</f>
        <v>TISSUE PAPER</v>
      </c>
      <c r="D263" s="4">
        <f>IFERROR(__xludf.DUMMYFUNCTION("""COMPUTED_VALUE"""),3.0)</f>
        <v>3</v>
      </c>
      <c r="E263" s="4">
        <f>IFERROR(__xludf.DUMMYFUNCTION("""COMPUTED_VALUE"""),0.0)</f>
        <v>0</v>
      </c>
    </row>
    <row r="264">
      <c r="A264" s="4" t="str">
        <f>IFERROR(__xludf.DUMMYFUNCTION("""COMPUTED_VALUE"""),"Y3S CORDOVA")</f>
        <v>Y3S CORDOVA</v>
      </c>
      <c r="B264" s="4" t="str">
        <f>IFERROR(__xludf.DUMMYFUNCTION("""COMPUTED_VALUE"""),"ITM093")</f>
        <v>ITM093</v>
      </c>
      <c r="C264" s="4" t="str">
        <f>IFERROR(__xludf.DUMMYFUNCTION("""COMPUTED_VALUE"""),"TRASH BAG (XXL)")</f>
        <v>TRASH BAG (XXL)</v>
      </c>
      <c r="D264" s="4">
        <f>IFERROR(__xludf.DUMMYFUNCTION("""COMPUTED_VALUE"""),1.0)</f>
        <v>1</v>
      </c>
      <c r="E264" s="4">
        <f>IFERROR(__xludf.DUMMYFUNCTION("""COMPUTED_VALUE"""),0.0)</f>
        <v>0</v>
      </c>
    </row>
    <row r="265">
      <c r="A265" s="4" t="str">
        <f>IFERROR(__xludf.DUMMYFUNCTION("""COMPUTED_VALUE"""),"Y3S CORDOVA")</f>
        <v>Y3S CORDOVA</v>
      </c>
      <c r="B265" s="4" t="str">
        <f>IFERROR(__xludf.DUMMYFUNCTION("""COMPUTED_VALUE"""),"ITM006")</f>
        <v>ITM006</v>
      </c>
      <c r="C265" s="4" t="str">
        <f>IFERROR(__xludf.DUMMYFUNCTION("""COMPUTED_VALUE"""),"VELLUM PAPER")</f>
        <v>VELLUM PAPER</v>
      </c>
      <c r="D265" s="4">
        <f>IFERROR(__xludf.DUMMYFUNCTION("""COMPUTED_VALUE"""),20.0)</f>
        <v>20</v>
      </c>
      <c r="E265" s="4">
        <f>IFERROR(__xludf.DUMMYFUNCTION("""COMPUTED_VALUE"""),0.0)</f>
        <v>0</v>
      </c>
    </row>
    <row r="266">
      <c r="A266" s="4" t="str">
        <f>IFERROR(__xludf.DUMMYFUNCTION("""COMPUTED_VALUE"""),"Y3S CORDOVA")</f>
        <v>Y3S CORDOVA</v>
      </c>
      <c r="B266" s="4" t="str">
        <f>IFERROR(__xludf.DUMMYFUNCTION("""COMPUTED_VALUE"""),"ITM088")</f>
        <v>ITM088</v>
      </c>
      <c r="C266" s="4" t="str">
        <f>IFERROR(__xludf.DUMMYFUNCTION("""COMPUTED_VALUE"""),"ZONROX (ORIGINAL)")</f>
        <v>ZONROX (ORIGINAL)</v>
      </c>
      <c r="D266" s="4">
        <f>IFERROR(__xludf.DUMMYFUNCTION("""COMPUTED_VALUE"""),1.0)</f>
        <v>1</v>
      </c>
      <c r="E266" s="4">
        <f>IFERROR(__xludf.DUMMYFUNCTION("""COMPUTED_VALUE"""),0.0)</f>
        <v>0</v>
      </c>
    </row>
    <row r="267">
      <c r="A267" s="4" t="str">
        <f>IFERROR(__xludf.DUMMYFUNCTION("""COMPUTED_VALUE"""),"Y3S CORDOVA")</f>
        <v>Y3S CORDOVA</v>
      </c>
      <c r="B267" s="4" t="str">
        <f>IFERROR(__xludf.DUMMYFUNCTION("""COMPUTED_VALUE"""),"ITM001")</f>
        <v>ITM001</v>
      </c>
      <c r="C267" s="4" t="str">
        <f>IFERROR(__xludf.DUMMYFUNCTION("""COMPUTED_VALUE"""),"BOND PAPER (LONG)")</f>
        <v>BOND PAPER (LONG)</v>
      </c>
      <c r="D267" s="4">
        <f>IFERROR(__xludf.DUMMYFUNCTION("""COMPUTED_VALUE"""),1.0)</f>
        <v>1</v>
      </c>
      <c r="E267" s="4">
        <f>IFERROR(__xludf.DUMMYFUNCTION("""COMPUTED_VALUE"""),0.0)</f>
        <v>0</v>
      </c>
    </row>
    <row r="268">
      <c r="A268" s="4" t="str">
        <f>IFERROR(__xludf.DUMMYFUNCTION("""COMPUTED_VALUE"""),"Y3S CORDOVA")</f>
        <v>Y3S CORDOVA</v>
      </c>
      <c r="B268" s="4" t="str">
        <f>IFERROR(__xludf.DUMMYFUNCTION("""COMPUTED_VALUE"""),"ITM002")</f>
        <v>ITM002</v>
      </c>
      <c r="C268" s="4" t="str">
        <f>IFERROR(__xludf.DUMMYFUNCTION("""COMPUTED_VALUE"""),"BOND PAPER (SHORT)")</f>
        <v>BOND PAPER (SHORT)</v>
      </c>
      <c r="D268" s="4">
        <f>IFERROR(__xludf.DUMMYFUNCTION("""COMPUTED_VALUE"""),1.0)</f>
        <v>1</v>
      </c>
      <c r="E268" s="4">
        <f>IFERROR(__xludf.DUMMYFUNCTION("""COMPUTED_VALUE"""),0.0)</f>
        <v>0</v>
      </c>
    </row>
    <row r="269">
      <c r="A269" s="4" t="str">
        <f>IFERROR(__xludf.DUMMYFUNCTION("""COMPUTED_VALUE"""),"Y3S CORDOVA")</f>
        <v>Y3S CORDOVA</v>
      </c>
      <c r="B269" s="4" t="str">
        <f>IFERROR(__xludf.DUMMYFUNCTION("""COMPUTED_VALUE"""),"ITM081")</f>
        <v>ITM081</v>
      </c>
      <c r="C269" s="4" t="str">
        <f>IFERROR(__xludf.DUMMYFUNCTION("""COMPUTED_VALUE"""),"CREAMER")</f>
        <v>CREAMER</v>
      </c>
      <c r="D269" s="4">
        <f>IFERROR(__xludf.DUMMYFUNCTION("""COMPUTED_VALUE"""),1.0)</f>
        <v>1</v>
      </c>
      <c r="E269" s="4">
        <f>IFERROR(__xludf.DUMMYFUNCTION("""COMPUTED_VALUE"""),0.0)</f>
        <v>0</v>
      </c>
    </row>
    <row r="270">
      <c r="A270" s="4" t="str">
        <f>IFERROR(__xludf.DUMMYFUNCTION("""COMPUTED_VALUE"""),"Y3S CORDOVA")</f>
        <v>Y3S CORDOVA</v>
      </c>
      <c r="B270" s="4" t="str">
        <f>IFERROR(__xludf.DUMMYFUNCTION("""COMPUTED_VALUE"""),"ITM002")</f>
        <v>ITM002</v>
      </c>
      <c r="C270" s="4" t="str">
        <f>IFERROR(__xludf.DUMMYFUNCTION("""COMPUTED_VALUE"""),"BOND PAPER (SHORT)")</f>
        <v>BOND PAPER (SHORT)</v>
      </c>
      <c r="D270" s="4">
        <f>IFERROR(__xludf.DUMMYFUNCTION("""COMPUTED_VALUE"""),1.0)</f>
        <v>1</v>
      </c>
      <c r="E270" s="4">
        <f>IFERROR(__xludf.DUMMYFUNCTION("""COMPUTED_VALUE"""),0.0)</f>
        <v>0</v>
      </c>
    </row>
    <row r="271">
      <c r="A271" s="4" t="str">
        <f>IFERROR(__xludf.DUMMYFUNCTION("""COMPUTED_VALUE"""),"Y3S CORDOVA")</f>
        <v>Y3S CORDOVA</v>
      </c>
      <c r="B271" s="4" t="str">
        <f>IFERROR(__xludf.DUMMYFUNCTION("""COMPUTED_VALUE"""),"ITM012")</f>
        <v>ITM012</v>
      </c>
      <c r="C271" s="4" t="str">
        <f>IFERROR(__xludf.DUMMYFUNCTION("""COMPUTED_VALUE"""),"BROWN FOLDER (LONG)")</f>
        <v>BROWN FOLDER (LONG)</v>
      </c>
      <c r="D271" s="4">
        <f>IFERROR(__xludf.DUMMYFUNCTION("""COMPUTED_VALUE"""),40.0)</f>
        <v>40</v>
      </c>
      <c r="E271" s="4">
        <f>IFERROR(__xludf.DUMMYFUNCTION("""COMPUTED_VALUE"""),0.0)</f>
        <v>0</v>
      </c>
    </row>
    <row r="272">
      <c r="A272" s="4" t="str">
        <f>IFERROR(__xludf.DUMMYFUNCTION("""COMPUTED_VALUE"""),"Y3S CORDOVA")</f>
        <v>Y3S CORDOVA</v>
      </c>
      <c r="B272" s="4" t="str">
        <f>IFERROR(__xludf.DUMMYFUNCTION("""COMPUTED_VALUE"""),"ITM019")</f>
        <v>ITM019</v>
      </c>
      <c r="C272" s="4" t="str">
        <f>IFERROR(__xludf.DUMMYFUNCTION("""COMPUTED_VALUE"""),"FLEXSTICK BLACK BALLPEN (0.5)")</f>
        <v>FLEXSTICK BLACK BALLPEN (0.5)</v>
      </c>
      <c r="D272" s="4">
        <f>IFERROR(__xludf.DUMMYFUNCTION("""COMPUTED_VALUE"""),12.0)</f>
        <v>12</v>
      </c>
      <c r="E272" s="4">
        <f>IFERROR(__xludf.DUMMYFUNCTION("""COMPUTED_VALUE"""),0.0)</f>
        <v>0</v>
      </c>
    </row>
    <row r="273">
      <c r="A273" s="4" t="str">
        <f>IFERROR(__xludf.DUMMYFUNCTION("""COMPUTED_VALUE"""),"Y3S CORDOVA")</f>
        <v>Y3S CORDOVA</v>
      </c>
      <c r="B273" s="4" t="str">
        <f>IFERROR(__xludf.DUMMYFUNCTION("""COMPUTED_VALUE"""),"ITM087")</f>
        <v>ITM087</v>
      </c>
      <c r="C273" s="4" t="str">
        <f>IFERROR(__xludf.DUMMYFUNCTION("""COMPUTED_VALUE"""),"ALBATROSS")</f>
        <v>ALBATROSS</v>
      </c>
      <c r="D273" s="4">
        <f>IFERROR(__xludf.DUMMYFUNCTION("""COMPUTED_VALUE"""),1.0)</f>
        <v>1</v>
      </c>
      <c r="E273" s="4">
        <f>IFERROR(__xludf.DUMMYFUNCTION("""COMPUTED_VALUE"""),0.0)</f>
        <v>0</v>
      </c>
    </row>
    <row r="274">
      <c r="A274" s="4" t="str">
        <f>IFERROR(__xludf.DUMMYFUNCTION("""COMPUTED_VALUE"""),"Y3S CORDOVA")</f>
        <v>Y3S CORDOVA</v>
      </c>
      <c r="B274" s="4" t="str">
        <f>IFERROR(__xludf.DUMMYFUNCTION("""COMPUTED_VALUE"""),"ITM002")</f>
        <v>ITM002</v>
      </c>
      <c r="C274" s="4" t="str">
        <f>IFERROR(__xludf.DUMMYFUNCTION("""COMPUTED_VALUE"""),"BOND PAPER (SHORT)")</f>
        <v>BOND PAPER (SHORT)</v>
      </c>
      <c r="D274" s="4">
        <f>IFERROR(__xludf.DUMMYFUNCTION("""COMPUTED_VALUE"""),1.0)</f>
        <v>1</v>
      </c>
      <c r="E274" s="4">
        <f>IFERROR(__xludf.DUMMYFUNCTION("""COMPUTED_VALUE"""),0.0)</f>
        <v>0</v>
      </c>
    </row>
    <row r="275">
      <c r="A275" s="4" t="str">
        <f>IFERROR(__xludf.DUMMYFUNCTION("""COMPUTED_VALUE"""),"Y3S CORDOVA")</f>
        <v>Y3S CORDOVA</v>
      </c>
      <c r="B275" s="4" t="str">
        <f>IFERROR(__xludf.DUMMYFUNCTION("""COMPUTED_VALUE"""),"ITM003")</f>
        <v>ITM003</v>
      </c>
      <c r="C275" s="4" t="str">
        <f>IFERROR(__xludf.DUMMYFUNCTION("""COMPUTED_VALUE"""),"BOND PAPER A4")</f>
        <v>BOND PAPER A4</v>
      </c>
      <c r="D275" s="4">
        <f>IFERROR(__xludf.DUMMYFUNCTION("""COMPUTED_VALUE"""),1.0)</f>
        <v>1</v>
      </c>
      <c r="E275" s="4">
        <f>IFERROR(__xludf.DUMMYFUNCTION("""COMPUTED_VALUE"""),0.0)</f>
        <v>0</v>
      </c>
    </row>
    <row r="276">
      <c r="A276" s="4" t="str">
        <f>IFERROR(__xludf.DUMMYFUNCTION("""COMPUTED_VALUE"""),"Y3S CORDOVA")</f>
        <v>Y3S CORDOVA</v>
      </c>
      <c r="B276" s="4" t="str">
        <f>IFERROR(__xludf.DUMMYFUNCTION("""COMPUTED_VALUE"""),"ITM011")</f>
        <v>ITM011</v>
      </c>
      <c r="C276" s="4" t="str">
        <f>IFERROR(__xludf.DUMMYFUNCTION("""COMPUTED_VALUE"""),"BROWN ENVELOPE (SHORT)")</f>
        <v>BROWN ENVELOPE (SHORT)</v>
      </c>
      <c r="D276" s="4">
        <f>IFERROR(__xludf.DUMMYFUNCTION("""COMPUTED_VALUE"""),30.0)</f>
        <v>30</v>
      </c>
      <c r="E276" s="4">
        <f>IFERROR(__xludf.DUMMYFUNCTION("""COMPUTED_VALUE"""),0.0)</f>
        <v>0</v>
      </c>
    </row>
    <row r="277">
      <c r="A277" s="4" t="str">
        <f>IFERROR(__xludf.DUMMYFUNCTION("""COMPUTED_VALUE"""),"Y3S CORDOVA")</f>
        <v>Y3S CORDOVA</v>
      </c>
      <c r="B277" s="4" t="str">
        <f>IFERROR(__xludf.DUMMYFUNCTION("""COMPUTED_VALUE"""),"ITM082")</f>
        <v>ITM082</v>
      </c>
      <c r="C277" s="4" t="str">
        <f>IFERROR(__xludf.DUMMYFUNCTION("""COMPUTED_VALUE"""),"BROWN SUGAR")</f>
        <v>BROWN SUGAR</v>
      </c>
      <c r="D277" s="4">
        <f>IFERROR(__xludf.DUMMYFUNCTION("""COMPUTED_VALUE"""),1.0)</f>
        <v>1</v>
      </c>
      <c r="E277" s="4">
        <f>IFERROR(__xludf.DUMMYFUNCTION("""COMPUTED_VALUE"""),0.0)</f>
        <v>0</v>
      </c>
    </row>
    <row r="278">
      <c r="A278" s="4" t="str">
        <f>IFERROR(__xludf.DUMMYFUNCTION("""COMPUTED_VALUE"""),"Y3S CORDOVA")</f>
        <v>Y3S CORDOVA</v>
      </c>
      <c r="B278" s="4" t="str">
        <f>IFERROR(__xludf.DUMMYFUNCTION("""COMPUTED_VALUE"""),"ITM028")</f>
        <v>ITM028</v>
      </c>
      <c r="C278" s="4" t="str">
        <f>IFERROR(__xludf.DUMMYFUNCTION("""COMPUTED_VALUE"""),"CANDIES")</f>
        <v>CANDIES</v>
      </c>
      <c r="D278" s="4">
        <f>IFERROR(__xludf.DUMMYFUNCTION("""COMPUTED_VALUE"""),20.0)</f>
        <v>20</v>
      </c>
      <c r="E278" s="4">
        <f>IFERROR(__xludf.DUMMYFUNCTION("""COMPUTED_VALUE"""),0.0)</f>
        <v>0</v>
      </c>
    </row>
    <row r="279">
      <c r="A279" s="4" t="str">
        <f>IFERROR(__xludf.DUMMYFUNCTION("""COMPUTED_VALUE"""),"Y3S CORDOVA")</f>
        <v>Y3S CORDOVA</v>
      </c>
      <c r="B279" s="4" t="str">
        <f>IFERROR(__xludf.DUMMYFUNCTION("""COMPUTED_VALUE"""),"ITM078")</f>
        <v>ITM078</v>
      </c>
      <c r="C279" s="4" t="str">
        <f>IFERROR(__xludf.DUMMYFUNCTION("""COMPUTED_VALUE"""),"COFFEE CUPS")</f>
        <v>COFFEE CUPS</v>
      </c>
      <c r="D279" s="4">
        <f>IFERROR(__xludf.DUMMYFUNCTION("""COMPUTED_VALUE"""),1.0)</f>
        <v>1</v>
      </c>
      <c r="E279" s="4">
        <f>IFERROR(__xludf.DUMMYFUNCTION("""COMPUTED_VALUE"""),0.0)</f>
        <v>0</v>
      </c>
    </row>
    <row r="280">
      <c r="A280" s="4" t="str">
        <f>IFERROR(__xludf.DUMMYFUNCTION("""COMPUTED_VALUE"""),"Y3S CORDOVA")</f>
        <v>Y3S CORDOVA</v>
      </c>
      <c r="B280" s="4" t="str">
        <f>IFERROR(__xludf.DUMMYFUNCTION("""COMPUTED_VALUE"""),"ITM080")</f>
        <v>ITM080</v>
      </c>
      <c r="C280" s="4" t="str">
        <f>IFERROR(__xludf.DUMMYFUNCTION("""COMPUTED_VALUE"""),"COFFEE STICK")</f>
        <v>COFFEE STICK</v>
      </c>
      <c r="D280" s="4">
        <f>IFERROR(__xludf.DUMMYFUNCTION("""COMPUTED_VALUE"""),1.0)</f>
        <v>1</v>
      </c>
      <c r="E280" s="4">
        <f>IFERROR(__xludf.DUMMYFUNCTION("""COMPUTED_VALUE"""),0.0)</f>
        <v>0</v>
      </c>
    </row>
    <row r="281">
      <c r="A281" s="4" t="str">
        <f>IFERROR(__xludf.DUMMYFUNCTION("""COMPUTED_VALUE"""),"Y3S CORDOVA")</f>
        <v>Y3S CORDOVA</v>
      </c>
      <c r="B281" s="4" t="str">
        <f>IFERROR(__xludf.DUMMYFUNCTION("""COMPUTED_VALUE"""),"ITM027")</f>
        <v>ITM027</v>
      </c>
      <c r="C281" s="4" t="str">
        <f>IFERROR(__xludf.DUMMYFUNCTION("""COMPUTED_VALUE"""),"CORRECTION TAPE")</f>
        <v>CORRECTION TAPE</v>
      </c>
      <c r="D281" s="4">
        <f>IFERROR(__xludf.DUMMYFUNCTION("""COMPUTED_VALUE"""),1.0)</f>
        <v>1</v>
      </c>
      <c r="E281" s="4">
        <f>IFERROR(__xludf.DUMMYFUNCTION("""COMPUTED_VALUE"""),0.0)</f>
        <v>0</v>
      </c>
    </row>
    <row r="282">
      <c r="A282" s="4" t="str">
        <f>IFERROR(__xludf.DUMMYFUNCTION("""COMPUTED_VALUE"""),"Y3S CORDOVA")</f>
        <v>Y3S CORDOVA</v>
      </c>
      <c r="B282" s="4" t="str">
        <f>IFERROR(__xludf.DUMMYFUNCTION("""COMPUTED_VALUE"""),"ITM081")</f>
        <v>ITM081</v>
      </c>
      <c r="C282" s="4" t="str">
        <f>IFERROR(__xludf.DUMMYFUNCTION("""COMPUTED_VALUE"""),"CREAMER")</f>
        <v>CREAMER</v>
      </c>
      <c r="D282" s="4">
        <f>IFERROR(__xludf.DUMMYFUNCTION("""COMPUTED_VALUE"""),1.0)</f>
        <v>1</v>
      </c>
      <c r="E282" s="4">
        <f>IFERROR(__xludf.DUMMYFUNCTION("""COMPUTED_VALUE"""),0.0)</f>
        <v>0</v>
      </c>
    </row>
    <row r="283">
      <c r="A283" s="4" t="str">
        <f>IFERROR(__xludf.DUMMYFUNCTION("""COMPUTED_VALUE"""),"Y3S CORDOVA")</f>
        <v>Y3S CORDOVA</v>
      </c>
      <c r="B283" s="4" t="str">
        <f>IFERROR(__xludf.DUMMYFUNCTION("""COMPUTED_VALUE"""),"ITM040")</f>
        <v>ITM040</v>
      </c>
      <c r="C283" s="4" t="str">
        <f>IFERROR(__xludf.DUMMYFUNCTION("""COMPUTED_VALUE"""),"DOUBLE-SIDED TAPE (1 INCH)")</f>
        <v>DOUBLE-SIDED TAPE (1 INCH)</v>
      </c>
      <c r="D283" s="4">
        <f>IFERROR(__xludf.DUMMYFUNCTION("""COMPUTED_VALUE"""),2.0)</f>
        <v>2</v>
      </c>
      <c r="E283" s="4">
        <f>IFERROR(__xludf.DUMMYFUNCTION("""COMPUTED_VALUE"""),0.0)</f>
        <v>0</v>
      </c>
    </row>
    <row r="284">
      <c r="A284" s="4" t="str">
        <f>IFERROR(__xludf.DUMMYFUNCTION("""COMPUTED_VALUE"""),"Y3S CORDOVA")</f>
        <v>Y3S CORDOVA</v>
      </c>
      <c r="B284" s="4" t="str">
        <f>IFERROR(__xludf.DUMMYFUNCTION("""COMPUTED_VALUE"""),"ITM062")</f>
        <v>ITM062</v>
      </c>
      <c r="C284" s="4" t="str">
        <f>IFERROR(__xludf.DUMMYFUNCTION("""COMPUTED_VALUE"""),"DOWNY")</f>
        <v>DOWNY</v>
      </c>
      <c r="D284" s="4">
        <f>IFERROR(__xludf.DUMMYFUNCTION("""COMPUTED_VALUE"""),4.0)</f>
        <v>4</v>
      </c>
      <c r="E284" s="4">
        <f>IFERROR(__xludf.DUMMYFUNCTION("""COMPUTED_VALUE"""),0.0)</f>
        <v>0</v>
      </c>
    </row>
    <row r="285">
      <c r="A285" s="4" t="str">
        <f>IFERROR(__xludf.DUMMYFUNCTION("""COMPUTED_VALUE"""),"Y3S CORDOVA")</f>
        <v>Y3S CORDOVA</v>
      </c>
      <c r="B285" s="4" t="str">
        <f>IFERROR(__xludf.DUMMYFUNCTION("""COMPUTED_VALUE"""),"ITM079")</f>
        <v>ITM079</v>
      </c>
      <c r="C285" s="4" t="str">
        <f>IFERROR(__xludf.DUMMYFUNCTION("""COMPUTED_VALUE"""),"DRINKING CUPS")</f>
        <v>DRINKING CUPS</v>
      </c>
      <c r="D285" s="4">
        <f>IFERROR(__xludf.DUMMYFUNCTION("""COMPUTED_VALUE"""),1.0)</f>
        <v>1</v>
      </c>
      <c r="E285" s="4">
        <f>IFERROR(__xludf.DUMMYFUNCTION("""COMPUTED_VALUE"""),0.0)</f>
        <v>0</v>
      </c>
    </row>
    <row r="286">
      <c r="A286" s="4" t="str">
        <f>IFERROR(__xludf.DUMMYFUNCTION("""COMPUTED_VALUE"""),"Y3S CORDOVA")</f>
        <v>Y3S CORDOVA</v>
      </c>
      <c r="B286" s="4" t="str">
        <f>IFERROR(__xludf.DUMMYFUNCTION("""COMPUTED_VALUE"""),"ITM067")</f>
        <v>ITM067</v>
      </c>
      <c r="C286" s="4" t="str">
        <f>IFERROR(__xludf.DUMMYFUNCTION("""COMPUTED_VALUE"""),"FASTENER")</f>
        <v>FASTENER</v>
      </c>
      <c r="D286" s="4">
        <f>IFERROR(__xludf.DUMMYFUNCTION("""COMPUTED_VALUE"""),1.0)</f>
        <v>1</v>
      </c>
      <c r="E286" s="4">
        <f>IFERROR(__xludf.DUMMYFUNCTION("""COMPUTED_VALUE"""),0.0)</f>
        <v>0</v>
      </c>
    </row>
    <row r="287">
      <c r="A287" s="4" t="str">
        <f>IFERROR(__xludf.DUMMYFUNCTION("""COMPUTED_VALUE"""),"Y3S CORDOVA")</f>
        <v>Y3S CORDOVA</v>
      </c>
      <c r="B287" s="4" t="str">
        <f>IFERROR(__xludf.DUMMYFUNCTION("""COMPUTED_VALUE"""),"ITM019")</f>
        <v>ITM019</v>
      </c>
      <c r="C287" s="4" t="str">
        <f>IFERROR(__xludf.DUMMYFUNCTION("""COMPUTED_VALUE"""),"FLEXSTICK BLACK BALLPEN (0.5)")</f>
        <v>FLEXSTICK BLACK BALLPEN (0.5)</v>
      </c>
      <c r="D287" s="4">
        <f>IFERROR(__xludf.DUMMYFUNCTION("""COMPUTED_VALUE"""),1.0)</f>
        <v>1</v>
      </c>
      <c r="E287" s="4">
        <f>IFERROR(__xludf.DUMMYFUNCTION("""COMPUTED_VALUE"""),0.0)</f>
        <v>0</v>
      </c>
    </row>
    <row r="288">
      <c r="A288" s="4" t="str">
        <f>IFERROR(__xludf.DUMMYFUNCTION("""COMPUTED_VALUE"""),"Y3S CORDOVA")</f>
        <v>Y3S CORDOVA</v>
      </c>
      <c r="B288" s="4" t="str">
        <f>IFERROR(__xludf.DUMMYFUNCTION("""COMPUTED_VALUE"""),"ITM090")</f>
        <v>ITM090</v>
      </c>
      <c r="C288" s="4" t="str">
        <f>IFERROR(__xludf.DUMMYFUNCTION("""COMPUTED_VALUE"""),"GLASS CLEANER")</f>
        <v>GLASS CLEANER</v>
      </c>
      <c r="D288" s="4">
        <f>IFERROR(__xludf.DUMMYFUNCTION("""COMPUTED_VALUE"""),1.0)</f>
        <v>1</v>
      </c>
      <c r="E288" s="4">
        <f>IFERROR(__xludf.DUMMYFUNCTION("""COMPUTED_VALUE"""),0.0)</f>
        <v>0</v>
      </c>
    </row>
    <row r="289">
      <c r="A289" s="4" t="str">
        <f>IFERROR(__xludf.DUMMYFUNCTION("""COMPUTED_VALUE"""),"Y3S CORDOVA")</f>
        <v>Y3S CORDOVA</v>
      </c>
      <c r="B289" s="4" t="str">
        <f>IFERROR(__xludf.DUMMYFUNCTION("""COMPUTED_VALUE"""),"ITM032")</f>
        <v>ITM032</v>
      </c>
      <c r="C289" s="4" t="str">
        <f>IFERROR(__xludf.DUMMYFUNCTION("""COMPUTED_VALUE"""),"GLUE")</f>
        <v>GLUE</v>
      </c>
      <c r="D289" s="4">
        <f>IFERROR(__xludf.DUMMYFUNCTION("""COMPUTED_VALUE"""),2.0)</f>
        <v>2</v>
      </c>
      <c r="E289" s="4">
        <f>IFERROR(__xludf.DUMMYFUNCTION("""COMPUTED_VALUE"""),0.0)</f>
        <v>0</v>
      </c>
    </row>
    <row r="290">
      <c r="A290" s="4" t="str">
        <f>IFERROR(__xludf.DUMMYFUNCTION("""COMPUTED_VALUE"""),"Y3S CORDOVA")</f>
        <v>Y3S CORDOVA</v>
      </c>
      <c r="B290" s="4" t="str">
        <f>IFERROR(__xludf.DUMMYFUNCTION("""COMPUTED_VALUE"""),"ITM061")</f>
        <v>ITM061</v>
      </c>
      <c r="C290" s="4" t="str">
        <f>IFERROR(__xludf.DUMMYFUNCTION("""COMPUTED_VALUE"""),"JOY")</f>
        <v>JOY</v>
      </c>
      <c r="D290" s="4">
        <f>IFERROR(__xludf.DUMMYFUNCTION("""COMPUTED_VALUE"""),12.0)</f>
        <v>12</v>
      </c>
      <c r="E290" s="4">
        <f>IFERROR(__xludf.DUMMYFUNCTION("""COMPUTED_VALUE"""),0.0)</f>
        <v>0</v>
      </c>
    </row>
    <row r="291">
      <c r="A291" s="4" t="str">
        <f>IFERROR(__xludf.DUMMYFUNCTION("""COMPUTED_VALUE"""),"Y3S CORDOVA")</f>
        <v>Y3S CORDOVA</v>
      </c>
      <c r="B291" s="4" t="str">
        <f>IFERROR(__xludf.DUMMYFUNCTION("""COMPUTED_VALUE"""),"ITM024")</f>
        <v>ITM024</v>
      </c>
      <c r="C291" s="4" t="str">
        <f>IFERROR(__xludf.DUMMYFUNCTION("""COMPUTED_VALUE"""),"PENCIL")</f>
        <v>PENCIL</v>
      </c>
      <c r="D291" s="4">
        <f>IFERROR(__xludf.DUMMYFUNCTION("""COMPUTED_VALUE"""),2.0)</f>
        <v>2</v>
      </c>
      <c r="E291" s="4">
        <f>IFERROR(__xludf.DUMMYFUNCTION("""COMPUTED_VALUE"""),0.0)</f>
        <v>0</v>
      </c>
    </row>
    <row r="292">
      <c r="A292" s="4" t="str">
        <f>IFERROR(__xludf.DUMMYFUNCTION("""COMPUTED_VALUE"""),"Y3S CORDOVA")</f>
        <v>Y3S CORDOVA</v>
      </c>
      <c r="B292" s="4" t="str">
        <f>IFERROR(__xludf.DUMMYFUNCTION("""COMPUTED_VALUE"""),"ITM056")</f>
        <v>ITM056</v>
      </c>
      <c r="C292" s="4" t="str">
        <f>IFERROR(__xludf.DUMMYFUNCTION("""COMPUTED_VALUE"""),"PRIDE SOAP POWDER")</f>
        <v>PRIDE SOAP POWDER</v>
      </c>
      <c r="D292" s="4">
        <f>IFERROR(__xludf.DUMMYFUNCTION("""COMPUTED_VALUE"""),12.0)</f>
        <v>12</v>
      </c>
      <c r="E292" s="4">
        <f>IFERROR(__xludf.DUMMYFUNCTION("""COMPUTED_VALUE"""),0.0)</f>
        <v>0</v>
      </c>
    </row>
    <row r="293">
      <c r="A293" s="4" t="str">
        <f>IFERROR(__xludf.DUMMYFUNCTION("""COMPUTED_VALUE"""),"Y3S CORDOVA")</f>
        <v>Y3S CORDOVA</v>
      </c>
      <c r="B293" s="4" t="str">
        <f>IFERROR(__xludf.DUMMYFUNCTION("""COMPUTED_VALUE"""),"ITM063")</f>
        <v>ITM063</v>
      </c>
      <c r="C293" s="4" t="str">
        <f>IFERROR(__xludf.DUMMYFUNCTION("""COMPUTED_VALUE"""),"SAFEGUARD SOAP")</f>
        <v>SAFEGUARD SOAP</v>
      </c>
      <c r="D293" s="4">
        <f>IFERROR(__xludf.DUMMYFUNCTION("""COMPUTED_VALUE"""),2.0)</f>
        <v>2</v>
      </c>
      <c r="E293" s="4">
        <f>IFERROR(__xludf.DUMMYFUNCTION("""COMPUTED_VALUE"""),0.0)</f>
        <v>0</v>
      </c>
    </row>
    <row r="294">
      <c r="A294" s="4" t="str">
        <f>IFERROR(__xludf.DUMMYFUNCTION("""COMPUTED_VALUE"""),"Y3S CORDOVA")</f>
        <v>Y3S CORDOVA</v>
      </c>
      <c r="B294" s="4" t="str">
        <f>IFERROR(__xludf.DUMMYFUNCTION("""COMPUTED_VALUE"""),"ITM074")</f>
        <v>ITM074</v>
      </c>
      <c r="C294" s="4" t="str">
        <f>IFERROR(__xludf.DUMMYFUNCTION("""COMPUTED_VALUE"""),"STAPLE WIRE #35")</f>
        <v>STAPLE WIRE #35</v>
      </c>
      <c r="D294" s="4">
        <f>IFERROR(__xludf.DUMMYFUNCTION("""COMPUTED_VALUE"""),1.0)</f>
        <v>1</v>
      </c>
      <c r="E294" s="4">
        <f>IFERROR(__xludf.DUMMYFUNCTION("""COMPUTED_VALUE"""),0.0)</f>
        <v>0</v>
      </c>
    </row>
    <row r="295">
      <c r="A295" s="4" t="str">
        <f>IFERROR(__xludf.DUMMYFUNCTION("""COMPUTED_VALUE"""),"Y3S CORDOVA")</f>
        <v>Y3S CORDOVA</v>
      </c>
      <c r="B295" s="4" t="str">
        <f>IFERROR(__xludf.DUMMYFUNCTION("""COMPUTED_VALUE"""),"ITM083")</f>
        <v>ITM083</v>
      </c>
      <c r="C295" s="4" t="str">
        <f>IFERROR(__xludf.DUMMYFUNCTION("""COMPUTED_VALUE"""),"STIRRER")</f>
        <v>STIRRER</v>
      </c>
      <c r="D295" s="4">
        <f>IFERROR(__xludf.DUMMYFUNCTION("""COMPUTED_VALUE"""),50.0)</f>
        <v>50</v>
      </c>
      <c r="E295" s="4">
        <f>IFERROR(__xludf.DUMMYFUNCTION("""COMPUTED_VALUE"""),0.0)</f>
        <v>0</v>
      </c>
    </row>
    <row r="296">
      <c r="A296" s="4" t="str">
        <f>IFERROR(__xludf.DUMMYFUNCTION("""COMPUTED_VALUE"""),"Y3S CORDOVA")</f>
        <v>Y3S CORDOVA</v>
      </c>
      <c r="B296" s="4" t="str">
        <f>IFERROR(__xludf.DUMMYFUNCTION("""COMPUTED_VALUE"""),"ITM098")</f>
        <v>ITM098</v>
      </c>
      <c r="C296" s="4" t="str">
        <f>IFERROR(__xludf.DUMMYFUNCTION("""COMPUTED_VALUE"""),"TISSUE PAPER")</f>
        <v>TISSUE PAPER</v>
      </c>
      <c r="D296" s="4">
        <f>IFERROR(__xludf.DUMMYFUNCTION("""COMPUTED_VALUE"""),3.0)</f>
        <v>3</v>
      </c>
      <c r="E296" s="4">
        <f>IFERROR(__xludf.DUMMYFUNCTION("""COMPUTED_VALUE"""),0.0)</f>
        <v>0</v>
      </c>
    </row>
    <row r="297">
      <c r="A297" s="4" t="str">
        <f>IFERROR(__xludf.DUMMYFUNCTION("""COMPUTED_VALUE"""),"Y3S CORDOVA")</f>
        <v>Y3S CORDOVA</v>
      </c>
      <c r="B297" s="4" t="str">
        <f>IFERROR(__xludf.DUMMYFUNCTION("""COMPUTED_VALUE"""),"ITM097")</f>
        <v>ITM097</v>
      </c>
      <c r="C297" s="4" t="str">
        <f>IFERROR(__xludf.DUMMYFUNCTION("""COMPUTED_VALUE"""),"TRASH BAG (SMALL)")</f>
        <v>TRASH BAG (SMALL)</v>
      </c>
      <c r="D297" s="4">
        <f>IFERROR(__xludf.DUMMYFUNCTION("""COMPUTED_VALUE"""),1.0)</f>
        <v>1</v>
      </c>
      <c r="E297" s="4">
        <f>IFERROR(__xludf.DUMMYFUNCTION("""COMPUTED_VALUE"""),0.0)</f>
        <v>0</v>
      </c>
    </row>
    <row r="298">
      <c r="A298" s="4" t="str">
        <f>IFERROR(__xludf.DUMMYFUNCTION("""COMPUTED_VALUE"""),"Y3S CORDOVA")</f>
        <v>Y3S CORDOVA</v>
      </c>
      <c r="B298" s="4" t="str">
        <f>IFERROR(__xludf.DUMMYFUNCTION("""COMPUTED_VALUE"""),"ITM006")</f>
        <v>ITM006</v>
      </c>
      <c r="C298" s="4" t="str">
        <f>IFERROR(__xludf.DUMMYFUNCTION("""COMPUTED_VALUE"""),"VELLUM PAPER")</f>
        <v>VELLUM PAPER</v>
      </c>
      <c r="D298" s="4">
        <f>IFERROR(__xludf.DUMMYFUNCTION("""COMPUTED_VALUE"""),50.0)</f>
        <v>50</v>
      </c>
      <c r="E298" s="4">
        <f>IFERROR(__xludf.DUMMYFUNCTION("""COMPUTED_VALUE"""),0.0)</f>
        <v>0</v>
      </c>
    </row>
    <row r="299">
      <c r="A299" s="4" t="str">
        <f>IFERROR(__xludf.DUMMYFUNCTION("""COMPUTED_VALUE"""),"Y3S CORDOVA")</f>
        <v>Y3S CORDOVA</v>
      </c>
      <c r="B299" s="4" t="str">
        <f>IFERROR(__xludf.DUMMYFUNCTION("""COMPUTED_VALUE"""),"ITM088")</f>
        <v>ITM088</v>
      </c>
      <c r="C299" s="4" t="str">
        <f>IFERROR(__xludf.DUMMYFUNCTION("""COMPUTED_VALUE"""),"ZONROX (ORIGINAL)")</f>
        <v>ZONROX (ORIGINAL)</v>
      </c>
      <c r="D299" s="4">
        <f>IFERROR(__xludf.DUMMYFUNCTION("""COMPUTED_VALUE"""),2.0)</f>
        <v>2</v>
      </c>
      <c r="E299" s="4">
        <f>IFERROR(__xludf.DUMMYFUNCTION("""COMPUTED_VALUE"""),0.0)</f>
        <v>0</v>
      </c>
    </row>
    <row r="300">
      <c r="A300" s="4" t="str">
        <f>IFERROR(__xludf.DUMMYFUNCTION("""COMPUTED_VALUE"""),"CLARIN")</f>
        <v>CLARIN</v>
      </c>
      <c r="B300" s="4" t="str">
        <f>IFERROR(__xludf.DUMMYFUNCTION("""COMPUTED_VALUE"""),"ITM003")</f>
        <v>ITM003</v>
      </c>
      <c r="C300" s="4" t="str">
        <f>IFERROR(__xludf.DUMMYFUNCTION("""COMPUTED_VALUE"""),"BOND PAPER A4")</f>
        <v>BOND PAPER A4</v>
      </c>
      <c r="D300" s="4">
        <f>IFERROR(__xludf.DUMMYFUNCTION("""COMPUTED_VALUE"""),1.0)</f>
        <v>1</v>
      </c>
      <c r="E300" s="4">
        <f>IFERROR(__xludf.DUMMYFUNCTION("""COMPUTED_VALUE"""),0.0)</f>
        <v>0</v>
      </c>
    </row>
    <row r="301">
      <c r="A301" s="4" t="str">
        <f>IFERROR(__xludf.DUMMYFUNCTION("""COMPUTED_VALUE"""),"CLARIN")</f>
        <v>CLARIN</v>
      </c>
      <c r="B301" s="4" t="str">
        <f>IFERROR(__xludf.DUMMYFUNCTION("""COMPUTED_VALUE"""),"ITM005")</f>
        <v>ITM005</v>
      </c>
      <c r="C301" s="4" t="str">
        <f>IFERROR(__xludf.DUMMYFUNCTION("""COMPUTED_VALUE"""),"BOND PAPER NEWSPRINT (LONG)")</f>
        <v>BOND PAPER NEWSPRINT (LONG)</v>
      </c>
      <c r="D301" s="4">
        <f>IFERROR(__xludf.DUMMYFUNCTION("""COMPUTED_VALUE"""),1.0)</f>
        <v>1</v>
      </c>
      <c r="E301" s="4">
        <f>IFERROR(__xludf.DUMMYFUNCTION("""COMPUTED_VALUE"""),0.0)</f>
        <v>0</v>
      </c>
    </row>
    <row r="302">
      <c r="A302" s="4" t="str">
        <f>IFERROR(__xludf.DUMMYFUNCTION("""COMPUTED_VALUE"""),"CLARIN")</f>
        <v>CLARIN</v>
      </c>
      <c r="B302" s="4" t="str">
        <f>IFERROR(__xludf.DUMMYFUNCTION("""COMPUTED_VALUE"""),"ITM004")</f>
        <v>ITM004</v>
      </c>
      <c r="C302" s="4" t="str">
        <f>IFERROR(__xludf.DUMMYFUNCTION("""COMPUTED_VALUE"""),"BOND PAPER NEWSPRINT (SHORT)")</f>
        <v>BOND PAPER NEWSPRINT (SHORT)</v>
      </c>
      <c r="D302" s="4">
        <f>IFERROR(__xludf.DUMMYFUNCTION("""COMPUTED_VALUE"""),1.0)</f>
        <v>1</v>
      </c>
      <c r="E302" s="4">
        <f>IFERROR(__xludf.DUMMYFUNCTION("""COMPUTED_VALUE"""),0.0)</f>
        <v>0</v>
      </c>
    </row>
    <row r="303">
      <c r="A303" s="4" t="str">
        <f>IFERROR(__xludf.DUMMYFUNCTION("""COMPUTED_VALUE"""),"CLARIN")</f>
        <v>CLARIN</v>
      </c>
      <c r="B303" s="4" t="str">
        <f>IFERROR(__xludf.DUMMYFUNCTION("""COMPUTED_VALUE"""),"ITM011")</f>
        <v>ITM011</v>
      </c>
      <c r="C303" s="4" t="str">
        <f>IFERROR(__xludf.DUMMYFUNCTION("""COMPUTED_VALUE"""),"BROWN ENVELOPE (SHORT)")</f>
        <v>BROWN ENVELOPE (SHORT)</v>
      </c>
      <c r="D303" s="4">
        <f>IFERROR(__xludf.DUMMYFUNCTION("""COMPUTED_VALUE"""),10.0)</f>
        <v>10</v>
      </c>
      <c r="E303" s="4">
        <f>IFERROR(__xludf.DUMMYFUNCTION("""COMPUTED_VALUE"""),0.0)</f>
        <v>0</v>
      </c>
    </row>
    <row r="304">
      <c r="A304" s="4" t="str">
        <f>IFERROR(__xludf.DUMMYFUNCTION("""COMPUTED_VALUE"""),"CLARIN")</f>
        <v>CLARIN</v>
      </c>
      <c r="B304" s="4" t="str">
        <f>IFERROR(__xludf.DUMMYFUNCTION("""COMPUTED_VALUE"""),"ITM012")</f>
        <v>ITM012</v>
      </c>
      <c r="C304" s="4" t="str">
        <f>IFERROR(__xludf.DUMMYFUNCTION("""COMPUTED_VALUE"""),"BROWN FOLDER (LONG)")</f>
        <v>BROWN FOLDER (LONG)</v>
      </c>
      <c r="D304" s="4">
        <f>IFERROR(__xludf.DUMMYFUNCTION("""COMPUTED_VALUE"""),40.0)</f>
        <v>40</v>
      </c>
      <c r="E304" s="4">
        <f>IFERROR(__xludf.DUMMYFUNCTION("""COMPUTED_VALUE"""),0.0)</f>
        <v>0</v>
      </c>
    </row>
    <row r="305">
      <c r="A305" s="4" t="str">
        <f>IFERROR(__xludf.DUMMYFUNCTION("""COMPUTED_VALUE"""),"CLARIN")</f>
        <v>CLARIN</v>
      </c>
      <c r="B305" s="4" t="str">
        <f>IFERROR(__xludf.DUMMYFUNCTION("""COMPUTED_VALUE"""),"ITM077")</f>
        <v>ITM077</v>
      </c>
      <c r="C305" s="4" t="str">
        <f>IFERROR(__xludf.DUMMYFUNCTION("""COMPUTED_VALUE"""),"CABLE TIE")</f>
        <v>CABLE TIE</v>
      </c>
      <c r="D305" s="4">
        <f>IFERROR(__xludf.DUMMYFUNCTION("""COMPUTED_VALUE"""),1.0)</f>
        <v>1</v>
      </c>
      <c r="E305" s="4">
        <f>IFERROR(__xludf.DUMMYFUNCTION("""COMPUTED_VALUE"""),0.0)</f>
        <v>0</v>
      </c>
    </row>
    <row r="306">
      <c r="A306" s="4" t="str">
        <f>IFERROR(__xludf.DUMMYFUNCTION("""COMPUTED_VALUE"""),"CLARIN")</f>
        <v>CLARIN</v>
      </c>
      <c r="B306" s="4" t="str">
        <f>IFERROR(__xludf.DUMMYFUNCTION("""COMPUTED_VALUE"""),"ITM009")</f>
        <v>ITM009</v>
      </c>
      <c r="C306" s="4" t="str">
        <f>IFERROR(__xludf.DUMMYFUNCTION("""COMPUTED_VALUE"""),"CARBON PAPER (LONG BLUE)")</f>
        <v>CARBON PAPER (LONG BLUE)</v>
      </c>
      <c r="D306" s="4">
        <f>IFERROR(__xludf.DUMMYFUNCTION("""COMPUTED_VALUE"""),10.0)</f>
        <v>10</v>
      </c>
      <c r="E306" s="4">
        <f>IFERROR(__xludf.DUMMYFUNCTION("""COMPUTED_VALUE"""),0.0)</f>
        <v>0</v>
      </c>
    </row>
    <row r="307">
      <c r="A307" s="4" t="str">
        <f>IFERROR(__xludf.DUMMYFUNCTION("""COMPUTED_VALUE"""),"CLARIN")</f>
        <v>CLARIN</v>
      </c>
      <c r="B307" s="4" t="str">
        <f>IFERROR(__xludf.DUMMYFUNCTION("""COMPUTED_VALUE"""),"ITM027")</f>
        <v>ITM027</v>
      </c>
      <c r="C307" s="4" t="str">
        <f>IFERROR(__xludf.DUMMYFUNCTION("""COMPUTED_VALUE"""),"CORRECTION TAPE")</f>
        <v>CORRECTION TAPE</v>
      </c>
      <c r="D307" s="4">
        <f>IFERROR(__xludf.DUMMYFUNCTION("""COMPUTED_VALUE"""),2.0)</f>
        <v>2</v>
      </c>
      <c r="E307" s="4">
        <f>IFERROR(__xludf.DUMMYFUNCTION("""COMPUTED_VALUE"""),0.0)</f>
        <v>0</v>
      </c>
    </row>
    <row r="308">
      <c r="A308" s="4" t="str">
        <f>IFERROR(__xludf.DUMMYFUNCTION("""COMPUTED_VALUE"""),"CLARIN")</f>
        <v>CLARIN</v>
      </c>
      <c r="B308" s="4" t="str">
        <f>IFERROR(__xludf.DUMMYFUNCTION("""COMPUTED_VALUE"""),"ITM040")</f>
        <v>ITM040</v>
      </c>
      <c r="C308" s="4" t="str">
        <f>IFERROR(__xludf.DUMMYFUNCTION("""COMPUTED_VALUE"""),"DOUBLE-SIDED TAPE (1 INCH)")</f>
        <v>DOUBLE-SIDED TAPE (1 INCH)</v>
      </c>
      <c r="D308" s="4">
        <f>IFERROR(__xludf.DUMMYFUNCTION("""COMPUTED_VALUE"""),3.0)</f>
        <v>3</v>
      </c>
      <c r="E308" s="4">
        <f>IFERROR(__xludf.DUMMYFUNCTION("""COMPUTED_VALUE"""),0.0)</f>
        <v>0</v>
      </c>
    </row>
    <row r="309">
      <c r="A309" s="4" t="str">
        <f>IFERROR(__xludf.DUMMYFUNCTION("""COMPUTED_VALUE"""),"CLARIN")</f>
        <v>CLARIN</v>
      </c>
      <c r="B309" s="4" t="str">
        <f>IFERROR(__xludf.DUMMYFUNCTION("""COMPUTED_VALUE"""),"ITM041")</f>
        <v>ITM041</v>
      </c>
      <c r="C309" s="4" t="str">
        <f>IFERROR(__xludf.DUMMYFUNCTION("""COMPUTED_VALUE"""),"DUCT TAPE")</f>
        <v>DUCT TAPE</v>
      </c>
      <c r="D309" s="4">
        <f>IFERROR(__xludf.DUMMYFUNCTION("""COMPUTED_VALUE"""),1.0)</f>
        <v>1</v>
      </c>
      <c r="E309" s="4">
        <f>IFERROR(__xludf.DUMMYFUNCTION("""COMPUTED_VALUE"""),0.0)</f>
        <v>0</v>
      </c>
    </row>
    <row r="310">
      <c r="A310" s="4" t="str">
        <f>IFERROR(__xludf.DUMMYFUNCTION("""COMPUTED_VALUE"""),"CLARIN")</f>
        <v>CLARIN</v>
      </c>
      <c r="B310" s="4" t="str">
        <f>IFERROR(__xludf.DUMMYFUNCTION("""COMPUTED_VALUE"""),"ITM067")</f>
        <v>ITM067</v>
      </c>
      <c r="C310" s="4" t="str">
        <f>IFERROR(__xludf.DUMMYFUNCTION("""COMPUTED_VALUE"""),"FASTENER")</f>
        <v>FASTENER</v>
      </c>
      <c r="D310" s="4">
        <f>IFERROR(__xludf.DUMMYFUNCTION("""COMPUTED_VALUE"""),1.0)</f>
        <v>1</v>
      </c>
      <c r="E310" s="4">
        <f>IFERROR(__xludf.DUMMYFUNCTION("""COMPUTED_VALUE"""),0.0)</f>
        <v>0</v>
      </c>
    </row>
    <row r="311">
      <c r="A311" s="4" t="str">
        <f>IFERROR(__xludf.DUMMYFUNCTION("""COMPUTED_VALUE"""),"CLARIN")</f>
        <v>CLARIN</v>
      </c>
      <c r="B311" s="4" t="str">
        <f>IFERROR(__xludf.DUMMYFUNCTION("""COMPUTED_VALUE"""),"ITM019")</f>
        <v>ITM019</v>
      </c>
      <c r="C311" s="4" t="str">
        <f>IFERROR(__xludf.DUMMYFUNCTION("""COMPUTED_VALUE"""),"FLEXSTICK BLACK BALLPEN (0.5)")</f>
        <v>FLEXSTICK BLACK BALLPEN (0.5)</v>
      </c>
      <c r="D311" s="4">
        <f>IFERROR(__xludf.DUMMYFUNCTION("""COMPUTED_VALUE"""),12.0)</f>
        <v>12</v>
      </c>
      <c r="E311" s="4">
        <f>IFERROR(__xludf.DUMMYFUNCTION("""COMPUTED_VALUE"""),0.0)</f>
        <v>0</v>
      </c>
    </row>
    <row r="312">
      <c r="A312" s="4" t="str">
        <f>IFERROR(__xludf.DUMMYFUNCTION("""COMPUTED_VALUE"""),"CLARIN")</f>
        <v>CLARIN</v>
      </c>
      <c r="B312" s="4" t="str">
        <f>IFERROR(__xludf.DUMMYFUNCTION("""COMPUTED_VALUE"""),"ITM023")</f>
        <v>ITM023</v>
      </c>
      <c r="C312" s="4" t="str">
        <f>IFERROR(__xludf.DUMMYFUNCTION("""COMPUTED_VALUE"""),"HIGHLIGHTER")</f>
        <v>HIGHLIGHTER</v>
      </c>
      <c r="D312" s="4">
        <f>IFERROR(__xludf.DUMMYFUNCTION("""COMPUTED_VALUE"""),4.0)</f>
        <v>4</v>
      </c>
      <c r="E312" s="4">
        <f>IFERROR(__xludf.DUMMYFUNCTION("""COMPUTED_VALUE"""),0.0)</f>
        <v>0</v>
      </c>
    </row>
    <row r="313">
      <c r="A313" s="4" t="str">
        <f>IFERROR(__xludf.DUMMYFUNCTION("""COMPUTED_VALUE"""),"CLARIN")</f>
        <v>CLARIN</v>
      </c>
      <c r="B313" s="4" t="str">
        <f>IFERROR(__xludf.DUMMYFUNCTION("""COMPUTED_VALUE"""),"ITM100")</f>
        <v>ITM100</v>
      </c>
      <c r="C313" s="4" t="str">
        <f>IFERROR(__xludf.DUMMYFUNCTION("""COMPUTED_VALUE"""),"INK BROTHER SET")</f>
        <v>INK BROTHER SET</v>
      </c>
      <c r="D313" s="4">
        <f>IFERROR(__xludf.DUMMYFUNCTION("""COMPUTED_VALUE"""),1.0)</f>
        <v>1</v>
      </c>
      <c r="E313" s="4">
        <f>IFERROR(__xludf.DUMMYFUNCTION("""COMPUTED_VALUE"""),0.0)</f>
        <v>0</v>
      </c>
    </row>
    <row r="314">
      <c r="A314" s="4" t="str">
        <f>IFERROR(__xludf.DUMMYFUNCTION("""COMPUTED_VALUE"""),"CLARIN")</f>
        <v>CLARIN</v>
      </c>
      <c r="B314" s="4" t="str">
        <f>IFERROR(__xludf.DUMMYFUNCTION("""COMPUTED_VALUE"""),"ITM038")</f>
        <v>ITM038</v>
      </c>
      <c r="C314" s="4" t="str">
        <f>IFERROR(__xludf.DUMMYFUNCTION("""COMPUTED_VALUE"""),"MASKING TAPE")</f>
        <v>MASKING TAPE</v>
      </c>
      <c r="D314" s="4">
        <f>IFERROR(__xludf.DUMMYFUNCTION("""COMPUTED_VALUE"""),3.0)</f>
        <v>3</v>
      </c>
      <c r="E314" s="4">
        <f>IFERROR(__xludf.DUMMYFUNCTION("""COMPUTED_VALUE"""),0.0)</f>
        <v>0</v>
      </c>
    </row>
    <row r="315">
      <c r="A315" s="4" t="str">
        <f>IFERROR(__xludf.DUMMYFUNCTION("""COMPUTED_VALUE"""),"CLARIN")</f>
        <v>CLARIN</v>
      </c>
      <c r="B315" s="4" t="str">
        <f>IFERROR(__xludf.DUMMYFUNCTION("""COMPUTED_VALUE"""),"ITM068")</f>
        <v>ITM068</v>
      </c>
      <c r="C315" s="4" t="str">
        <f>IFERROR(__xludf.DUMMYFUNCTION("""COMPUTED_VALUE"""),"PAPER CLIPS 50MM")</f>
        <v>PAPER CLIPS 50MM</v>
      </c>
      <c r="D315" s="4">
        <f>IFERROR(__xludf.DUMMYFUNCTION("""COMPUTED_VALUE"""),1.0)</f>
        <v>1</v>
      </c>
      <c r="E315" s="4">
        <f>IFERROR(__xludf.DUMMYFUNCTION("""COMPUTED_VALUE"""),0.0)</f>
        <v>0</v>
      </c>
    </row>
    <row r="316">
      <c r="A316" s="4" t="str">
        <f>IFERROR(__xludf.DUMMYFUNCTION("""COMPUTED_VALUE"""),"CLARIN")</f>
        <v>CLARIN</v>
      </c>
      <c r="B316" s="4" t="str">
        <f>IFERROR(__xludf.DUMMYFUNCTION("""COMPUTED_VALUE"""),"ITM056")</f>
        <v>ITM056</v>
      </c>
      <c r="C316" s="4" t="str">
        <f>IFERROR(__xludf.DUMMYFUNCTION("""COMPUTED_VALUE"""),"PRIDE SOAP POWDER")</f>
        <v>PRIDE SOAP POWDER</v>
      </c>
      <c r="D316" s="4">
        <f>IFERROR(__xludf.DUMMYFUNCTION("""COMPUTED_VALUE"""),6.0)</f>
        <v>6</v>
      </c>
      <c r="E316" s="4">
        <f>IFERROR(__xludf.DUMMYFUNCTION("""COMPUTED_VALUE"""),0.0)</f>
        <v>0</v>
      </c>
    </row>
    <row r="317">
      <c r="A317" s="4" t="str">
        <f>IFERROR(__xludf.DUMMYFUNCTION("""COMPUTED_VALUE"""),"CLARIN")</f>
        <v>CLARIN</v>
      </c>
      <c r="B317" s="4" t="str">
        <f>IFERROR(__xludf.DUMMYFUNCTION("""COMPUTED_VALUE"""),"ITM092")</f>
        <v>ITM092</v>
      </c>
      <c r="C317" s="4" t="str">
        <f>IFERROR(__xludf.DUMMYFUNCTION("""COMPUTED_VALUE"""),"RAGS")</f>
        <v>RAGS</v>
      </c>
      <c r="D317" s="4">
        <f>IFERROR(__xludf.DUMMYFUNCTION("""COMPUTED_VALUE"""),1.0)</f>
        <v>1</v>
      </c>
      <c r="E317" s="4">
        <f>IFERROR(__xludf.DUMMYFUNCTION("""COMPUTED_VALUE"""),0.0)</f>
        <v>0</v>
      </c>
    </row>
    <row r="318">
      <c r="A318" s="4" t="str">
        <f>IFERROR(__xludf.DUMMYFUNCTION("""COMPUTED_VALUE"""),"CLARIN")</f>
        <v>CLARIN</v>
      </c>
      <c r="B318" s="4" t="str">
        <f>IFERROR(__xludf.DUMMYFUNCTION("""COMPUTED_VALUE"""),"ITM076")</f>
        <v>ITM076</v>
      </c>
      <c r="C318" s="4" t="str">
        <f>IFERROR(__xludf.DUMMYFUNCTION("""COMPUTED_VALUE"""),"RUBBER BAND ROUND RB-350")</f>
        <v>RUBBER BAND ROUND RB-350</v>
      </c>
      <c r="D318" s="4">
        <f>IFERROR(__xludf.DUMMYFUNCTION("""COMPUTED_VALUE"""),1.0)</f>
        <v>1</v>
      </c>
      <c r="E318" s="4">
        <f>IFERROR(__xludf.DUMMYFUNCTION("""COMPUTED_VALUE"""),0.0)</f>
        <v>0</v>
      </c>
    </row>
    <row r="319">
      <c r="A319" s="4" t="str">
        <f>IFERROR(__xludf.DUMMYFUNCTION("""COMPUTED_VALUE"""),"CLARIN")</f>
        <v>CLARIN</v>
      </c>
      <c r="B319" s="4" t="str">
        <f>IFERROR(__xludf.DUMMYFUNCTION("""COMPUTED_VALUE"""),"ITM036")</f>
        <v>ITM036</v>
      </c>
      <c r="C319" s="4" t="str">
        <f>IFERROR(__xludf.DUMMYFUNCTION("""COMPUTED_VALUE"""),"SCOTCH TAPE (1 INCH)")</f>
        <v>SCOTCH TAPE (1 INCH)</v>
      </c>
      <c r="D319" s="4">
        <f>IFERROR(__xludf.DUMMYFUNCTION("""COMPUTED_VALUE"""),3.0)</f>
        <v>3</v>
      </c>
      <c r="E319" s="4">
        <f>IFERROR(__xludf.DUMMYFUNCTION("""COMPUTED_VALUE"""),0.0)</f>
        <v>0</v>
      </c>
    </row>
    <row r="320">
      <c r="A320" s="4" t="str">
        <f>IFERROR(__xludf.DUMMYFUNCTION("""COMPUTED_VALUE"""),"CLARIN")</f>
        <v>CLARIN</v>
      </c>
      <c r="B320" s="4" t="str">
        <f>IFERROR(__xludf.DUMMYFUNCTION("""COMPUTED_VALUE"""),"ITM074")</f>
        <v>ITM074</v>
      </c>
      <c r="C320" s="4" t="str">
        <f>IFERROR(__xludf.DUMMYFUNCTION("""COMPUTED_VALUE"""),"STAPLE WIRE #35")</f>
        <v>STAPLE WIRE #35</v>
      </c>
      <c r="D320" s="4">
        <f>IFERROR(__xludf.DUMMYFUNCTION("""COMPUTED_VALUE"""),1.0)</f>
        <v>1</v>
      </c>
      <c r="E320" s="4">
        <f>IFERROR(__xludf.DUMMYFUNCTION("""COMPUTED_VALUE"""),0.0)</f>
        <v>0</v>
      </c>
    </row>
    <row r="321">
      <c r="A321" s="4" t="str">
        <f>IFERROR(__xludf.DUMMYFUNCTION("""COMPUTED_VALUE"""),"CLARIN")</f>
        <v>CLARIN</v>
      </c>
      <c r="B321" s="4" t="str">
        <f>IFERROR(__xludf.DUMMYFUNCTION("""COMPUTED_VALUE"""),"ITM064")</f>
        <v>ITM064</v>
      </c>
      <c r="C321" s="4" t="str">
        <f>IFERROR(__xludf.DUMMYFUNCTION("""COMPUTED_VALUE"""),"STICKY NOTES 2X2 A02")</f>
        <v>STICKY NOTES 2X2 A02</v>
      </c>
      <c r="D321" s="4">
        <f>IFERROR(__xludf.DUMMYFUNCTION("""COMPUTED_VALUE"""),2.0)</f>
        <v>2</v>
      </c>
      <c r="E321" s="4">
        <f>IFERROR(__xludf.DUMMYFUNCTION("""COMPUTED_VALUE"""),0.0)</f>
        <v>0</v>
      </c>
    </row>
    <row r="322">
      <c r="A322" s="4" t="str">
        <f>IFERROR(__xludf.DUMMYFUNCTION("""COMPUTED_VALUE"""),"CLARIN")</f>
        <v>CLARIN</v>
      </c>
      <c r="B322" s="4" t="str">
        <f>IFERROR(__xludf.DUMMYFUNCTION("""COMPUTED_VALUE"""),"ITM096")</f>
        <v>ITM096</v>
      </c>
      <c r="C322" s="4" t="str">
        <f>IFERROR(__xludf.DUMMYFUNCTION("""COMPUTED_VALUE"""),"TRASH BAG (MEDIUM)")</f>
        <v>TRASH BAG (MEDIUM)</v>
      </c>
      <c r="D322" s="4">
        <f>IFERROR(__xludf.DUMMYFUNCTION("""COMPUTED_VALUE"""),1.0)</f>
        <v>1</v>
      </c>
      <c r="E322" s="4">
        <f>IFERROR(__xludf.DUMMYFUNCTION("""COMPUTED_VALUE"""),0.0)</f>
        <v>0</v>
      </c>
    </row>
    <row r="323">
      <c r="A323" s="4" t="str">
        <f>IFERROR(__xludf.DUMMYFUNCTION("""COMPUTED_VALUE"""),"CLARIN")</f>
        <v>CLARIN</v>
      </c>
      <c r="B323" s="4" t="str">
        <f>IFERROR(__xludf.DUMMYFUNCTION("""COMPUTED_VALUE"""),"ITM006")</f>
        <v>ITM006</v>
      </c>
      <c r="C323" s="4" t="str">
        <f>IFERROR(__xludf.DUMMYFUNCTION("""COMPUTED_VALUE"""),"VELLUM PAPER")</f>
        <v>VELLUM PAPER</v>
      </c>
      <c r="D323" s="4">
        <f>IFERROR(__xludf.DUMMYFUNCTION("""COMPUTED_VALUE"""),40.0)</f>
        <v>40</v>
      </c>
      <c r="E323" s="4">
        <f>IFERROR(__xludf.DUMMYFUNCTION("""COMPUTED_VALUE"""),0.0)</f>
        <v>0</v>
      </c>
    </row>
    <row r="324">
      <c r="A324" s="4" t="str">
        <f>IFERROR(__xludf.DUMMYFUNCTION("""COMPUTED_VALUE"""),"CLARIN")</f>
        <v>CLARIN</v>
      </c>
      <c r="B324" s="4" t="str">
        <f>IFERROR(__xludf.DUMMYFUNCTION("""COMPUTED_VALUE"""),"ITM088")</f>
        <v>ITM088</v>
      </c>
      <c r="C324" s="4" t="str">
        <f>IFERROR(__xludf.DUMMYFUNCTION("""COMPUTED_VALUE"""),"ZONROX (ORIGINAL)")</f>
        <v>ZONROX (ORIGINAL)</v>
      </c>
      <c r="D324" s="4">
        <f>IFERROR(__xludf.DUMMYFUNCTION("""COMPUTED_VALUE"""),1.0)</f>
        <v>1</v>
      </c>
      <c r="E324" s="4">
        <f>IFERROR(__xludf.DUMMYFUNCTION("""COMPUTED_VALUE"""),0.0)</f>
        <v>0</v>
      </c>
    </row>
    <row r="325">
      <c r="A325" s="4" t="str">
        <f>IFERROR(__xludf.DUMMYFUNCTION("""COMPUTED_VALUE"""),"CLARIN")</f>
        <v>CLARIN</v>
      </c>
      <c r="B325" s="4" t="str">
        <f>IFERROR(__xludf.DUMMYFUNCTION("""COMPUTED_VALUE"""),"ITM100")</f>
        <v>ITM100</v>
      </c>
      <c r="C325" s="4" t="str">
        <f>IFERROR(__xludf.DUMMYFUNCTION("""COMPUTED_VALUE"""),"INK BROTHER SET")</f>
        <v>INK BROTHER SET</v>
      </c>
      <c r="D325" s="4">
        <f>IFERROR(__xludf.DUMMYFUNCTION("""COMPUTED_VALUE"""),1.0)</f>
        <v>1</v>
      </c>
      <c r="E325" s="4">
        <f>IFERROR(__xludf.DUMMYFUNCTION("""COMPUTED_VALUE"""),0.0)</f>
        <v>0</v>
      </c>
    </row>
    <row r="326">
      <c r="A326" s="4" t="str">
        <f>IFERROR(__xludf.DUMMYFUNCTION("""COMPUTED_VALUE"""),"TOLEDO")</f>
        <v>TOLEDO</v>
      </c>
      <c r="B326" s="4" t="str">
        <f>IFERROR(__xludf.DUMMYFUNCTION("""COMPUTED_VALUE"""),"ITM035")</f>
        <v>ITM035</v>
      </c>
      <c r="C326" s="4" t="str">
        <f>IFERROR(__xludf.DUMMYFUNCTION("""COMPUTED_VALUE"""),"TAPE DISPENSER BIG")</f>
        <v>TAPE DISPENSER BIG</v>
      </c>
      <c r="D326" s="4">
        <f>IFERROR(__xludf.DUMMYFUNCTION("""COMPUTED_VALUE"""),1.0)</f>
        <v>1</v>
      </c>
      <c r="E326" s="4">
        <f>IFERROR(__xludf.DUMMYFUNCTION("""COMPUTED_VALUE"""),0.0)</f>
        <v>0</v>
      </c>
    </row>
    <row r="327">
      <c r="A327" s="4" t="str">
        <f>IFERROR(__xludf.DUMMYFUNCTION("""COMPUTED_VALUE"""),"TOLEDO")</f>
        <v>TOLEDO</v>
      </c>
      <c r="B327" s="4" t="str">
        <f>IFERROR(__xludf.DUMMYFUNCTION("""COMPUTED_VALUE"""),"ITM006")</f>
        <v>ITM006</v>
      </c>
      <c r="C327" s="4" t="str">
        <f>IFERROR(__xludf.DUMMYFUNCTION("""COMPUTED_VALUE"""),"VELLUM PAPER")</f>
        <v>VELLUM PAPER</v>
      </c>
      <c r="D327" s="4">
        <f>IFERROR(__xludf.DUMMYFUNCTION("""COMPUTED_VALUE"""),30.0)</f>
        <v>30</v>
      </c>
      <c r="E327" s="4">
        <f>IFERROR(__xludf.DUMMYFUNCTION("""COMPUTED_VALUE"""),0.0)</f>
        <v>0</v>
      </c>
    </row>
    <row r="328">
      <c r="A328" s="4" t="str">
        <f>IFERROR(__xludf.DUMMYFUNCTION("""COMPUTED_VALUE"""),"TOLEDO")</f>
        <v>TOLEDO</v>
      </c>
      <c r="B328" s="4" t="str">
        <f>IFERROR(__xludf.DUMMYFUNCTION("""COMPUTED_VALUE"""),"ITM027")</f>
        <v>ITM027</v>
      </c>
      <c r="C328" s="4" t="str">
        <f>IFERROR(__xludf.DUMMYFUNCTION("""COMPUTED_VALUE"""),"CORRECTION TAPE")</f>
        <v>CORRECTION TAPE</v>
      </c>
      <c r="D328" s="4">
        <f>IFERROR(__xludf.DUMMYFUNCTION("""COMPUTED_VALUE"""),2.0)</f>
        <v>2</v>
      </c>
      <c r="E328" s="4">
        <f>IFERROR(__xludf.DUMMYFUNCTION("""COMPUTED_VALUE"""),0.0)</f>
        <v>0</v>
      </c>
    </row>
    <row r="329">
      <c r="A329" s="4" t="str">
        <f>IFERROR(__xludf.DUMMYFUNCTION("""COMPUTED_VALUE"""),"TOLEDO")</f>
        <v>TOLEDO</v>
      </c>
      <c r="B329" s="4" t="str">
        <f>IFERROR(__xludf.DUMMYFUNCTION("""COMPUTED_VALUE"""),"ITM106")</f>
        <v>ITM106</v>
      </c>
      <c r="C329" s="4" t="str">
        <f>IFERROR(__xludf.DUMMYFUNCTION("""COMPUTED_VALUE"""),"DOOR MAT")</f>
        <v>DOOR MAT</v>
      </c>
      <c r="D329" s="4">
        <f>IFERROR(__xludf.DUMMYFUNCTION("""COMPUTED_VALUE"""),1.0)</f>
        <v>1</v>
      </c>
      <c r="E329" s="4">
        <f>IFERROR(__xludf.DUMMYFUNCTION("""COMPUTED_VALUE"""),0.0)</f>
        <v>0</v>
      </c>
    </row>
    <row r="330">
      <c r="A330" s="4" t="str">
        <f>IFERROR(__xludf.DUMMYFUNCTION("""COMPUTED_VALUE"""),"TOLEDO")</f>
        <v>TOLEDO</v>
      </c>
      <c r="B330" s="4" t="str">
        <f>IFERROR(__xludf.DUMMYFUNCTION("""COMPUTED_VALUE"""),"ITM062")</f>
        <v>ITM062</v>
      </c>
      <c r="C330" s="4" t="str">
        <f>IFERROR(__xludf.DUMMYFUNCTION("""COMPUTED_VALUE"""),"DOWNY")</f>
        <v>DOWNY</v>
      </c>
      <c r="D330" s="4">
        <f>IFERROR(__xludf.DUMMYFUNCTION("""COMPUTED_VALUE"""),3.0)</f>
        <v>3</v>
      </c>
      <c r="E330" s="4">
        <f>IFERROR(__xludf.DUMMYFUNCTION("""COMPUTED_VALUE"""),0.0)</f>
        <v>0</v>
      </c>
    </row>
    <row r="331">
      <c r="A331" s="4" t="str">
        <f>IFERROR(__xludf.DUMMYFUNCTION("""COMPUTED_VALUE"""),"TOLEDO")</f>
        <v>TOLEDO</v>
      </c>
      <c r="B331" s="4" t="str">
        <f>IFERROR(__xludf.DUMMYFUNCTION("""COMPUTED_VALUE"""),"ITM008")</f>
        <v>ITM008</v>
      </c>
      <c r="C331" s="4" t="str">
        <f>IFERROR(__xludf.DUMMYFUNCTION("""COMPUTED_VALUE"""),"NOTEBOOK")</f>
        <v>NOTEBOOK</v>
      </c>
      <c r="D331" s="4">
        <f>IFERROR(__xludf.DUMMYFUNCTION("""COMPUTED_VALUE"""),1.0)</f>
        <v>1</v>
      </c>
      <c r="E331" s="4">
        <f>IFERROR(__xludf.DUMMYFUNCTION("""COMPUTED_VALUE"""),0.0)</f>
        <v>0</v>
      </c>
    </row>
    <row r="332">
      <c r="A332" s="4" t="str">
        <f>IFERROR(__xludf.DUMMYFUNCTION("""COMPUTED_VALUE"""),"TOLEDO")</f>
        <v>TOLEDO</v>
      </c>
      <c r="B332" s="4" t="str">
        <f>IFERROR(__xludf.DUMMYFUNCTION("""COMPUTED_VALUE"""),"ITM064")</f>
        <v>ITM064</v>
      </c>
      <c r="C332" s="4" t="str">
        <f>IFERROR(__xludf.DUMMYFUNCTION("""COMPUTED_VALUE"""),"STICKY NOTES 2X2 A02")</f>
        <v>STICKY NOTES 2X2 A02</v>
      </c>
      <c r="D332" s="4">
        <f>IFERROR(__xludf.DUMMYFUNCTION("""COMPUTED_VALUE"""),2.0)</f>
        <v>2</v>
      </c>
      <c r="E332" s="4">
        <f>IFERROR(__xludf.DUMMYFUNCTION("""COMPUTED_VALUE"""),0.0)</f>
        <v>0</v>
      </c>
    </row>
    <row r="333">
      <c r="A333" s="4" t="str">
        <f>IFERROR(__xludf.DUMMYFUNCTION("""COMPUTED_VALUE"""),"TOLEDO")</f>
        <v>TOLEDO</v>
      </c>
      <c r="B333" s="4" t="str">
        <f>IFERROR(__xludf.DUMMYFUNCTION("""COMPUTED_VALUE"""),"ITM097")</f>
        <v>ITM097</v>
      </c>
      <c r="C333" s="4" t="str">
        <f>IFERROR(__xludf.DUMMYFUNCTION("""COMPUTED_VALUE"""),"TRASH BAG (SMALL)")</f>
        <v>TRASH BAG (SMALL)</v>
      </c>
      <c r="D333" s="4">
        <f>IFERROR(__xludf.DUMMYFUNCTION("""COMPUTED_VALUE"""),1.0)</f>
        <v>1</v>
      </c>
      <c r="E333" s="4">
        <f>IFERROR(__xludf.DUMMYFUNCTION("""COMPUTED_VALUE"""),0.0)</f>
        <v>0</v>
      </c>
    </row>
    <row r="334">
      <c r="A334" s="4" t="str">
        <f>IFERROR(__xludf.DUMMYFUNCTION("""COMPUTED_VALUE"""),"TOLEDO")</f>
        <v>TOLEDO</v>
      </c>
      <c r="B334" s="4" t="str">
        <f>IFERROR(__xludf.DUMMYFUNCTION("""COMPUTED_VALUE"""),"ITM088")</f>
        <v>ITM088</v>
      </c>
      <c r="C334" s="4" t="str">
        <f>IFERROR(__xludf.DUMMYFUNCTION("""COMPUTED_VALUE"""),"ZONROX (ORIGINAL)")</f>
        <v>ZONROX (ORIGINAL)</v>
      </c>
      <c r="D334" s="4">
        <f>IFERROR(__xludf.DUMMYFUNCTION("""COMPUTED_VALUE"""),1.0)</f>
        <v>1</v>
      </c>
      <c r="E334" s="4">
        <f>IFERROR(__xludf.DUMMYFUNCTION("""COMPUTED_VALUE"""),0.0)</f>
        <v>0</v>
      </c>
    </row>
    <row r="335">
      <c r="A335" s="4" t="str">
        <f>IFERROR(__xludf.DUMMYFUNCTION("""COMPUTED_VALUE"""),"TOLEDO")</f>
        <v>TOLEDO</v>
      </c>
      <c r="B335" s="4" t="str">
        <f>IFERROR(__xludf.DUMMYFUNCTION("""COMPUTED_VALUE"""),"ITM056")</f>
        <v>ITM056</v>
      </c>
      <c r="C335" s="4" t="str">
        <f>IFERROR(__xludf.DUMMYFUNCTION("""COMPUTED_VALUE"""),"PRIDE SOAP POWDER")</f>
        <v>PRIDE SOAP POWDER</v>
      </c>
      <c r="D335" s="4">
        <f>IFERROR(__xludf.DUMMYFUNCTION("""COMPUTED_VALUE"""),6.0)</f>
        <v>6</v>
      </c>
      <c r="E335" s="4">
        <f>IFERROR(__xludf.DUMMYFUNCTION("""COMPUTED_VALUE"""),0.0)</f>
        <v>0</v>
      </c>
    </row>
    <row r="336">
      <c r="A336" s="4" t="str">
        <f>IFERROR(__xludf.DUMMYFUNCTION("""COMPUTED_VALUE"""),"UBAY")</f>
        <v>UBAY</v>
      </c>
      <c r="B336" s="4" t="str">
        <f>IFERROR(__xludf.DUMMYFUNCTION("""COMPUTED_VALUE"""),"ITM087")</f>
        <v>ITM087</v>
      </c>
      <c r="C336" s="4" t="str">
        <f>IFERROR(__xludf.DUMMYFUNCTION("""COMPUTED_VALUE"""),"ALBATROSS")</f>
        <v>ALBATROSS</v>
      </c>
      <c r="D336" s="4">
        <f>IFERROR(__xludf.DUMMYFUNCTION("""COMPUTED_VALUE"""),1.0)</f>
        <v>1</v>
      </c>
      <c r="E336" s="4">
        <f>IFERROR(__xludf.DUMMYFUNCTION("""COMPUTED_VALUE"""),0.0)</f>
        <v>0</v>
      </c>
    </row>
    <row r="337">
      <c r="A337" s="4" t="str">
        <f>IFERROR(__xludf.DUMMYFUNCTION("""COMPUTED_VALUE"""),"UBAY")</f>
        <v>UBAY</v>
      </c>
      <c r="B337" s="4" t="str">
        <f>IFERROR(__xludf.DUMMYFUNCTION("""COMPUTED_VALUE"""),"ITM002")</f>
        <v>ITM002</v>
      </c>
      <c r="C337" s="4" t="str">
        <f>IFERROR(__xludf.DUMMYFUNCTION("""COMPUTED_VALUE"""),"BOND PAPER (SHORT)")</f>
        <v>BOND PAPER (SHORT)</v>
      </c>
      <c r="D337" s="4">
        <f>IFERROR(__xludf.DUMMYFUNCTION("""COMPUTED_VALUE"""),1.0)</f>
        <v>1</v>
      </c>
      <c r="E337" s="4">
        <f>IFERROR(__xludf.DUMMYFUNCTION("""COMPUTED_VALUE"""),0.0)</f>
        <v>0</v>
      </c>
    </row>
    <row r="338">
      <c r="A338" s="4" t="str">
        <f>IFERROR(__xludf.DUMMYFUNCTION("""COMPUTED_VALUE"""),"UBAY")</f>
        <v>UBAY</v>
      </c>
      <c r="B338" s="4" t="str">
        <f>IFERROR(__xludf.DUMMYFUNCTION("""COMPUTED_VALUE"""),"ITM012")</f>
        <v>ITM012</v>
      </c>
      <c r="C338" s="4" t="str">
        <f>IFERROR(__xludf.DUMMYFUNCTION("""COMPUTED_VALUE"""),"BROWN FOLDER (LONG)")</f>
        <v>BROWN FOLDER (LONG)</v>
      </c>
      <c r="D338" s="4">
        <f>IFERROR(__xludf.DUMMYFUNCTION("""COMPUTED_VALUE"""),30.0)</f>
        <v>30</v>
      </c>
      <c r="E338" s="4">
        <f>IFERROR(__xludf.DUMMYFUNCTION("""COMPUTED_VALUE"""),0.0)</f>
        <v>0</v>
      </c>
    </row>
    <row r="339">
      <c r="A339" s="4" t="str">
        <f>IFERROR(__xludf.DUMMYFUNCTION("""COMPUTED_VALUE"""),"UBAY")</f>
        <v>UBAY</v>
      </c>
      <c r="B339" s="4" t="str">
        <f>IFERROR(__xludf.DUMMYFUNCTION("""COMPUTED_VALUE"""),"ITM009")</f>
        <v>ITM009</v>
      </c>
      <c r="C339" s="4" t="str">
        <f>IFERROR(__xludf.DUMMYFUNCTION("""COMPUTED_VALUE"""),"CARBON PAPER (LONG BLUE)")</f>
        <v>CARBON PAPER (LONG BLUE)</v>
      </c>
      <c r="D339" s="4">
        <f>IFERROR(__xludf.DUMMYFUNCTION("""COMPUTED_VALUE"""),10.0)</f>
        <v>10</v>
      </c>
      <c r="E339" s="4">
        <f>IFERROR(__xludf.DUMMYFUNCTION("""COMPUTED_VALUE"""),0.0)</f>
        <v>0</v>
      </c>
    </row>
    <row r="340">
      <c r="A340" s="4" t="str">
        <f>IFERROR(__xludf.DUMMYFUNCTION("""COMPUTED_VALUE"""),"UBAY")</f>
        <v>UBAY</v>
      </c>
      <c r="B340" s="4" t="str">
        <f>IFERROR(__xludf.DUMMYFUNCTION("""COMPUTED_VALUE"""),"ITM027")</f>
        <v>ITM027</v>
      </c>
      <c r="C340" s="4" t="str">
        <f>IFERROR(__xludf.DUMMYFUNCTION("""COMPUTED_VALUE"""),"CORRECTION TAPE")</f>
        <v>CORRECTION TAPE</v>
      </c>
      <c r="D340" s="4">
        <f>IFERROR(__xludf.DUMMYFUNCTION("""COMPUTED_VALUE"""),2.0)</f>
        <v>2</v>
      </c>
      <c r="E340" s="4">
        <f>IFERROR(__xludf.DUMMYFUNCTION("""COMPUTED_VALUE"""),0.0)</f>
        <v>0</v>
      </c>
    </row>
    <row r="341">
      <c r="A341" s="4" t="str">
        <f>IFERROR(__xludf.DUMMYFUNCTION("""COMPUTED_VALUE"""),"UBAY")</f>
        <v>UBAY</v>
      </c>
      <c r="B341" s="4" t="str">
        <f>IFERROR(__xludf.DUMMYFUNCTION("""COMPUTED_VALUE"""),"ITM019")</f>
        <v>ITM019</v>
      </c>
      <c r="C341" s="4" t="str">
        <f>IFERROR(__xludf.DUMMYFUNCTION("""COMPUTED_VALUE"""),"FLEXSTICK BLACK BALLPEN (0.5)")</f>
        <v>FLEXSTICK BLACK BALLPEN (0.5)</v>
      </c>
      <c r="D341" s="4">
        <f>IFERROR(__xludf.DUMMYFUNCTION("""COMPUTED_VALUE"""),12.0)</f>
        <v>12</v>
      </c>
      <c r="E341" s="4">
        <f>IFERROR(__xludf.DUMMYFUNCTION("""COMPUTED_VALUE"""),0.0)</f>
        <v>0</v>
      </c>
    </row>
    <row r="342">
      <c r="A342" s="4" t="str">
        <f>IFERROR(__xludf.DUMMYFUNCTION("""COMPUTED_VALUE"""),"UBAY")</f>
        <v>UBAY</v>
      </c>
      <c r="B342" s="4" t="str">
        <f>IFERROR(__xludf.DUMMYFUNCTION("""COMPUTED_VALUE"""),"ITM023")</f>
        <v>ITM023</v>
      </c>
      <c r="C342" s="4" t="str">
        <f>IFERROR(__xludf.DUMMYFUNCTION("""COMPUTED_VALUE"""),"HIGHLIGHTER")</f>
        <v>HIGHLIGHTER</v>
      </c>
      <c r="D342" s="4">
        <f>IFERROR(__xludf.DUMMYFUNCTION("""COMPUTED_VALUE"""),2.0)</f>
        <v>2</v>
      </c>
      <c r="E342" s="4">
        <f>IFERROR(__xludf.DUMMYFUNCTION("""COMPUTED_VALUE"""),0.0)</f>
        <v>0</v>
      </c>
    </row>
    <row r="343">
      <c r="A343" s="4" t="str">
        <f>IFERROR(__xludf.DUMMYFUNCTION("""COMPUTED_VALUE"""),"UBAY")</f>
        <v>UBAY</v>
      </c>
      <c r="B343" s="4" t="str">
        <f>IFERROR(__xludf.DUMMYFUNCTION("""COMPUTED_VALUE"""),"ITM056")</f>
        <v>ITM056</v>
      </c>
      <c r="C343" s="4" t="str">
        <f>IFERROR(__xludf.DUMMYFUNCTION("""COMPUTED_VALUE"""),"PRIDE SOAP POWDER")</f>
        <v>PRIDE SOAP POWDER</v>
      </c>
      <c r="D343" s="4">
        <f>IFERROR(__xludf.DUMMYFUNCTION("""COMPUTED_VALUE"""),6.0)</f>
        <v>6</v>
      </c>
      <c r="E343" s="4">
        <f>IFERROR(__xludf.DUMMYFUNCTION("""COMPUTED_VALUE"""),0.0)</f>
        <v>0</v>
      </c>
    </row>
    <row r="344">
      <c r="A344" s="4" t="str">
        <f>IFERROR(__xludf.DUMMYFUNCTION("""COMPUTED_VALUE"""),"UBAY")</f>
        <v>UBAY</v>
      </c>
      <c r="B344" s="4" t="str">
        <f>IFERROR(__xludf.DUMMYFUNCTION("""COMPUTED_VALUE"""),"ITM063")</f>
        <v>ITM063</v>
      </c>
      <c r="C344" s="4" t="str">
        <f>IFERROR(__xludf.DUMMYFUNCTION("""COMPUTED_VALUE"""),"SAFEGUARD SOAP")</f>
        <v>SAFEGUARD SOAP</v>
      </c>
      <c r="D344" s="4">
        <f>IFERROR(__xludf.DUMMYFUNCTION("""COMPUTED_VALUE"""),1.0)</f>
        <v>1</v>
      </c>
      <c r="E344" s="4">
        <f>IFERROR(__xludf.DUMMYFUNCTION("""COMPUTED_VALUE"""),0.0)</f>
        <v>0</v>
      </c>
    </row>
    <row r="345">
      <c r="A345" s="4" t="str">
        <f>IFERROR(__xludf.DUMMYFUNCTION("""COMPUTED_VALUE"""),"UBAY")</f>
        <v>UBAY</v>
      </c>
      <c r="B345" s="4" t="str">
        <f>IFERROR(__xludf.DUMMYFUNCTION("""COMPUTED_VALUE"""),"ITM036")</f>
        <v>ITM036</v>
      </c>
      <c r="C345" s="4" t="str">
        <f>IFERROR(__xludf.DUMMYFUNCTION("""COMPUTED_VALUE"""),"SCOTCH TAPE (1 INCH)")</f>
        <v>SCOTCH TAPE (1 INCH)</v>
      </c>
      <c r="D345" s="4">
        <f>IFERROR(__xludf.DUMMYFUNCTION("""COMPUTED_VALUE"""),2.0)</f>
        <v>2</v>
      </c>
      <c r="E345" s="4">
        <f>IFERROR(__xludf.DUMMYFUNCTION("""COMPUTED_VALUE"""),0.0)</f>
        <v>0</v>
      </c>
    </row>
    <row r="346">
      <c r="A346" s="4" t="str">
        <f>IFERROR(__xludf.DUMMYFUNCTION("""COMPUTED_VALUE"""),"UBAY")</f>
        <v>UBAY</v>
      </c>
      <c r="B346" s="4" t="str">
        <f>IFERROR(__xludf.DUMMYFUNCTION("""COMPUTED_VALUE"""),"ITM064")</f>
        <v>ITM064</v>
      </c>
      <c r="C346" s="4" t="str">
        <f>IFERROR(__xludf.DUMMYFUNCTION("""COMPUTED_VALUE"""),"STICKY NOTES 2X2 A02")</f>
        <v>STICKY NOTES 2X2 A02</v>
      </c>
      <c r="D346" s="4">
        <f>IFERROR(__xludf.DUMMYFUNCTION("""COMPUTED_VALUE"""),2.0)</f>
        <v>2</v>
      </c>
      <c r="E346" s="4">
        <f>IFERROR(__xludf.DUMMYFUNCTION("""COMPUTED_VALUE"""),0.0)</f>
        <v>0</v>
      </c>
    </row>
    <row r="347">
      <c r="A347" s="4" t="str">
        <f>IFERROR(__xludf.DUMMYFUNCTION("""COMPUTED_VALUE"""),"UBAY")</f>
        <v>UBAY</v>
      </c>
      <c r="B347" s="4" t="str">
        <f>IFERROR(__xludf.DUMMYFUNCTION("""COMPUTED_VALUE"""),"ITM094")</f>
        <v>ITM094</v>
      </c>
      <c r="C347" s="4" t="str">
        <f>IFERROR(__xludf.DUMMYFUNCTION("""COMPUTED_VALUE"""),"TRASH BAG (XL)")</f>
        <v>TRASH BAG (XL)</v>
      </c>
      <c r="D347" s="4">
        <f>IFERROR(__xludf.DUMMYFUNCTION("""COMPUTED_VALUE"""),1.0)</f>
        <v>1</v>
      </c>
      <c r="E347" s="4">
        <f>IFERROR(__xludf.DUMMYFUNCTION("""COMPUTED_VALUE"""),0.0)</f>
        <v>0</v>
      </c>
    </row>
    <row r="348">
      <c r="A348" s="4" t="str">
        <f>IFERROR(__xludf.DUMMYFUNCTION("""COMPUTED_VALUE"""),"UBAY")</f>
        <v>UBAY</v>
      </c>
      <c r="B348" s="4" t="str">
        <f>IFERROR(__xludf.DUMMYFUNCTION("""COMPUTED_VALUE"""),"ITM006")</f>
        <v>ITM006</v>
      </c>
      <c r="C348" s="4" t="str">
        <f>IFERROR(__xludf.DUMMYFUNCTION("""COMPUTED_VALUE"""),"VELLUM PAPER")</f>
        <v>VELLUM PAPER</v>
      </c>
      <c r="D348" s="4">
        <f>IFERROR(__xludf.DUMMYFUNCTION("""COMPUTED_VALUE"""),20.0)</f>
        <v>20</v>
      </c>
      <c r="E348" s="4">
        <f>IFERROR(__xludf.DUMMYFUNCTION("""COMPUTED_VALUE"""),0.0)</f>
        <v>0</v>
      </c>
    </row>
    <row r="349">
      <c r="A349" s="4" t="str">
        <f>IFERROR(__xludf.DUMMYFUNCTION("""COMPUTED_VALUE"""),"UBAY")</f>
        <v>UBAY</v>
      </c>
      <c r="B349" s="4" t="str">
        <f>IFERROR(__xludf.DUMMYFUNCTION("""COMPUTED_VALUE"""),"ITM074")</f>
        <v>ITM074</v>
      </c>
      <c r="C349" s="4" t="str">
        <f>IFERROR(__xludf.DUMMYFUNCTION("""COMPUTED_VALUE"""),"STAPLE WIRE #35")</f>
        <v>STAPLE WIRE #35</v>
      </c>
      <c r="D349" s="4">
        <f>IFERROR(__xludf.DUMMYFUNCTION("""COMPUTED_VALUE"""),1.0)</f>
        <v>1</v>
      </c>
      <c r="E349" s="4">
        <f>IFERROR(__xludf.DUMMYFUNCTION("""COMPUTED_VALUE"""),0.0)</f>
        <v>0</v>
      </c>
    </row>
    <row r="350">
      <c r="A350" s="4" t="str">
        <f>IFERROR(__xludf.DUMMYFUNCTION("""COMPUTED_VALUE"""),"UBAY")</f>
        <v>UBAY</v>
      </c>
      <c r="B350" s="4" t="str">
        <f>IFERROR(__xludf.DUMMYFUNCTION("""COMPUTED_VALUE"""),"ITM021")</f>
        <v>ITM021</v>
      </c>
      <c r="C350" s="4" t="str">
        <f>IFERROR(__xludf.DUMMYFUNCTION("""COMPUTED_VALUE"""),"WYTEBORD MARKER PILOT (BLACK)")</f>
        <v>WYTEBORD MARKER PILOT (BLACK)</v>
      </c>
      <c r="D350" s="4">
        <f>IFERROR(__xludf.DUMMYFUNCTION("""COMPUTED_VALUE"""),1.0)</f>
        <v>1</v>
      </c>
      <c r="E350" s="4">
        <f>IFERROR(__xludf.DUMMYFUNCTION("""COMPUTED_VALUE"""),0.0)</f>
        <v>0</v>
      </c>
    </row>
    <row r="351">
      <c r="A351" s="4" t="str">
        <f>IFERROR(__xludf.DUMMYFUNCTION("""COMPUTED_VALUE"""),"CARMEN")</f>
        <v>CARMEN</v>
      </c>
      <c r="B351" s="4" t="str">
        <f>IFERROR(__xludf.DUMMYFUNCTION("""COMPUTED_VALUE"""),"ITM001")</f>
        <v>ITM001</v>
      </c>
      <c r="C351" s="4" t="str">
        <f>IFERROR(__xludf.DUMMYFUNCTION("""COMPUTED_VALUE"""),"BOND PAPER (LONG)")</f>
        <v>BOND PAPER (LONG)</v>
      </c>
      <c r="D351" s="4">
        <f>IFERROR(__xludf.DUMMYFUNCTION("""COMPUTED_VALUE"""),1.0)</f>
        <v>1</v>
      </c>
      <c r="E351" s="4">
        <f>IFERROR(__xludf.DUMMYFUNCTION("""COMPUTED_VALUE"""),0.0)</f>
        <v>0</v>
      </c>
    </row>
    <row r="352">
      <c r="A352" s="4" t="str">
        <f>IFERROR(__xludf.DUMMYFUNCTION("""COMPUTED_VALUE"""),"CARMEN")</f>
        <v>CARMEN</v>
      </c>
      <c r="B352" s="4" t="str">
        <f>IFERROR(__xludf.DUMMYFUNCTION("""COMPUTED_VALUE"""),"ITM002")</f>
        <v>ITM002</v>
      </c>
      <c r="C352" s="4" t="str">
        <f>IFERROR(__xludf.DUMMYFUNCTION("""COMPUTED_VALUE"""),"BOND PAPER (SHORT)")</f>
        <v>BOND PAPER (SHORT)</v>
      </c>
      <c r="D352" s="4">
        <f>IFERROR(__xludf.DUMMYFUNCTION("""COMPUTED_VALUE"""),1.0)</f>
        <v>1</v>
      </c>
      <c r="E352" s="4">
        <f>IFERROR(__xludf.DUMMYFUNCTION("""COMPUTED_VALUE"""),0.0)</f>
        <v>0</v>
      </c>
    </row>
    <row r="353">
      <c r="A353" s="4" t="str">
        <f>IFERROR(__xludf.DUMMYFUNCTION("""COMPUTED_VALUE"""),"CARMEN")</f>
        <v>CARMEN</v>
      </c>
      <c r="B353" s="4" t="str">
        <f>IFERROR(__xludf.DUMMYFUNCTION("""COMPUTED_VALUE"""),"ITM012")</f>
        <v>ITM012</v>
      </c>
      <c r="C353" s="4" t="str">
        <f>IFERROR(__xludf.DUMMYFUNCTION("""COMPUTED_VALUE"""),"BROWN FOLDER (LONG)")</f>
        <v>BROWN FOLDER (LONG)</v>
      </c>
      <c r="D353" s="4">
        <f>IFERROR(__xludf.DUMMYFUNCTION("""COMPUTED_VALUE"""),30.0)</f>
        <v>30</v>
      </c>
      <c r="E353" s="4">
        <f>IFERROR(__xludf.DUMMYFUNCTION("""COMPUTED_VALUE"""),0.0)</f>
        <v>0</v>
      </c>
    </row>
    <row r="354">
      <c r="A354" s="4" t="str">
        <f>IFERROR(__xludf.DUMMYFUNCTION("""COMPUTED_VALUE"""),"CARMEN")</f>
        <v>CARMEN</v>
      </c>
      <c r="B354" s="4" t="str">
        <f>IFERROR(__xludf.DUMMYFUNCTION("""COMPUTED_VALUE"""),"ITM041")</f>
        <v>ITM041</v>
      </c>
      <c r="C354" s="4" t="str">
        <f>IFERROR(__xludf.DUMMYFUNCTION("""COMPUTED_VALUE"""),"DUCT TAPE")</f>
        <v>DUCT TAPE</v>
      </c>
      <c r="D354" s="4">
        <f>IFERROR(__xludf.DUMMYFUNCTION("""COMPUTED_VALUE"""),2.0)</f>
        <v>2</v>
      </c>
      <c r="E354" s="4">
        <f>IFERROR(__xludf.DUMMYFUNCTION("""COMPUTED_VALUE"""),0.0)</f>
        <v>0</v>
      </c>
    </row>
    <row r="355">
      <c r="A355" s="4" t="str">
        <f>IFERROR(__xludf.DUMMYFUNCTION("""COMPUTED_VALUE"""),"CARMEN")</f>
        <v>CARMEN</v>
      </c>
      <c r="B355" s="4" t="str">
        <f>IFERROR(__xludf.DUMMYFUNCTION("""COMPUTED_VALUE"""),"ITM019")</f>
        <v>ITM019</v>
      </c>
      <c r="C355" s="4" t="str">
        <f>IFERROR(__xludf.DUMMYFUNCTION("""COMPUTED_VALUE"""),"FLEXSTICK BLACK BALLPEN (0.5)")</f>
        <v>FLEXSTICK BLACK BALLPEN (0.5)</v>
      </c>
      <c r="D355" s="4">
        <f>IFERROR(__xludf.DUMMYFUNCTION("""COMPUTED_VALUE"""),20.0)</f>
        <v>20</v>
      </c>
      <c r="E355" s="4">
        <f>IFERROR(__xludf.DUMMYFUNCTION("""COMPUTED_VALUE"""),0.0)</f>
        <v>0</v>
      </c>
    </row>
    <row r="356">
      <c r="A356" s="4" t="str">
        <f>IFERROR(__xludf.DUMMYFUNCTION("""COMPUTED_VALUE"""),"CARMEN")</f>
        <v>CARMEN</v>
      </c>
      <c r="B356" s="4" t="str">
        <f>IFERROR(__xludf.DUMMYFUNCTION("""COMPUTED_VALUE"""),"ITM006")</f>
        <v>ITM006</v>
      </c>
      <c r="C356" s="4" t="str">
        <f>IFERROR(__xludf.DUMMYFUNCTION("""COMPUTED_VALUE"""),"VELLUM PAPER")</f>
        <v>VELLUM PAPER</v>
      </c>
      <c r="D356" s="4">
        <f>IFERROR(__xludf.DUMMYFUNCTION("""COMPUTED_VALUE"""),30.0)</f>
        <v>30</v>
      </c>
      <c r="E356" s="4">
        <f>IFERROR(__xludf.DUMMYFUNCTION("""COMPUTED_VALUE"""),0.0)</f>
        <v>0</v>
      </c>
    </row>
    <row r="357">
      <c r="A357" s="4" t="str">
        <f>IFERROR(__xludf.DUMMYFUNCTION("""COMPUTED_VALUE"""),"CARMEN")</f>
        <v>CARMEN</v>
      </c>
      <c r="B357" s="4" t="str">
        <f>IFERROR(__xludf.DUMMYFUNCTION("""COMPUTED_VALUE"""),"ITM089")</f>
        <v>ITM089</v>
      </c>
      <c r="C357" s="4" t="str">
        <f>IFERROR(__xludf.DUMMYFUNCTION("""COMPUTED_VALUE"""),"ZONROX (COLORSAFE)")</f>
        <v>ZONROX (COLORSAFE)</v>
      </c>
      <c r="D357" s="4">
        <f>IFERROR(__xludf.DUMMYFUNCTION("""COMPUTED_VALUE"""),1.0)</f>
        <v>1</v>
      </c>
      <c r="E357" s="4">
        <f>IFERROR(__xludf.DUMMYFUNCTION("""COMPUTED_VALUE"""),0.0)</f>
        <v>0</v>
      </c>
    </row>
    <row r="358">
      <c r="A358" s="4" t="str">
        <f>IFERROR(__xludf.DUMMYFUNCTION("""COMPUTED_VALUE"""),"CARMEN")</f>
        <v>CARMEN</v>
      </c>
      <c r="B358" s="4" t="str">
        <f>IFERROR(__xludf.DUMMYFUNCTION("""COMPUTED_VALUE"""),"ITM088")</f>
        <v>ITM088</v>
      </c>
      <c r="C358" s="4" t="str">
        <f>IFERROR(__xludf.DUMMYFUNCTION("""COMPUTED_VALUE"""),"ZONROX (ORIGINAL)")</f>
        <v>ZONROX (ORIGINAL)</v>
      </c>
      <c r="D358" s="4">
        <f>IFERROR(__xludf.DUMMYFUNCTION("""COMPUTED_VALUE"""),1.0)</f>
        <v>1</v>
      </c>
      <c r="E358" s="4">
        <f>IFERROR(__xludf.DUMMYFUNCTION("""COMPUTED_VALUE"""),0.0)</f>
        <v>0</v>
      </c>
    </row>
    <row r="359">
      <c r="A359" s="4" t="str">
        <f>IFERROR(__xludf.DUMMYFUNCTION("""COMPUTED_VALUE"""),"CARMEN")</f>
        <v>CARMEN</v>
      </c>
      <c r="B359" s="4" t="str">
        <f>IFERROR(__xludf.DUMMYFUNCTION("""COMPUTED_VALUE"""),"ITM027")</f>
        <v>ITM027</v>
      </c>
      <c r="C359" s="4" t="str">
        <f>IFERROR(__xludf.DUMMYFUNCTION("""COMPUTED_VALUE"""),"CORRECTION TAPE")</f>
        <v>CORRECTION TAPE</v>
      </c>
      <c r="D359" s="4">
        <f>IFERROR(__xludf.DUMMYFUNCTION("""COMPUTED_VALUE"""),3.0)</f>
        <v>3</v>
      </c>
      <c r="E359" s="4">
        <f>IFERROR(__xludf.DUMMYFUNCTION("""COMPUTED_VALUE"""),0.0)</f>
        <v>0</v>
      </c>
    </row>
    <row r="360">
      <c r="A360" s="4" t="str">
        <f>IFERROR(__xludf.DUMMYFUNCTION("""COMPUTED_VALUE"""),"CARMEN")</f>
        <v>CARMEN</v>
      </c>
      <c r="B360" s="4" t="str">
        <f>IFERROR(__xludf.DUMMYFUNCTION("""COMPUTED_VALUE"""),"ITM067")</f>
        <v>ITM067</v>
      </c>
      <c r="C360" s="4" t="str">
        <f>IFERROR(__xludf.DUMMYFUNCTION("""COMPUTED_VALUE"""),"FASTENER")</f>
        <v>FASTENER</v>
      </c>
      <c r="D360" s="4">
        <f>IFERROR(__xludf.DUMMYFUNCTION("""COMPUTED_VALUE"""),1.0)</f>
        <v>1</v>
      </c>
      <c r="E360" s="4">
        <f>IFERROR(__xludf.DUMMYFUNCTION("""COMPUTED_VALUE"""),0.0)</f>
        <v>0</v>
      </c>
    </row>
    <row r="361">
      <c r="A361" s="4" t="str">
        <f>IFERROR(__xludf.DUMMYFUNCTION("""COMPUTED_VALUE"""),"CARMEN")</f>
        <v>CARMEN</v>
      </c>
      <c r="B361" s="4" t="str">
        <f>IFERROR(__xludf.DUMMYFUNCTION("""COMPUTED_VALUE"""),"ITM023")</f>
        <v>ITM023</v>
      </c>
      <c r="C361" s="4" t="str">
        <f>IFERROR(__xludf.DUMMYFUNCTION("""COMPUTED_VALUE"""),"HIGHLIGHTER")</f>
        <v>HIGHLIGHTER</v>
      </c>
      <c r="D361" s="4">
        <f>IFERROR(__xludf.DUMMYFUNCTION("""COMPUTED_VALUE"""),4.0)</f>
        <v>4</v>
      </c>
      <c r="E361" s="4">
        <f>IFERROR(__xludf.DUMMYFUNCTION("""COMPUTED_VALUE"""),0.0)</f>
        <v>0</v>
      </c>
    </row>
    <row r="362">
      <c r="A362" s="4" t="str">
        <f>IFERROR(__xludf.DUMMYFUNCTION("""COMPUTED_VALUE"""),"CARMEN")</f>
        <v>CARMEN</v>
      </c>
      <c r="B362" s="4" t="str">
        <f>IFERROR(__xludf.DUMMYFUNCTION("""COMPUTED_VALUE"""),"ITM064")</f>
        <v>ITM064</v>
      </c>
      <c r="C362" s="4" t="str">
        <f>IFERROR(__xludf.DUMMYFUNCTION("""COMPUTED_VALUE"""),"STICKY NOTES 2X2 A02")</f>
        <v>STICKY NOTES 2X2 A02</v>
      </c>
      <c r="D362" s="4">
        <f>IFERROR(__xludf.DUMMYFUNCTION("""COMPUTED_VALUE"""),3.0)</f>
        <v>3</v>
      </c>
      <c r="E362" s="4">
        <f>IFERROR(__xludf.DUMMYFUNCTION("""COMPUTED_VALUE"""),0.0)</f>
        <v>0</v>
      </c>
    </row>
    <row r="363">
      <c r="A363" s="4" t="str">
        <f>IFERROR(__xludf.DUMMYFUNCTION("""COMPUTED_VALUE"""),"CARMEN")</f>
        <v>CARMEN</v>
      </c>
      <c r="B363" s="4" t="str">
        <f>IFERROR(__xludf.DUMMYFUNCTION("""COMPUTED_VALUE"""),"ITM095")</f>
        <v>ITM095</v>
      </c>
      <c r="C363" s="4" t="str">
        <f>IFERROR(__xludf.DUMMYFUNCTION("""COMPUTED_VALUE"""),"TRASH BAG (LARGE)")</f>
        <v>TRASH BAG (LARGE)</v>
      </c>
      <c r="D363" s="4">
        <f>IFERROR(__xludf.DUMMYFUNCTION("""COMPUTED_VALUE"""),1.0)</f>
        <v>1</v>
      </c>
      <c r="E363" s="4">
        <f>IFERROR(__xludf.DUMMYFUNCTION("""COMPUTED_VALUE"""),0.0)</f>
        <v>0</v>
      </c>
    </row>
    <row r="364">
      <c r="A364" s="4" t="str">
        <f>IFERROR(__xludf.DUMMYFUNCTION("""COMPUTED_VALUE"""),"CARMEN")</f>
        <v>CARMEN</v>
      </c>
      <c r="B364" s="4" t="str">
        <f>IFERROR(__xludf.DUMMYFUNCTION("""COMPUTED_VALUE"""),"ITM096")</f>
        <v>ITM096</v>
      </c>
      <c r="C364" s="4" t="str">
        <f>IFERROR(__xludf.DUMMYFUNCTION("""COMPUTED_VALUE"""),"TRASH BAG (MEDIUM)")</f>
        <v>TRASH BAG (MEDIUM)</v>
      </c>
      <c r="D364" s="4">
        <f>IFERROR(__xludf.DUMMYFUNCTION("""COMPUTED_VALUE"""),1.0)</f>
        <v>1</v>
      </c>
      <c r="E364" s="4">
        <f>IFERROR(__xludf.DUMMYFUNCTION("""COMPUTED_VALUE"""),0.0)</f>
        <v>0</v>
      </c>
    </row>
    <row r="365">
      <c r="A365" s="4" t="str">
        <f>IFERROR(__xludf.DUMMYFUNCTION("""COMPUTED_VALUE"""),"CARMEN")</f>
        <v>CARMEN</v>
      </c>
      <c r="B365" s="4" t="str">
        <f>IFERROR(__xludf.DUMMYFUNCTION("""COMPUTED_VALUE"""),"ITM021")</f>
        <v>ITM021</v>
      </c>
      <c r="C365" s="4" t="str">
        <f>IFERROR(__xludf.DUMMYFUNCTION("""COMPUTED_VALUE"""),"WYTEBORD MARKER PILOT (BLACK)")</f>
        <v>WYTEBORD MARKER PILOT (BLACK)</v>
      </c>
      <c r="D365" s="4">
        <f>IFERROR(__xludf.DUMMYFUNCTION("""COMPUTED_VALUE"""),1.0)</f>
        <v>1</v>
      </c>
      <c r="E365" s="4">
        <f>IFERROR(__xludf.DUMMYFUNCTION("""COMPUTED_VALUE"""),0.0)</f>
        <v>0</v>
      </c>
    </row>
    <row r="366">
      <c r="A366" s="4" t="str">
        <f>IFERROR(__xludf.DUMMYFUNCTION("""COMPUTED_VALUE"""),"CARMEN")</f>
        <v>CARMEN</v>
      </c>
      <c r="B366" s="4" t="str">
        <f>IFERROR(__xludf.DUMMYFUNCTION("""COMPUTED_VALUE"""),"ITM106")</f>
        <v>ITM106</v>
      </c>
      <c r="C366" s="4" t="str">
        <f>IFERROR(__xludf.DUMMYFUNCTION("""COMPUTED_VALUE"""),"DOOR MAT")</f>
        <v>DOOR MAT</v>
      </c>
      <c r="D366" s="4">
        <f>IFERROR(__xludf.DUMMYFUNCTION("""COMPUTED_VALUE"""),1.0)</f>
        <v>1</v>
      </c>
      <c r="E366" s="4">
        <f>IFERROR(__xludf.DUMMYFUNCTION("""COMPUTED_VALUE"""),0.0)</f>
        <v>0</v>
      </c>
    </row>
    <row r="367">
      <c r="A367" s="4" t="str">
        <f>IFERROR(__xludf.DUMMYFUNCTION("""COMPUTED_VALUE"""),"TUBIGON")</f>
        <v>TUBIGON</v>
      </c>
      <c r="B367" s="4" t="str">
        <f>IFERROR(__xludf.DUMMYFUNCTION("""COMPUTED_VALUE"""),"ITM002")</f>
        <v>ITM002</v>
      </c>
      <c r="C367" s="4" t="str">
        <f>IFERROR(__xludf.DUMMYFUNCTION("""COMPUTED_VALUE"""),"BOND PAPER (SHORT)")</f>
        <v>BOND PAPER (SHORT)</v>
      </c>
      <c r="D367" s="4">
        <f>IFERROR(__xludf.DUMMYFUNCTION("""COMPUTED_VALUE"""),1.0)</f>
        <v>1</v>
      </c>
      <c r="E367" s="4">
        <f>IFERROR(__xludf.DUMMYFUNCTION("""COMPUTED_VALUE"""),0.0)</f>
        <v>0</v>
      </c>
    </row>
    <row r="368">
      <c r="A368" s="4" t="str">
        <f>IFERROR(__xludf.DUMMYFUNCTION("""COMPUTED_VALUE"""),"TUBIGON")</f>
        <v>TUBIGON</v>
      </c>
      <c r="B368" s="4" t="str">
        <f>IFERROR(__xludf.DUMMYFUNCTION("""COMPUTED_VALUE"""),"ITM010")</f>
        <v>ITM010</v>
      </c>
      <c r="C368" s="4" t="str">
        <f>IFERROR(__xludf.DUMMYFUNCTION("""COMPUTED_VALUE"""),"BROWN ENVELOPE (LONG)")</f>
        <v>BROWN ENVELOPE (LONG)</v>
      </c>
      <c r="D368" s="4">
        <f>IFERROR(__xludf.DUMMYFUNCTION("""COMPUTED_VALUE"""),30.0)</f>
        <v>30</v>
      </c>
      <c r="E368" s="4">
        <f>IFERROR(__xludf.DUMMYFUNCTION("""COMPUTED_VALUE"""),0.0)</f>
        <v>0</v>
      </c>
    </row>
    <row r="369">
      <c r="A369" s="4" t="str">
        <f>IFERROR(__xludf.DUMMYFUNCTION("""COMPUTED_VALUE"""),"TUBIGON")</f>
        <v>TUBIGON</v>
      </c>
      <c r="B369" s="4" t="str">
        <f>IFERROR(__xludf.DUMMYFUNCTION("""COMPUTED_VALUE"""),"ITM012")</f>
        <v>ITM012</v>
      </c>
      <c r="C369" s="4" t="str">
        <f>IFERROR(__xludf.DUMMYFUNCTION("""COMPUTED_VALUE"""),"BROWN FOLDER (LONG)")</f>
        <v>BROWN FOLDER (LONG)</v>
      </c>
      <c r="D369" s="4">
        <f>IFERROR(__xludf.DUMMYFUNCTION("""COMPUTED_VALUE"""),30.0)</f>
        <v>30</v>
      </c>
      <c r="E369" s="4">
        <f>IFERROR(__xludf.DUMMYFUNCTION("""COMPUTED_VALUE"""),0.0)</f>
        <v>0</v>
      </c>
    </row>
    <row r="370">
      <c r="A370" s="4" t="str">
        <f>IFERROR(__xludf.DUMMYFUNCTION("""COMPUTED_VALUE"""),"TUBIGON")</f>
        <v>TUBIGON</v>
      </c>
      <c r="B370" s="4" t="str">
        <f>IFERROR(__xludf.DUMMYFUNCTION("""COMPUTED_VALUE"""),"ITM009")</f>
        <v>ITM009</v>
      </c>
      <c r="C370" s="4" t="str">
        <f>IFERROR(__xludf.DUMMYFUNCTION("""COMPUTED_VALUE"""),"CARBON PAPER (LONG BLUE)")</f>
        <v>CARBON PAPER (LONG BLUE)</v>
      </c>
      <c r="D370" s="4">
        <f>IFERROR(__xludf.DUMMYFUNCTION("""COMPUTED_VALUE"""),10.0)</f>
        <v>10</v>
      </c>
      <c r="E370" s="4">
        <f>IFERROR(__xludf.DUMMYFUNCTION("""COMPUTED_VALUE"""),0.0)</f>
        <v>0</v>
      </c>
    </row>
    <row r="371">
      <c r="A371" s="4" t="str">
        <f>IFERROR(__xludf.DUMMYFUNCTION("""COMPUTED_VALUE"""),"TUBIGON")</f>
        <v>TUBIGON</v>
      </c>
      <c r="B371" s="4" t="str">
        <f>IFERROR(__xludf.DUMMYFUNCTION("""COMPUTED_VALUE"""),"ITM027")</f>
        <v>ITM027</v>
      </c>
      <c r="C371" s="4" t="str">
        <f>IFERROR(__xludf.DUMMYFUNCTION("""COMPUTED_VALUE"""),"CORRECTION TAPE")</f>
        <v>CORRECTION TAPE</v>
      </c>
      <c r="D371" s="4">
        <f>IFERROR(__xludf.DUMMYFUNCTION("""COMPUTED_VALUE"""),3.0)</f>
        <v>3</v>
      </c>
      <c r="E371" s="4">
        <f>IFERROR(__xludf.DUMMYFUNCTION("""COMPUTED_VALUE"""),0.0)</f>
        <v>0</v>
      </c>
    </row>
    <row r="372">
      <c r="A372" s="4" t="str">
        <f>IFERROR(__xludf.DUMMYFUNCTION("""COMPUTED_VALUE"""),"TUBIGON")</f>
        <v>TUBIGON</v>
      </c>
      <c r="B372" s="4" t="str">
        <f>IFERROR(__xludf.DUMMYFUNCTION("""COMPUTED_VALUE"""),"ITM106")</f>
        <v>ITM106</v>
      </c>
      <c r="C372" s="4" t="str">
        <f>IFERROR(__xludf.DUMMYFUNCTION("""COMPUTED_VALUE"""),"DOOR MAT")</f>
        <v>DOOR MAT</v>
      </c>
      <c r="D372" s="4">
        <f>IFERROR(__xludf.DUMMYFUNCTION("""COMPUTED_VALUE"""),1.0)</f>
        <v>1</v>
      </c>
      <c r="E372" s="4">
        <f>IFERROR(__xludf.DUMMYFUNCTION("""COMPUTED_VALUE"""),0.0)</f>
        <v>0</v>
      </c>
    </row>
    <row r="373">
      <c r="A373" s="4" t="str">
        <f>IFERROR(__xludf.DUMMYFUNCTION("""COMPUTED_VALUE"""),"TUBIGON")</f>
        <v>TUBIGON</v>
      </c>
      <c r="B373" s="4" t="str">
        <f>IFERROR(__xludf.DUMMYFUNCTION("""COMPUTED_VALUE"""),"ITM062")</f>
        <v>ITM062</v>
      </c>
      <c r="C373" s="4" t="str">
        <f>IFERROR(__xludf.DUMMYFUNCTION("""COMPUTED_VALUE"""),"DOWNY")</f>
        <v>DOWNY</v>
      </c>
      <c r="D373" s="4">
        <f>IFERROR(__xludf.DUMMYFUNCTION("""COMPUTED_VALUE"""),3.0)</f>
        <v>3</v>
      </c>
      <c r="E373" s="4">
        <f>IFERROR(__xludf.DUMMYFUNCTION("""COMPUTED_VALUE"""),0.0)</f>
        <v>0</v>
      </c>
    </row>
    <row r="374">
      <c r="A374" s="4" t="str">
        <f>IFERROR(__xludf.DUMMYFUNCTION("""COMPUTED_VALUE"""),"TUBIGON")</f>
        <v>TUBIGON</v>
      </c>
      <c r="B374" s="4" t="str">
        <f>IFERROR(__xludf.DUMMYFUNCTION("""COMPUTED_VALUE"""),"ITM067")</f>
        <v>ITM067</v>
      </c>
      <c r="C374" s="4" t="str">
        <f>IFERROR(__xludf.DUMMYFUNCTION("""COMPUTED_VALUE"""),"FASTENER")</f>
        <v>FASTENER</v>
      </c>
      <c r="D374" s="4">
        <f>IFERROR(__xludf.DUMMYFUNCTION("""COMPUTED_VALUE"""),1.0)</f>
        <v>1</v>
      </c>
      <c r="E374" s="4">
        <f>IFERROR(__xludf.DUMMYFUNCTION("""COMPUTED_VALUE"""),0.0)</f>
        <v>0</v>
      </c>
    </row>
    <row r="375">
      <c r="A375" s="4" t="str">
        <f>IFERROR(__xludf.DUMMYFUNCTION("""COMPUTED_VALUE"""),"TUBIGON")</f>
        <v>TUBIGON</v>
      </c>
      <c r="B375" s="4" t="str">
        <f>IFERROR(__xludf.DUMMYFUNCTION("""COMPUTED_VALUE"""),"ITM019")</f>
        <v>ITM019</v>
      </c>
      <c r="C375" s="4" t="str">
        <f>IFERROR(__xludf.DUMMYFUNCTION("""COMPUTED_VALUE"""),"FLEXSTICK BLACK BALLPEN (0.5)")</f>
        <v>FLEXSTICK BLACK BALLPEN (0.5)</v>
      </c>
      <c r="D375" s="4">
        <f>IFERROR(__xludf.DUMMYFUNCTION("""COMPUTED_VALUE"""),12.0)</f>
        <v>12</v>
      </c>
      <c r="E375" s="4">
        <f>IFERROR(__xludf.DUMMYFUNCTION("""COMPUTED_VALUE"""),0.0)</f>
        <v>0</v>
      </c>
    </row>
    <row r="376">
      <c r="A376" s="4" t="str">
        <f>IFERROR(__xludf.DUMMYFUNCTION("""COMPUTED_VALUE"""),"TUBIGON")</f>
        <v>TUBIGON</v>
      </c>
      <c r="B376" s="4" t="str">
        <f>IFERROR(__xludf.DUMMYFUNCTION("""COMPUTED_VALUE"""),"ITM061")</f>
        <v>ITM061</v>
      </c>
      <c r="C376" s="4" t="str">
        <f>IFERROR(__xludf.DUMMYFUNCTION("""COMPUTED_VALUE"""),"JOY")</f>
        <v>JOY</v>
      </c>
      <c r="D376" s="4">
        <f>IFERROR(__xludf.DUMMYFUNCTION("""COMPUTED_VALUE"""),6.0)</f>
        <v>6</v>
      </c>
      <c r="E376" s="4">
        <f>IFERROR(__xludf.DUMMYFUNCTION("""COMPUTED_VALUE"""),0.0)</f>
        <v>0</v>
      </c>
    </row>
    <row r="377">
      <c r="A377" s="4" t="str">
        <f>IFERROR(__xludf.DUMMYFUNCTION("""COMPUTED_VALUE"""),"TUBIGON")</f>
        <v>TUBIGON</v>
      </c>
      <c r="B377" s="4" t="str">
        <f>IFERROR(__xludf.DUMMYFUNCTION("""COMPUTED_VALUE"""),"ITM038")</f>
        <v>ITM038</v>
      </c>
      <c r="C377" s="4" t="str">
        <f>IFERROR(__xludf.DUMMYFUNCTION("""COMPUTED_VALUE"""),"MASKING TAPE")</f>
        <v>MASKING TAPE</v>
      </c>
      <c r="D377" s="4">
        <f>IFERROR(__xludf.DUMMYFUNCTION("""COMPUTED_VALUE"""),3.0)</f>
        <v>3</v>
      </c>
      <c r="E377" s="4">
        <f>IFERROR(__xludf.DUMMYFUNCTION("""COMPUTED_VALUE"""),0.0)</f>
        <v>0</v>
      </c>
    </row>
    <row r="378">
      <c r="A378" s="4" t="str">
        <f>IFERROR(__xludf.DUMMYFUNCTION("""COMPUTED_VALUE"""),"TUBIGON")</f>
        <v>TUBIGON</v>
      </c>
      <c r="B378" s="4" t="str">
        <f>IFERROR(__xludf.DUMMYFUNCTION("""COMPUTED_VALUE"""),"ITM008")</f>
        <v>ITM008</v>
      </c>
      <c r="C378" s="4" t="str">
        <f>IFERROR(__xludf.DUMMYFUNCTION("""COMPUTED_VALUE"""),"NOTEBOOK")</f>
        <v>NOTEBOOK</v>
      </c>
      <c r="D378" s="4">
        <f>IFERROR(__xludf.DUMMYFUNCTION("""COMPUTED_VALUE"""),1.0)</f>
        <v>1</v>
      </c>
      <c r="E378" s="4">
        <f>IFERROR(__xludf.DUMMYFUNCTION("""COMPUTED_VALUE"""),0.0)</f>
        <v>0</v>
      </c>
    </row>
    <row r="379">
      <c r="A379" s="4" t="str">
        <f>IFERROR(__xludf.DUMMYFUNCTION("""COMPUTED_VALUE"""),"TUBIGON")</f>
        <v>TUBIGON</v>
      </c>
      <c r="B379" s="4" t="str">
        <f>IFERROR(__xludf.DUMMYFUNCTION("""COMPUTED_VALUE"""),"ITM039")</f>
        <v>ITM039</v>
      </c>
      <c r="C379" s="4" t="str">
        <f>IFERROR(__xludf.DUMMYFUNCTION("""COMPUTED_VALUE"""),"PACKAGING TAPE BROWN")</f>
        <v>PACKAGING TAPE BROWN</v>
      </c>
      <c r="D379" s="4">
        <f>IFERROR(__xludf.DUMMYFUNCTION("""COMPUTED_VALUE"""),1.0)</f>
        <v>1</v>
      </c>
      <c r="E379" s="4">
        <f>IFERROR(__xludf.DUMMYFUNCTION("""COMPUTED_VALUE"""),0.0)</f>
        <v>0</v>
      </c>
    </row>
    <row r="380">
      <c r="A380" s="4" t="str">
        <f>IFERROR(__xludf.DUMMYFUNCTION("""COMPUTED_VALUE"""),"TUBIGON")</f>
        <v>TUBIGON</v>
      </c>
      <c r="B380" s="4" t="str">
        <f>IFERROR(__xludf.DUMMYFUNCTION("""COMPUTED_VALUE"""),"ITM068")</f>
        <v>ITM068</v>
      </c>
      <c r="C380" s="4" t="str">
        <f>IFERROR(__xludf.DUMMYFUNCTION("""COMPUTED_VALUE"""),"PAPER CLIPS 50MM")</f>
        <v>PAPER CLIPS 50MM</v>
      </c>
      <c r="D380" s="4">
        <f>IFERROR(__xludf.DUMMYFUNCTION("""COMPUTED_VALUE"""),1.0)</f>
        <v>1</v>
      </c>
      <c r="E380" s="4">
        <f>IFERROR(__xludf.DUMMYFUNCTION("""COMPUTED_VALUE"""),0.0)</f>
        <v>0</v>
      </c>
    </row>
    <row r="381">
      <c r="A381" s="4" t="str">
        <f>IFERROR(__xludf.DUMMYFUNCTION("""COMPUTED_VALUE"""),"TUBIGON")</f>
        <v>TUBIGON</v>
      </c>
      <c r="B381" s="4" t="str">
        <f>IFERROR(__xludf.DUMMYFUNCTION("""COMPUTED_VALUE"""),"ITM056")</f>
        <v>ITM056</v>
      </c>
      <c r="C381" s="4" t="str">
        <f>IFERROR(__xludf.DUMMYFUNCTION("""COMPUTED_VALUE"""),"PRIDE SOAP POWDER")</f>
        <v>PRIDE SOAP POWDER</v>
      </c>
      <c r="D381" s="4">
        <f>IFERROR(__xludf.DUMMYFUNCTION("""COMPUTED_VALUE"""),6.0)</f>
        <v>6</v>
      </c>
      <c r="E381" s="4">
        <f>IFERROR(__xludf.DUMMYFUNCTION("""COMPUTED_VALUE"""),0.0)</f>
        <v>0</v>
      </c>
    </row>
    <row r="382">
      <c r="A382" s="4" t="str">
        <f>IFERROR(__xludf.DUMMYFUNCTION("""COMPUTED_VALUE"""),"TUBIGON")</f>
        <v>TUBIGON</v>
      </c>
      <c r="B382" s="4" t="str">
        <f>IFERROR(__xludf.DUMMYFUNCTION("""COMPUTED_VALUE"""),"ITM092")</f>
        <v>ITM092</v>
      </c>
      <c r="C382" s="4" t="str">
        <f>IFERROR(__xludf.DUMMYFUNCTION("""COMPUTED_VALUE"""),"RAGS")</f>
        <v>RAGS</v>
      </c>
      <c r="D382" s="4">
        <f>IFERROR(__xludf.DUMMYFUNCTION("""COMPUTED_VALUE"""),1.0)</f>
        <v>1</v>
      </c>
      <c r="E382" s="4">
        <f>IFERROR(__xludf.DUMMYFUNCTION("""COMPUTED_VALUE"""),0.0)</f>
        <v>0</v>
      </c>
    </row>
    <row r="383">
      <c r="A383" s="4" t="str">
        <f>IFERROR(__xludf.DUMMYFUNCTION("""COMPUTED_VALUE"""),"TUBIGON")</f>
        <v>TUBIGON</v>
      </c>
      <c r="B383" s="4" t="str">
        <f>IFERROR(__xludf.DUMMYFUNCTION("""COMPUTED_VALUE"""),"ITM063")</f>
        <v>ITM063</v>
      </c>
      <c r="C383" s="4" t="str">
        <f>IFERROR(__xludf.DUMMYFUNCTION("""COMPUTED_VALUE"""),"SAFEGUARD SOAP")</f>
        <v>SAFEGUARD SOAP</v>
      </c>
      <c r="D383" s="4">
        <f>IFERROR(__xludf.DUMMYFUNCTION("""COMPUTED_VALUE"""),1.0)</f>
        <v>1</v>
      </c>
      <c r="E383" s="4">
        <f>IFERROR(__xludf.DUMMYFUNCTION("""COMPUTED_VALUE"""),0.0)</f>
        <v>0</v>
      </c>
    </row>
    <row r="384">
      <c r="A384" s="4" t="str">
        <f>IFERROR(__xludf.DUMMYFUNCTION("""COMPUTED_VALUE"""),"TUBIGON")</f>
        <v>TUBIGON</v>
      </c>
      <c r="B384" s="4" t="str">
        <f>IFERROR(__xludf.DUMMYFUNCTION("""COMPUTED_VALUE"""),"ITM060")</f>
        <v>ITM060</v>
      </c>
      <c r="C384" s="4" t="str">
        <f>IFERROR(__xludf.DUMMYFUNCTION("""COMPUTED_VALUE"""),"SUPER COLOR MARKER PILOT (BLACK)")</f>
        <v>SUPER COLOR MARKER PILOT (BLACK)</v>
      </c>
      <c r="D384" s="4">
        <f>IFERROR(__xludf.DUMMYFUNCTION("""COMPUTED_VALUE"""),1.0)</f>
        <v>1</v>
      </c>
      <c r="E384" s="4">
        <f>IFERROR(__xludf.DUMMYFUNCTION("""COMPUTED_VALUE"""),0.0)</f>
        <v>0</v>
      </c>
    </row>
    <row r="385">
      <c r="A385" s="4" t="str">
        <f>IFERROR(__xludf.DUMMYFUNCTION("""COMPUTED_VALUE"""),"TUBIGON")</f>
        <v>TUBIGON</v>
      </c>
      <c r="B385" s="4" t="str">
        <f>IFERROR(__xludf.DUMMYFUNCTION("""COMPUTED_VALUE"""),"ITM095")</f>
        <v>ITM095</v>
      </c>
      <c r="C385" s="4" t="str">
        <f>IFERROR(__xludf.DUMMYFUNCTION("""COMPUTED_VALUE"""),"TRASH BAG (LARGE)")</f>
        <v>TRASH BAG (LARGE)</v>
      </c>
      <c r="D385" s="4">
        <f>IFERROR(__xludf.DUMMYFUNCTION("""COMPUTED_VALUE"""),1.0)</f>
        <v>1</v>
      </c>
      <c r="E385" s="4">
        <f>IFERROR(__xludf.DUMMYFUNCTION("""COMPUTED_VALUE"""),0.0)</f>
        <v>0</v>
      </c>
    </row>
    <row r="386">
      <c r="A386" s="4" t="str">
        <f>IFERROR(__xludf.DUMMYFUNCTION("""COMPUTED_VALUE"""),"TUBIGON")</f>
        <v>TUBIGON</v>
      </c>
      <c r="B386" s="4" t="str">
        <f>IFERROR(__xludf.DUMMYFUNCTION("""COMPUTED_VALUE"""),"ITM096")</f>
        <v>ITM096</v>
      </c>
      <c r="C386" s="4" t="str">
        <f>IFERROR(__xludf.DUMMYFUNCTION("""COMPUTED_VALUE"""),"TRASH BAG (MEDIUM)")</f>
        <v>TRASH BAG (MEDIUM)</v>
      </c>
      <c r="D386" s="4">
        <f>IFERROR(__xludf.DUMMYFUNCTION("""COMPUTED_VALUE"""),1.0)</f>
        <v>1</v>
      </c>
      <c r="E386" s="4">
        <f>IFERROR(__xludf.DUMMYFUNCTION("""COMPUTED_VALUE"""),0.0)</f>
        <v>0</v>
      </c>
    </row>
    <row r="387">
      <c r="A387" s="4" t="str">
        <f>IFERROR(__xludf.DUMMYFUNCTION("""COMPUTED_VALUE"""),"TUBIGON")</f>
        <v>TUBIGON</v>
      </c>
      <c r="B387" s="4" t="str">
        <f>IFERROR(__xludf.DUMMYFUNCTION("""COMPUTED_VALUE"""),"ITM097")</f>
        <v>ITM097</v>
      </c>
      <c r="C387" s="4" t="str">
        <f>IFERROR(__xludf.DUMMYFUNCTION("""COMPUTED_VALUE"""),"TRASH BAG (SMALL)")</f>
        <v>TRASH BAG (SMALL)</v>
      </c>
      <c r="D387" s="4">
        <f>IFERROR(__xludf.DUMMYFUNCTION("""COMPUTED_VALUE"""),1.0)</f>
        <v>1</v>
      </c>
      <c r="E387" s="4">
        <f>IFERROR(__xludf.DUMMYFUNCTION("""COMPUTED_VALUE"""),0.0)</f>
        <v>0</v>
      </c>
    </row>
    <row r="388">
      <c r="A388" s="4" t="str">
        <f>IFERROR(__xludf.DUMMYFUNCTION("""COMPUTED_VALUE"""),"TUBIGON")</f>
        <v>TUBIGON</v>
      </c>
      <c r="B388" s="4" t="str">
        <f>IFERROR(__xludf.DUMMYFUNCTION("""COMPUTED_VALUE"""),"ITM094")</f>
        <v>ITM094</v>
      </c>
      <c r="C388" s="4" t="str">
        <f>IFERROR(__xludf.DUMMYFUNCTION("""COMPUTED_VALUE"""),"TRASH BAG (XL)")</f>
        <v>TRASH BAG (XL)</v>
      </c>
      <c r="D388" s="4">
        <f>IFERROR(__xludf.DUMMYFUNCTION("""COMPUTED_VALUE"""),1.0)</f>
        <v>1</v>
      </c>
      <c r="E388" s="4">
        <f>IFERROR(__xludf.DUMMYFUNCTION("""COMPUTED_VALUE"""),0.0)</f>
        <v>0</v>
      </c>
    </row>
    <row r="389">
      <c r="A389" s="4" t="str">
        <f>IFERROR(__xludf.DUMMYFUNCTION("""COMPUTED_VALUE"""),"TUBIGON")</f>
        <v>TUBIGON</v>
      </c>
      <c r="B389" s="4" t="str">
        <f>IFERROR(__xludf.DUMMYFUNCTION("""COMPUTED_VALUE"""),"ITM093")</f>
        <v>ITM093</v>
      </c>
      <c r="C389" s="4" t="str">
        <f>IFERROR(__xludf.DUMMYFUNCTION("""COMPUTED_VALUE"""),"TRASH BAG (XXL)")</f>
        <v>TRASH BAG (XXL)</v>
      </c>
      <c r="D389" s="4">
        <f>IFERROR(__xludf.DUMMYFUNCTION("""COMPUTED_VALUE"""),1.0)</f>
        <v>1</v>
      </c>
      <c r="E389" s="4">
        <f>IFERROR(__xludf.DUMMYFUNCTION("""COMPUTED_VALUE"""),0.0)</f>
        <v>0</v>
      </c>
    </row>
    <row r="390">
      <c r="A390" s="4" t="str">
        <f>IFERROR(__xludf.DUMMYFUNCTION("""COMPUTED_VALUE"""),"TUBIGON")</f>
        <v>TUBIGON</v>
      </c>
      <c r="B390" s="4" t="str">
        <f>IFERROR(__xludf.DUMMYFUNCTION("""COMPUTED_VALUE"""),"ITM006")</f>
        <v>ITM006</v>
      </c>
      <c r="C390" s="4" t="str">
        <f>IFERROR(__xludf.DUMMYFUNCTION("""COMPUTED_VALUE"""),"VELLUM PAPER")</f>
        <v>VELLUM PAPER</v>
      </c>
      <c r="D390" s="4">
        <f>IFERROR(__xludf.DUMMYFUNCTION("""COMPUTED_VALUE"""),30.0)</f>
        <v>30</v>
      </c>
      <c r="E390" s="4">
        <f>IFERROR(__xludf.DUMMYFUNCTION("""COMPUTED_VALUE"""),0.0)</f>
        <v>0</v>
      </c>
    </row>
    <row r="391">
      <c r="A391" s="4" t="str">
        <f>IFERROR(__xludf.DUMMYFUNCTION("""COMPUTED_VALUE"""),"TUBIGON")</f>
        <v>TUBIGON</v>
      </c>
      <c r="B391" s="4" t="str">
        <f>IFERROR(__xludf.DUMMYFUNCTION("""COMPUTED_VALUE"""),"ITM014")</f>
        <v>ITM014</v>
      </c>
      <c r="C391" s="4" t="str">
        <f>IFERROR(__xludf.DUMMYFUNCTION("""COMPUTED_VALUE"""),"WHITE FOLDER (LONG)")</f>
        <v>WHITE FOLDER (LONG)</v>
      </c>
      <c r="D391" s="4">
        <f>IFERROR(__xludf.DUMMYFUNCTION("""COMPUTED_VALUE"""),10.0)</f>
        <v>10</v>
      </c>
      <c r="E391" s="4">
        <f>IFERROR(__xludf.DUMMYFUNCTION("""COMPUTED_VALUE"""),0.0)</f>
        <v>0</v>
      </c>
    </row>
    <row r="392">
      <c r="A392" s="4" t="str">
        <f>IFERROR(__xludf.DUMMYFUNCTION("""COMPUTED_VALUE"""),"TUBIGON")</f>
        <v>TUBIGON</v>
      </c>
      <c r="B392" s="4" t="str">
        <f>IFERROR(__xludf.DUMMYFUNCTION("""COMPUTED_VALUE"""),"ITM015")</f>
        <v>ITM015</v>
      </c>
      <c r="C392" s="4" t="str">
        <f>IFERROR(__xludf.DUMMYFUNCTION("""COMPUTED_VALUE"""),"WHITE FOLDER (SHORT)")</f>
        <v>WHITE FOLDER (SHORT)</v>
      </c>
      <c r="D392" s="4">
        <f>IFERROR(__xludf.DUMMYFUNCTION("""COMPUTED_VALUE"""),10.0)</f>
        <v>10</v>
      </c>
      <c r="E392" s="4">
        <f>IFERROR(__xludf.DUMMYFUNCTION("""COMPUTED_VALUE"""),0.0)</f>
        <v>0</v>
      </c>
    </row>
    <row r="393">
      <c r="A393" s="4" t="str">
        <f>IFERROR(__xludf.DUMMYFUNCTION("""COMPUTED_VALUE"""),"TUBIGON")</f>
        <v>TUBIGON</v>
      </c>
      <c r="B393" s="4" t="str">
        <f>IFERROR(__xludf.DUMMYFUNCTION("""COMPUTED_VALUE"""),"ITM022")</f>
        <v>ITM022</v>
      </c>
      <c r="C393" s="4" t="str">
        <f>IFERROR(__xludf.DUMMYFUNCTION("""COMPUTED_VALUE"""),"WYTEBORD MARKER PILOT (RED)")</f>
        <v>WYTEBORD MARKER PILOT (RED)</v>
      </c>
      <c r="D393" s="4">
        <f>IFERROR(__xludf.DUMMYFUNCTION("""COMPUTED_VALUE"""),1.0)</f>
        <v>1</v>
      </c>
      <c r="E393" s="4">
        <f>IFERROR(__xludf.DUMMYFUNCTION("""COMPUTED_VALUE"""),0.0)</f>
        <v>0</v>
      </c>
    </row>
    <row r="394">
      <c r="A394" s="4" t="str">
        <f>IFERROR(__xludf.DUMMYFUNCTION("""COMPUTED_VALUE"""),"TUBIGON")</f>
        <v>TUBIGON</v>
      </c>
      <c r="B394" s="4" t="str">
        <f>IFERROR(__xludf.DUMMYFUNCTION("""COMPUTED_VALUE"""),"ITM088")</f>
        <v>ITM088</v>
      </c>
      <c r="C394" s="4" t="str">
        <f>IFERROR(__xludf.DUMMYFUNCTION("""COMPUTED_VALUE"""),"ZONROX (ORIGINAL)")</f>
        <v>ZONROX (ORIGINAL)</v>
      </c>
      <c r="D394" s="4">
        <f>IFERROR(__xludf.DUMMYFUNCTION("""COMPUTED_VALUE"""),1.0)</f>
        <v>1</v>
      </c>
      <c r="E394" s="4">
        <f>IFERROR(__xludf.DUMMYFUNCTION("""COMPUTED_VALUE"""),0.0)</f>
        <v>0</v>
      </c>
    </row>
    <row r="395">
      <c r="A395" s="4" t="str">
        <f>IFERROR(__xludf.DUMMYFUNCTION("""COMPUTED_VALUE"""),"TALIBON")</f>
        <v>TALIBON</v>
      </c>
      <c r="B395" s="4" t="str">
        <f>IFERROR(__xludf.DUMMYFUNCTION("""COMPUTED_VALUE"""),"ITM012")</f>
        <v>ITM012</v>
      </c>
      <c r="C395" s="4" t="str">
        <f>IFERROR(__xludf.DUMMYFUNCTION("""COMPUTED_VALUE"""),"BROWN FOLDER (LONG)")</f>
        <v>BROWN FOLDER (LONG)</v>
      </c>
      <c r="D395" s="4">
        <f>IFERROR(__xludf.DUMMYFUNCTION("""COMPUTED_VALUE"""),30.0)</f>
        <v>30</v>
      </c>
      <c r="E395" s="4">
        <f>IFERROR(__xludf.DUMMYFUNCTION("""COMPUTED_VALUE"""),0.0)</f>
        <v>0</v>
      </c>
    </row>
    <row r="396">
      <c r="A396" s="4" t="str">
        <f>IFERROR(__xludf.DUMMYFUNCTION("""COMPUTED_VALUE"""),"TALIBON")</f>
        <v>TALIBON</v>
      </c>
      <c r="B396" s="4" t="str">
        <f>IFERROR(__xludf.DUMMYFUNCTION("""COMPUTED_VALUE"""),"ITM019")</f>
        <v>ITM019</v>
      </c>
      <c r="C396" s="4" t="str">
        <f>IFERROR(__xludf.DUMMYFUNCTION("""COMPUTED_VALUE"""),"FLEXSTICK BLACK BALLPEN (0.5)")</f>
        <v>FLEXSTICK BLACK BALLPEN (0.5)</v>
      </c>
      <c r="D396" s="4">
        <f>IFERROR(__xludf.DUMMYFUNCTION("""COMPUTED_VALUE"""),6.0)</f>
        <v>6</v>
      </c>
      <c r="E396" s="4">
        <f>IFERROR(__xludf.DUMMYFUNCTION("""COMPUTED_VALUE"""),0.0)</f>
        <v>0</v>
      </c>
    </row>
    <row r="397">
      <c r="A397" s="4" t="str">
        <f>IFERROR(__xludf.DUMMYFUNCTION("""COMPUTED_VALUE"""),"TALIBON")</f>
        <v>TALIBON</v>
      </c>
      <c r="B397" s="4" t="str">
        <f>IFERROR(__xludf.DUMMYFUNCTION("""COMPUTED_VALUE"""),"ITM023")</f>
        <v>ITM023</v>
      </c>
      <c r="C397" s="4" t="str">
        <f>IFERROR(__xludf.DUMMYFUNCTION("""COMPUTED_VALUE"""),"HIGHLIGHTER")</f>
        <v>HIGHLIGHTER</v>
      </c>
      <c r="D397" s="4">
        <f>IFERROR(__xludf.DUMMYFUNCTION("""COMPUTED_VALUE"""),3.0)</f>
        <v>3</v>
      </c>
      <c r="E397" s="4">
        <f>IFERROR(__xludf.DUMMYFUNCTION("""COMPUTED_VALUE"""),0.0)</f>
        <v>0</v>
      </c>
    </row>
    <row r="398">
      <c r="A398" s="4" t="str">
        <f>IFERROR(__xludf.DUMMYFUNCTION("""COMPUTED_VALUE"""),"TALIBON")</f>
        <v>TALIBON</v>
      </c>
      <c r="B398" s="4" t="str">
        <f>IFERROR(__xludf.DUMMYFUNCTION("""COMPUTED_VALUE"""),"ITM061")</f>
        <v>ITM061</v>
      </c>
      <c r="C398" s="4" t="str">
        <f>IFERROR(__xludf.DUMMYFUNCTION("""COMPUTED_VALUE"""),"JOY")</f>
        <v>JOY</v>
      </c>
      <c r="D398" s="4">
        <f>IFERROR(__xludf.DUMMYFUNCTION("""COMPUTED_VALUE"""),6.0)</f>
        <v>6</v>
      </c>
      <c r="E398" s="4">
        <f>IFERROR(__xludf.DUMMYFUNCTION("""COMPUTED_VALUE"""),0.0)</f>
        <v>0</v>
      </c>
    </row>
    <row r="399">
      <c r="A399" s="4" t="str">
        <f>IFERROR(__xludf.DUMMYFUNCTION("""COMPUTED_VALUE"""),"TALIBON")</f>
        <v>TALIBON</v>
      </c>
      <c r="B399" s="4" t="str">
        <f>IFERROR(__xludf.DUMMYFUNCTION("""COMPUTED_VALUE"""),"ITM068")</f>
        <v>ITM068</v>
      </c>
      <c r="C399" s="4" t="str">
        <f>IFERROR(__xludf.DUMMYFUNCTION("""COMPUTED_VALUE"""),"PAPER CLIPS 50MM")</f>
        <v>PAPER CLIPS 50MM</v>
      </c>
      <c r="D399" s="4">
        <f>IFERROR(__xludf.DUMMYFUNCTION("""COMPUTED_VALUE"""),1.0)</f>
        <v>1</v>
      </c>
      <c r="E399" s="4">
        <f>IFERROR(__xludf.DUMMYFUNCTION("""COMPUTED_VALUE"""),0.0)</f>
        <v>0</v>
      </c>
    </row>
    <row r="400">
      <c r="A400" s="4" t="str">
        <f>IFERROR(__xludf.DUMMYFUNCTION("""COMPUTED_VALUE"""),"TALIBON")</f>
        <v>TALIBON</v>
      </c>
      <c r="B400" s="4" t="str">
        <f>IFERROR(__xludf.DUMMYFUNCTION("""COMPUTED_VALUE"""),"ITM056")</f>
        <v>ITM056</v>
      </c>
      <c r="C400" s="4" t="str">
        <f>IFERROR(__xludf.DUMMYFUNCTION("""COMPUTED_VALUE"""),"PRIDE SOAP POWDER")</f>
        <v>PRIDE SOAP POWDER</v>
      </c>
      <c r="D400" s="4">
        <f>IFERROR(__xludf.DUMMYFUNCTION("""COMPUTED_VALUE"""),6.0)</f>
        <v>6</v>
      </c>
      <c r="E400" s="4">
        <f>IFERROR(__xludf.DUMMYFUNCTION("""COMPUTED_VALUE"""),0.0)</f>
        <v>0</v>
      </c>
    </row>
    <row r="401">
      <c r="A401" s="4" t="str">
        <f>IFERROR(__xludf.DUMMYFUNCTION("""COMPUTED_VALUE"""),"TALIBON")</f>
        <v>TALIBON</v>
      </c>
      <c r="B401" s="4" t="str">
        <f>IFERROR(__xludf.DUMMYFUNCTION("""COMPUTED_VALUE"""),"ITM063")</f>
        <v>ITM063</v>
      </c>
      <c r="C401" s="4" t="str">
        <f>IFERROR(__xludf.DUMMYFUNCTION("""COMPUTED_VALUE"""),"SAFEGUARD SOAP")</f>
        <v>SAFEGUARD SOAP</v>
      </c>
      <c r="D401" s="4">
        <f>IFERROR(__xludf.DUMMYFUNCTION("""COMPUTED_VALUE"""),1.0)</f>
        <v>1</v>
      </c>
      <c r="E401" s="4">
        <f>IFERROR(__xludf.DUMMYFUNCTION("""COMPUTED_VALUE"""),0.0)</f>
        <v>0</v>
      </c>
    </row>
    <row r="402">
      <c r="A402" s="4" t="str">
        <f>IFERROR(__xludf.DUMMYFUNCTION("""COMPUTED_VALUE"""),"TALIBON")</f>
        <v>TALIBON</v>
      </c>
      <c r="B402" s="4" t="str">
        <f>IFERROR(__xludf.DUMMYFUNCTION("""COMPUTED_VALUE"""),"ITM036")</f>
        <v>ITM036</v>
      </c>
      <c r="C402" s="4" t="str">
        <f>IFERROR(__xludf.DUMMYFUNCTION("""COMPUTED_VALUE"""),"SCOTCH TAPE (1 INCH)")</f>
        <v>SCOTCH TAPE (1 INCH)</v>
      </c>
      <c r="D402" s="4">
        <f>IFERROR(__xludf.DUMMYFUNCTION("""COMPUTED_VALUE"""),3.0)</f>
        <v>3</v>
      </c>
      <c r="E402" s="4">
        <f>IFERROR(__xludf.DUMMYFUNCTION("""COMPUTED_VALUE"""),0.0)</f>
        <v>0</v>
      </c>
    </row>
    <row r="403">
      <c r="A403" s="4" t="str">
        <f>IFERROR(__xludf.DUMMYFUNCTION("""COMPUTED_VALUE"""),"TALIBON")</f>
        <v>TALIBON</v>
      </c>
      <c r="B403" s="4" t="str">
        <f>IFERROR(__xludf.DUMMYFUNCTION("""COMPUTED_VALUE"""),"ITM035")</f>
        <v>ITM035</v>
      </c>
      <c r="C403" s="4" t="str">
        <f>IFERROR(__xludf.DUMMYFUNCTION("""COMPUTED_VALUE"""),"TAPE DISPENSER BIG")</f>
        <v>TAPE DISPENSER BIG</v>
      </c>
      <c r="D403" s="4">
        <f>IFERROR(__xludf.DUMMYFUNCTION("""COMPUTED_VALUE"""),1.0)</f>
        <v>1</v>
      </c>
      <c r="E403" s="4">
        <f>IFERROR(__xludf.DUMMYFUNCTION("""COMPUTED_VALUE"""),0.0)</f>
        <v>0</v>
      </c>
    </row>
    <row r="404">
      <c r="A404" s="4" t="str">
        <f>IFERROR(__xludf.DUMMYFUNCTION("""COMPUTED_VALUE"""),"TALIBON")</f>
        <v>TALIBON</v>
      </c>
      <c r="B404" s="4" t="str">
        <f>IFERROR(__xludf.DUMMYFUNCTION("""COMPUTED_VALUE"""),"ITM097")</f>
        <v>ITM097</v>
      </c>
      <c r="C404" s="4" t="str">
        <f>IFERROR(__xludf.DUMMYFUNCTION("""COMPUTED_VALUE"""),"TRASH BAG (SMALL)")</f>
        <v>TRASH BAG (SMALL)</v>
      </c>
      <c r="D404" s="4">
        <f>IFERROR(__xludf.DUMMYFUNCTION("""COMPUTED_VALUE"""),1.0)</f>
        <v>1</v>
      </c>
      <c r="E404" s="4">
        <f>IFERROR(__xludf.DUMMYFUNCTION("""COMPUTED_VALUE"""),0.0)</f>
        <v>0</v>
      </c>
    </row>
    <row r="405">
      <c r="A405" s="4" t="str">
        <f>IFERROR(__xludf.DUMMYFUNCTION("""COMPUTED_VALUE"""),"TALIBON")</f>
        <v>TALIBON</v>
      </c>
      <c r="B405" s="4" t="str">
        <f>IFERROR(__xludf.DUMMYFUNCTION("""COMPUTED_VALUE"""),"ITM093")</f>
        <v>ITM093</v>
      </c>
      <c r="C405" s="4" t="str">
        <f>IFERROR(__xludf.DUMMYFUNCTION("""COMPUTED_VALUE"""),"TRASH BAG (XXL)")</f>
        <v>TRASH BAG (XXL)</v>
      </c>
      <c r="D405" s="4">
        <f>IFERROR(__xludf.DUMMYFUNCTION("""COMPUTED_VALUE"""),1.0)</f>
        <v>1</v>
      </c>
      <c r="E405" s="4">
        <f>IFERROR(__xludf.DUMMYFUNCTION("""COMPUTED_VALUE"""),0.0)</f>
        <v>0</v>
      </c>
    </row>
    <row r="406">
      <c r="A406" s="4" t="str">
        <f>IFERROR(__xludf.DUMMYFUNCTION("""COMPUTED_VALUE"""),"TALIBON")</f>
        <v>TALIBON</v>
      </c>
      <c r="B406" s="4" t="str">
        <f>IFERROR(__xludf.DUMMYFUNCTION("""COMPUTED_VALUE"""),"ITM006")</f>
        <v>ITM006</v>
      </c>
      <c r="C406" s="4" t="str">
        <f>IFERROR(__xludf.DUMMYFUNCTION("""COMPUTED_VALUE"""),"VELLUM PAPER")</f>
        <v>VELLUM PAPER</v>
      </c>
      <c r="D406" s="4">
        <f>IFERROR(__xludf.DUMMYFUNCTION("""COMPUTED_VALUE"""),30.0)</f>
        <v>30</v>
      </c>
      <c r="E406" s="4">
        <f>IFERROR(__xludf.DUMMYFUNCTION("""COMPUTED_VALUE"""),0.0)</f>
        <v>0</v>
      </c>
    </row>
    <row r="407">
      <c r="A407" s="4" t="str">
        <f>IFERROR(__xludf.DUMMYFUNCTION("""COMPUTED_VALUE"""),"TALIBON")</f>
        <v>TALIBON</v>
      </c>
      <c r="B407" s="4" t="str">
        <f>IFERROR(__xludf.DUMMYFUNCTION("""COMPUTED_VALUE"""),"ITM002")</f>
        <v>ITM002</v>
      </c>
      <c r="C407" s="4" t="str">
        <f>IFERROR(__xludf.DUMMYFUNCTION("""COMPUTED_VALUE"""),"BOND PAPER (SHORT)")</f>
        <v>BOND PAPER (SHORT)</v>
      </c>
      <c r="D407" s="4">
        <f>IFERROR(__xludf.DUMMYFUNCTION("""COMPUTED_VALUE"""),1.0)</f>
        <v>1</v>
      </c>
      <c r="E407" s="4">
        <f>IFERROR(__xludf.DUMMYFUNCTION("""COMPUTED_VALUE"""),0.0)</f>
        <v>0</v>
      </c>
    </row>
    <row r="408">
      <c r="A408" s="4" t="str">
        <f>IFERROR(__xludf.DUMMYFUNCTION("""COMPUTED_VALUE"""),"BOGO")</f>
        <v>BOGO</v>
      </c>
      <c r="B408" s="4" t="str">
        <f>IFERROR(__xludf.DUMMYFUNCTION("""COMPUTED_VALUE"""),"ITM001")</f>
        <v>ITM001</v>
      </c>
      <c r="C408" s="4" t="str">
        <f>IFERROR(__xludf.DUMMYFUNCTION("""COMPUTED_VALUE"""),"BOND PAPER (LONG)")</f>
        <v>BOND PAPER (LONG)</v>
      </c>
      <c r="D408" s="4">
        <f>IFERROR(__xludf.DUMMYFUNCTION("""COMPUTED_VALUE"""),1.0)</f>
        <v>1</v>
      </c>
      <c r="E408" s="4">
        <f>IFERROR(__xludf.DUMMYFUNCTION("""COMPUTED_VALUE"""),0.0)</f>
        <v>0</v>
      </c>
    </row>
    <row r="409">
      <c r="A409" s="4" t="str">
        <f>IFERROR(__xludf.DUMMYFUNCTION("""COMPUTED_VALUE"""),"BOGO")</f>
        <v>BOGO</v>
      </c>
      <c r="B409" s="4" t="str">
        <f>IFERROR(__xludf.DUMMYFUNCTION("""COMPUTED_VALUE"""),"ITM003")</f>
        <v>ITM003</v>
      </c>
      <c r="C409" s="4" t="str">
        <f>IFERROR(__xludf.DUMMYFUNCTION("""COMPUTED_VALUE"""),"BOND PAPER A4")</f>
        <v>BOND PAPER A4</v>
      </c>
      <c r="D409" s="4">
        <f>IFERROR(__xludf.DUMMYFUNCTION("""COMPUTED_VALUE"""),1.0)</f>
        <v>1</v>
      </c>
      <c r="E409" s="4">
        <f>IFERROR(__xludf.DUMMYFUNCTION("""COMPUTED_VALUE"""),0.0)</f>
        <v>0</v>
      </c>
    </row>
    <row r="410">
      <c r="A410" s="4" t="str">
        <f>IFERROR(__xludf.DUMMYFUNCTION("""COMPUTED_VALUE"""),"BOGO")</f>
        <v>BOGO</v>
      </c>
      <c r="B410" s="4" t="str">
        <f>IFERROR(__xludf.DUMMYFUNCTION("""COMPUTED_VALUE"""),"ITM011")</f>
        <v>ITM011</v>
      </c>
      <c r="C410" s="4" t="str">
        <f>IFERROR(__xludf.DUMMYFUNCTION("""COMPUTED_VALUE"""),"BROWN ENVELOPE (SHORT)")</f>
        <v>BROWN ENVELOPE (SHORT)</v>
      </c>
      <c r="D410" s="4">
        <f>IFERROR(__xludf.DUMMYFUNCTION("""COMPUTED_VALUE"""),10.0)</f>
        <v>10</v>
      </c>
      <c r="E410" s="4">
        <f>IFERROR(__xludf.DUMMYFUNCTION("""COMPUTED_VALUE"""),0.0)</f>
        <v>0</v>
      </c>
    </row>
    <row r="411">
      <c r="A411" s="4" t="str">
        <f>IFERROR(__xludf.DUMMYFUNCTION("""COMPUTED_VALUE"""),"BOGO")</f>
        <v>BOGO</v>
      </c>
      <c r="B411" s="4" t="str">
        <f>IFERROR(__xludf.DUMMYFUNCTION("""COMPUTED_VALUE"""),"ITM012")</f>
        <v>ITM012</v>
      </c>
      <c r="C411" s="4" t="str">
        <f>IFERROR(__xludf.DUMMYFUNCTION("""COMPUTED_VALUE"""),"BROWN FOLDER (LONG)")</f>
        <v>BROWN FOLDER (LONG)</v>
      </c>
      <c r="D411" s="4">
        <f>IFERROR(__xludf.DUMMYFUNCTION("""COMPUTED_VALUE"""),30.0)</f>
        <v>30</v>
      </c>
      <c r="E411" s="4">
        <f>IFERROR(__xludf.DUMMYFUNCTION("""COMPUTED_VALUE"""),0.0)</f>
        <v>0</v>
      </c>
    </row>
    <row r="412">
      <c r="A412" s="4" t="str">
        <f>IFERROR(__xludf.DUMMYFUNCTION("""COMPUTED_VALUE"""),"BOGO")</f>
        <v>BOGO</v>
      </c>
      <c r="B412" s="4" t="str">
        <f>IFERROR(__xludf.DUMMYFUNCTION("""COMPUTED_VALUE"""),"ITM105")</f>
        <v>ITM105</v>
      </c>
      <c r="C412" s="4" t="str">
        <f>IFERROR(__xludf.DUMMYFUNCTION("""COMPUTED_VALUE"""),"FASTENER LONG")</f>
        <v>FASTENER LONG</v>
      </c>
      <c r="D412" s="4">
        <f>IFERROR(__xludf.DUMMYFUNCTION("""COMPUTED_VALUE"""),1.0)</f>
        <v>1</v>
      </c>
      <c r="E412" s="4">
        <f>IFERROR(__xludf.DUMMYFUNCTION("""COMPUTED_VALUE"""),0.0)</f>
        <v>0</v>
      </c>
    </row>
    <row r="413">
      <c r="A413" s="4" t="str">
        <f>IFERROR(__xludf.DUMMYFUNCTION("""COMPUTED_VALUE"""),"BOGO")</f>
        <v>BOGO</v>
      </c>
      <c r="B413" s="4" t="str">
        <f>IFERROR(__xludf.DUMMYFUNCTION("""COMPUTED_VALUE"""),"ITM056")</f>
        <v>ITM056</v>
      </c>
      <c r="C413" s="4" t="str">
        <f>IFERROR(__xludf.DUMMYFUNCTION("""COMPUTED_VALUE"""),"PRIDE SOAP POWDER")</f>
        <v>PRIDE SOAP POWDER</v>
      </c>
      <c r="D413" s="4">
        <f>IFERROR(__xludf.DUMMYFUNCTION("""COMPUTED_VALUE"""),6.0)</f>
        <v>6</v>
      </c>
      <c r="E413" s="4">
        <f>IFERROR(__xludf.DUMMYFUNCTION("""COMPUTED_VALUE"""),0.0)</f>
        <v>0</v>
      </c>
    </row>
    <row r="414">
      <c r="A414" s="4" t="str">
        <f>IFERROR(__xludf.DUMMYFUNCTION("""COMPUTED_VALUE"""),"BOGO")</f>
        <v>BOGO</v>
      </c>
      <c r="B414" s="4" t="str">
        <f>IFERROR(__xludf.DUMMYFUNCTION("""COMPUTED_VALUE"""),"ITM092")</f>
        <v>ITM092</v>
      </c>
      <c r="C414" s="4" t="str">
        <f>IFERROR(__xludf.DUMMYFUNCTION("""COMPUTED_VALUE"""),"RAGS")</f>
        <v>RAGS</v>
      </c>
      <c r="D414" s="4">
        <f>IFERROR(__xludf.DUMMYFUNCTION("""COMPUTED_VALUE"""),1.0)</f>
        <v>1</v>
      </c>
      <c r="E414" s="4">
        <f>IFERROR(__xludf.DUMMYFUNCTION("""COMPUTED_VALUE"""),0.0)</f>
        <v>0</v>
      </c>
    </row>
    <row r="415">
      <c r="A415" s="4" t="str">
        <f>IFERROR(__xludf.DUMMYFUNCTION("""COMPUTED_VALUE"""),"BOGO")</f>
        <v>BOGO</v>
      </c>
      <c r="B415" s="4" t="str">
        <f>IFERROR(__xludf.DUMMYFUNCTION("""COMPUTED_VALUE"""),"ITM006")</f>
        <v>ITM006</v>
      </c>
      <c r="C415" s="4" t="str">
        <f>IFERROR(__xludf.DUMMYFUNCTION("""COMPUTED_VALUE"""),"VELLUM PAPER")</f>
        <v>VELLUM PAPER</v>
      </c>
      <c r="D415" s="4">
        <f>IFERROR(__xludf.DUMMYFUNCTION("""COMPUTED_VALUE"""),30.0)</f>
        <v>30</v>
      </c>
      <c r="E415" s="4">
        <f>IFERROR(__xludf.DUMMYFUNCTION("""COMPUTED_VALUE"""),0.0)</f>
        <v>0</v>
      </c>
    </row>
    <row r="416">
      <c r="A416" s="4" t="str">
        <f>IFERROR(__xludf.DUMMYFUNCTION("""COMPUTED_VALUE"""),"BOGO")</f>
        <v>BOGO</v>
      </c>
      <c r="B416" s="4" t="str">
        <f>IFERROR(__xludf.DUMMYFUNCTION("""COMPUTED_VALUE"""),"ITM014")</f>
        <v>ITM014</v>
      </c>
      <c r="C416" s="4" t="str">
        <f>IFERROR(__xludf.DUMMYFUNCTION("""COMPUTED_VALUE"""),"WHITE FOLDER (LONG)")</f>
        <v>WHITE FOLDER (LONG)</v>
      </c>
      <c r="D416" s="4">
        <f>IFERROR(__xludf.DUMMYFUNCTION("""COMPUTED_VALUE"""),15.0)</f>
        <v>15</v>
      </c>
      <c r="E416" s="4">
        <f>IFERROR(__xludf.DUMMYFUNCTION("""COMPUTED_VALUE"""),0.0)</f>
        <v>0</v>
      </c>
    </row>
    <row r="417">
      <c r="A417" s="4" t="str">
        <f>IFERROR(__xludf.DUMMYFUNCTION("""COMPUTED_VALUE"""),"BOGO")</f>
        <v>BOGO</v>
      </c>
      <c r="B417" s="4" t="str">
        <f>IFERROR(__xludf.DUMMYFUNCTION("""COMPUTED_VALUE"""),"ITM089")</f>
        <v>ITM089</v>
      </c>
      <c r="C417" s="4" t="str">
        <f>IFERROR(__xludf.DUMMYFUNCTION("""COMPUTED_VALUE"""),"ZONROX (COLORSAFE)")</f>
        <v>ZONROX (COLORSAFE)</v>
      </c>
      <c r="D417" s="4">
        <f>IFERROR(__xludf.DUMMYFUNCTION("""COMPUTED_VALUE"""),1.0)</f>
        <v>1</v>
      </c>
      <c r="E417" s="4">
        <f>IFERROR(__xludf.DUMMYFUNCTION("""COMPUTED_VALUE"""),0.0)</f>
        <v>0</v>
      </c>
    </row>
    <row r="418">
      <c r="A418" s="4" t="str">
        <f>IFERROR(__xludf.DUMMYFUNCTION("""COMPUTED_VALUE"""),"BOGO")</f>
        <v>BOGO</v>
      </c>
      <c r="B418" s="4" t="str">
        <f>IFERROR(__xludf.DUMMYFUNCTION("""COMPUTED_VALUE"""),"ITM100")</f>
        <v>ITM100</v>
      </c>
      <c r="C418" s="4" t="str">
        <f>IFERROR(__xludf.DUMMYFUNCTION("""COMPUTED_VALUE"""),"INK BROTHER SET")</f>
        <v>INK BROTHER SET</v>
      </c>
      <c r="D418" s="4">
        <f>IFERROR(__xludf.DUMMYFUNCTION("""COMPUTED_VALUE"""),1.0)</f>
        <v>1</v>
      </c>
      <c r="E418" s="4">
        <f>IFERROR(__xludf.DUMMYFUNCTION("""COMPUTED_VALUE"""),0.0)</f>
        <v>0</v>
      </c>
    </row>
    <row r="419">
      <c r="A419" s="4" t="str">
        <f>IFERROR(__xludf.DUMMYFUNCTION("""COMPUTED_VALUE"""),"BALAMBAN")</f>
        <v>BALAMBAN</v>
      </c>
      <c r="B419" s="4" t="str">
        <f>IFERROR(__xludf.DUMMYFUNCTION("""COMPUTED_VALUE"""),"ITM071")</f>
        <v>ITM071</v>
      </c>
      <c r="C419" s="4" t="str">
        <f>IFERROR(__xludf.DUMMYFUNCTION("""COMPUTED_VALUE"""),"BINDER CLIPS 1 5/8 41MM")</f>
        <v>BINDER CLIPS 1 5/8 41MM</v>
      </c>
      <c r="D419" s="4">
        <f>IFERROR(__xludf.DUMMYFUNCTION("""COMPUTED_VALUE"""),1.0)</f>
        <v>1</v>
      </c>
      <c r="E419" s="4">
        <f>IFERROR(__xludf.DUMMYFUNCTION("""COMPUTED_VALUE"""),0.0)</f>
        <v>0</v>
      </c>
    </row>
    <row r="420">
      <c r="A420" s="4" t="str">
        <f>IFERROR(__xludf.DUMMYFUNCTION("""COMPUTED_VALUE"""),"BALAMBAN")</f>
        <v>BALAMBAN</v>
      </c>
      <c r="B420" s="4" t="str">
        <f>IFERROR(__xludf.DUMMYFUNCTION("""COMPUTED_VALUE"""),"ITM073")</f>
        <v>ITM073</v>
      </c>
      <c r="C420" s="4" t="str">
        <f>IFERROR(__xludf.DUMMYFUNCTION("""COMPUTED_VALUE"""),"BINDER CLIPS 1 INCHES")</f>
        <v>BINDER CLIPS 1 INCHES</v>
      </c>
      <c r="D420" s="4">
        <f>IFERROR(__xludf.DUMMYFUNCTION("""COMPUTED_VALUE"""),1.0)</f>
        <v>1</v>
      </c>
      <c r="E420" s="4">
        <f>IFERROR(__xludf.DUMMYFUNCTION("""COMPUTED_VALUE"""),0.0)</f>
        <v>0</v>
      </c>
    </row>
    <row r="421">
      <c r="A421" s="4" t="str">
        <f>IFERROR(__xludf.DUMMYFUNCTION("""COMPUTED_VALUE"""),"BALAMBAN")</f>
        <v>BALAMBAN</v>
      </c>
      <c r="B421" s="4" t="str">
        <f>IFERROR(__xludf.DUMMYFUNCTION("""COMPUTED_VALUE"""),"ITM003")</f>
        <v>ITM003</v>
      </c>
      <c r="C421" s="4" t="str">
        <f>IFERROR(__xludf.DUMMYFUNCTION("""COMPUTED_VALUE"""),"BOND PAPER A4")</f>
        <v>BOND PAPER A4</v>
      </c>
      <c r="D421" s="4">
        <f>IFERROR(__xludf.DUMMYFUNCTION("""COMPUTED_VALUE"""),1.0)</f>
        <v>1</v>
      </c>
      <c r="E421" s="4">
        <f>IFERROR(__xludf.DUMMYFUNCTION("""COMPUTED_VALUE"""),0.0)</f>
        <v>0</v>
      </c>
    </row>
    <row r="422">
      <c r="A422" s="4" t="str">
        <f>IFERROR(__xludf.DUMMYFUNCTION("""COMPUTED_VALUE"""),"BALAMBAN")</f>
        <v>BALAMBAN</v>
      </c>
      <c r="B422" s="4" t="str">
        <f>IFERROR(__xludf.DUMMYFUNCTION("""COMPUTED_VALUE"""),"ITM005")</f>
        <v>ITM005</v>
      </c>
      <c r="C422" s="4" t="str">
        <f>IFERROR(__xludf.DUMMYFUNCTION("""COMPUTED_VALUE"""),"BOND PAPER NEWSPRINT (LONG)")</f>
        <v>BOND PAPER NEWSPRINT (LONG)</v>
      </c>
      <c r="D422" s="4">
        <f>IFERROR(__xludf.DUMMYFUNCTION("""COMPUTED_VALUE"""),1.0)</f>
        <v>1</v>
      </c>
      <c r="E422" s="4">
        <f>IFERROR(__xludf.DUMMYFUNCTION("""COMPUTED_VALUE"""),0.0)</f>
        <v>0</v>
      </c>
    </row>
    <row r="423">
      <c r="A423" s="4" t="str">
        <f>IFERROR(__xludf.DUMMYFUNCTION("""COMPUTED_VALUE"""),"BALAMBAN")</f>
        <v>BALAMBAN</v>
      </c>
      <c r="B423" s="4" t="str">
        <f>IFERROR(__xludf.DUMMYFUNCTION("""COMPUTED_VALUE"""),"ITM012")</f>
        <v>ITM012</v>
      </c>
      <c r="C423" s="4" t="str">
        <f>IFERROR(__xludf.DUMMYFUNCTION("""COMPUTED_VALUE"""),"BROWN FOLDER (LONG)")</f>
        <v>BROWN FOLDER (LONG)</v>
      </c>
      <c r="D423" s="4">
        <f>IFERROR(__xludf.DUMMYFUNCTION("""COMPUTED_VALUE"""),10.0)</f>
        <v>10</v>
      </c>
      <c r="E423" s="4">
        <f>IFERROR(__xludf.DUMMYFUNCTION("""COMPUTED_VALUE"""),0.0)</f>
        <v>0</v>
      </c>
    </row>
    <row r="424">
      <c r="A424" s="4" t="str">
        <f>IFERROR(__xludf.DUMMYFUNCTION("""COMPUTED_VALUE"""),"BALAMBAN")</f>
        <v>BALAMBAN</v>
      </c>
      <c r="B424" s="4" t="str">
        <f>IFERROR(__xludf.DUMMYFUNCTION("""COMPUTED_VALUE"""),"ITM027")</f>
        <v>ITM027</v>
      </c>
      <c r="C424" s="4" t="str">
        <f>IFERROR(__xludf.DUMMYFUNCTION("""COMPUTED_VALUE"""),"CORRECTION TAPE")</f>
        <v>CORRECTION TAPE</v>
      </c>
      <c r="D424" s="4">
        <f>IFERROR(__xludf.DUMMYFUNCTION("""COMPUTED_VALUE"""),2.0)</f>
        <v>2</v>
      </c>
      <c r="E424" s="4">
        <f>IFERROR(__xludf.DUMMYFUNCTION("""COMPUTED_VALUE"""),0.0)</f>
        <v>0</v>
      </c>
    </row>
    <row r="425">
      <c r="A425" s="4" t="str">
        <f>IFERROR(__xludf.DUMMYFUNCTION("""COMPUTED_VALUE"""),"BALAMBAN")</f>
        <v>BALAMBAN</v>
      </c>
      <c r="B425" s="4" t="str">
        <f>IFERROR(__xludf.DUMMYFUNCTION("""COMPUTED_VALUE"""),"ITM040")</f>
        <v>ITM040</v>
      </c>
      <c r="C425" s="4" t="str">
        <f>IFERROR(__xludf.DUMMYFUNCTION("""COMPUTED_VALUE"""),"DOUBLE-SIDED TAPE (1 INCH)")</f>
        <v>DOUBLE-SIDED TAPE (1 INCH)</v>
      </c>
      <c r="D425" s="4">
        <f>IFERROR(__xludf.DUMMYFUNCTION("""COMPUTED_VALUE"""),1.0)</f>
        <v>1</v>
      </c>
      <c r="E425" s="4">
        <f>IFERROR(__xludf.DUMMYFUNCTION("""COMPUTED_VALUE"""),0.0)</f>
        <v>0</v>
      </c>
    </row>
    <row r="426">
      <c r="A426" s="4" t="str">
        <f>IFERROR(__xludf.DUMMYFUNCTION("""COMPUTED_VALUE"""),"BALAMBAN")</f>
        <v>BALAMBAN</v>
      </c>
      <c r="B426" s="4" t="str">
        <f>IFERROR(__xludf.DUMMYFUNCTION("""COMPUTED_VALUE"""),"ITM062")</f>
        <v>ITM062</v>
      </c>
      <c r="C426" s="4" t="str">
        <f>IFERROR(__xludf.DUMMYFUNCTION("""COMPUTED_VALUE"""),"DOWNY")</f>
        <v>DOWNY</v>
      </c>
      <c r="D426" s="4">
        <f>IFERROR(__xludf.DUMMYFUNCTION("""COMPUTED_VALUE"""),2.0)</f>
        <v>2</v>
      </c>
      <c r="E426" s="4">
        <f>IFERROR(__xludf.DUMMYFUNCTION("""COMPUTED_VALUE"""),0.0)</f>
        <v>0</v>
      </c>
    </row>
    <row r="427">
      <c r="A427" s="4" t="str">
        <f>IFERROR(__xludf.DUMMYFUNCTION("""COMPUTED_VALUE"""),"BALAMBAN")</f>
        <v>BALAMBAN</v>
      </c>
      <c r="B427" s="4" t="str">
        <f>IFERROR(__xludf.DUMMYFUNCTION("""COMPUTED_VALUE"""),"ITM019")</f>
        <v>ITM019</v>
      </c>
      <c r="C427" s="4" t="str">
        <f>IFERROR(__xludf.DUMMYFUNCTION("""COMPUTED_VALUE"""),"FLEXSTICK BLACK BALLPEN (0.5)")</f>
        <v>FLEXSTICK BLACK BALLPEN (0.5)</v>
      </c>
      <c r="D427" s="4">
        <f>IFERROR(__xludf.DUMMYFUNCTION("""COMPUTED_VALUE"""),7.0)</f>
        <v>7</v>
      </c>
      <c r="E427" s="4">
        <f>IFERROR(__xludf.DUMMYFUNCTION("""COMPUTED_VALUE"""),0.0)</f>
        <v>0</v>
      </c>
    </row>
    <row r="428">
      <c r="A428" s="4" t="str">
        <f>IFERROR(__xludf.DUMMYFUNCTION("""COMPUTED_VALUE"""),"BALAMBAN")</f>
        <v>BALAMBAN</v>
      </c>
      <c r="B428" s="4" t="str">
        <f>IFERROR(__xludf.DUMMYFUNCTION("""COMPUTED_VALUE"""),"ITM038")</f>
        <v>ITM038</v>
      </c>
      <c r="C428" s="4" t="str">
        <f>IFERROR(__xludf.DUMMYFUNCTION("""COMPUTED_VALUE"""),"MASKING TAPE")</f>
        <v>MASKING TAPE</v>
      </c>
      <c r="D428" s="4">
        <f>IFERROR(__xludf.DUMMYFUNCTION("""COMPUTED_VALUE"""),1.0)</f>
        <v>1</v>
      </c>
      <c r="E428" s="4">
        <f>IFERROR(__xludf.DUMMYFUNCTION("""COMPUTED_VALUE"""),0.0)</f>
        <v>0</v>
      </c>
    </row>
    <row r="429">
      <c r="A429" s="4" t="str">
        <f>IFERROR(__xludf.DUMMYFUNCTION("""COMPUTED_VALUE"""),"BALAMBAN")</f>
        <v>BALAMBAN</v>
      </c>
      <c r="B429" s="4" t="str">
        <f>IFERROR(__xludf.DUMMYFUNCTION("""COMPUTED_VALUE"""),"ITM056")</f>
        <v>ITM056</v>
      </c>
      <c r="C429" s="4" t="str">
        <f>IFERROR(__xludf.DUMMYFUNCTION("""COMPUTED_VALUE"""),"PRIDE SOAP POWDER")</f>
        <v>PRIDE SOAP POWDER</v>
      </c>
      <c r="D429" s="4">
        <f>IFERROR(__xludf.DUMMYFUNCTION("""COMPUTED_VALUE"""),6.0)</f>
        <v>6</v>
      </c>
      <c r="E429" s="4">
        <f>IFERROR(__xludf.DUMMYFUNCTION("""COMPUTED_VALUE"""),0.0)</f>
        <v>0</v>
      </c>
    </row>
    <row r="430">
      <c r="A430" s="4" t="str">
        <f>IFERROR(__xludf.DUMMYFUNCTION("""COMPUTED_VALUE"""),"BALAMBAN")</f>
        <v>BALAMBAN</v>
      </c>
      <c r="B430" s="4" t="str">
        <f>IFERROR(__xludf.DUMMYFUNCTION("""COMPUTED_VALUE"""),"ITM092")</f>
        <v>ITM092</v>
      </c>
      <c r="C430" s="4" t="str">
        <f>IFERROR(__xludf.DUMMYFUNCTION("""COMPUTED_VALUE"""),"RAGS")</f>
        <v>RAGS</v>
      </c>
      <c r="D430" s="4">
        <f>IFERROR(__xludf.DUMMYFUNCTION("""COMPUTED_VALUE"""),1.0)</f>
        <v>1</v>
      </c>
      <c r="E430" s="4">
        <f>IFERROR(__xludf.DUMMYFUNCTION("""COMPUTED_VALUE"""),0.0)</f>
        <v>0</v>
      </c>
    </row>
    <row r="431">
      <c r="A431" s="4" t="str">
        <f>IFERROR(__xludf.DUMMYFUNCTION("""COMPUTED_VALUE"""),"BALAMBAN")</f>
        <v>BALAMBAN</v>
      </c>
      <c r="B431" s="4" t="str">
        <f>IFERROR(__xludf.DUMMYFUNCTION("""COMPUTED_VALUE"""),"ITM036")</f>
        <v>ITM036</v>
      </c>
      <c r="C431" s="4" t="str">
        <f>IFERROR(__xludf.DUMMYFUNCTION("""COMPUTED_VALUE"""),"SCOTCH TAPE (1 INCH)")</f>
        <v>SCOTCH TAPE (1 INCH)</v>
      </c>
      <c r="D431" s="4">
        <f>IFERROR(__xludf.DUMMYFUNCTION("""COMPUTED_VALUE"""),2.0)</f>
        <v>2</v>
      </c>
      <c r="E431" s="4">
        <f>IFERROR(__xludf.DUMMYFUNCTION("""COMPUTED_VALUE"""),0.0)</f>
        <v>0</v>
      </c>
    </row>
    <row r="432">
      <c r="A432" s="4" t="str">
        <f>IFERROR(__xludf.DUMMYFUNCTION("""COMPUTED_VALUE"""),"BALAMBAN")</f>
        <v>BALAMBAN</v>
      </c>
      <c r="B432" s="4" t="str">
        <f>IFERROR(__xludf.DUMMYFUNCTION("""COMPUTED_VALUE"""),"ITM006")</f>
        <v>ITM006</v>
      </c>
      <c r="C432" s="4" t="str">
        <f>IFERROR(__xludf.DUMMYFUNCTION("""COMPUTED_VALUE"""),"VELLUM PAPER")</f>
        <v>VELLUM PAPER</v>
      </c>
      <c r="D432" s="4">
        <f>IFERROR(__xludf.DUMMYFUNCTION("""COMPUTED_VALUE"""),15.0)</f>
        <v>15</v>
      </c>
      <c r="E432" s="4">
        <f>IFERROR(__xludf.DUMMYFUNCTION("""COMPUTED_VALUE"""),0.0)</f>
        <v>0</v>
      </c>
    </row>
    <row r="433">
      <c r="A433" s="4" t="str">
        <f>IFERROR(__xludf.DUMMYFUNCTION("""COMPUTED_VALUE"""),"BALAMBAN")</f>
        <v>BALAMBAN</v>
      </c>
      <c r="B433" s="4" t="str">
        <f>IFERROR(__xludf.DUMMYFUNCTION("""COMPUTED_VALUE"""),"ITM089")</f>
        <v>ITM089</v>
      </c>
      <c r="C433" s="4" t="str">
        <f>IFERROR(__xludf.DUMMYFUNCTION("""COMPUTED_VALUE"""),"ZONROX (COLORSAFE)")</f>
        <v>ZONROX (COLORSAFE)</v>
      </c>
      <c r="D433" s="4">
        <f>IFERROR(__xludf.DUMMYFUNCTION("""COMPUTED_VALUE"""),1.0)</f>
        <v>1</v>
      </c>
      <c r="E433" s="4">
        <f>IFERROR(__xludf.DUMMYFUNCTION("""COMPUTED_VALUE"""),0.0)</f>
        <v>0</v>
      </c>
    </row>
    <row r="434">
      <c r="A434" s="4" t="str">
        <f>IFERROR(__xludf.DUMMYFUNCTION("""COMPUTED_VALUE"""),"Y3S BARILI")</f>
        <v>Y3S BARILI</v>
      </c>
      <c r="B434" s="4" t="str">
        <f>IFERROR(__xludf.DUMMYFUNCTION("""COMPUTED_VALUE"""),"ITM087")</f>
        <v>ITM087</v>
      </c>
      <c r="C434" s="4" t="str">
        <f>IFERROR(__xludf.DUMMYFUNCTION("""COMPUTED_VALUE"""),"ALBATROSS")</f>
        <v>ALBATROSS</v>
      </c>
      <c r="D434" s="4">
        <f>IFERROR(__xludf.DUMMYFUNCTION("""COMPUTED_VALUE"""),1.0)</f>
        <v>1</v>
      </c>
      <c r="E434" s="4">
        <f>IFERROR(__xludf.DUMMYFUNCTION("""COMPUTED_VALUE"""),0.0)</f>
        <v>0</v>
      </c>
    </row>
    <row r="435">
      <c r="A435" s="4" t="str">
        <f>IFERROR(__xludf.DUMMYFUNCTION("""COMPUTED_VALUE"""),"Y3S BARILI")</f>
        <v>Y3S BARILI</v>
      </c>
      <c r="B435" s="4" t="str">
        <f>IFERROR(__xludf.DUMMYFUNCTION("""COMPUTED_VALUE"""),"ITM073")</f>
        <v>ITM073</v>
      </c>
      <c r="C435" s="4" t="str">
        <f>IFERROR(__xludf.DUMMYFUNCTION("""COMPUTED_VALUE"""),"BINDER CLIPS 1 INCHES")</f>
        <v>BINDER CLIPS 1 INCHES</v>
      </c>
      <c r="D435" s="4">
        <f>IFERROR(__xludf.DUMMYFUNCTION("""COMPUTED_VALUE"""),1.0)</f>
        <v>1</v>
      </c>
      <c r="E435" s="4">
        <f>IFERROR(__xludf.DUMMYFUNCTION("""COMPUTED_VALUE"""),0.0)</f>
        <v>0</v>
      </c>
    </row>
    <row r="436">
      <c r="A436" s="4" t="str">
        <f>IFERROR(__xludf.DUMMYFUNCTION("""COMPUTED_VALUE"""),"Y3S BARILI")</f>
        <v>Y3S BARILI</v>
      </c>
      <c r="B436" s="4" t="str">
        <f>IFERROR(__xludf.DUMMYFUNCTION("""COMPUTED_VALUE"""),"ITM070")</f>
        <v>ITM070</v>
      </c>
      <c r="C436" s="4" t="str">
        <f>IFERROR(__xludf.DUMMYFUNCTION("""COMPUTED_VALUE"""),"BINDER CLIPS 2 INCHES")</f>
        <v>BINDER CLIPS 2 INCHES</v>
      </c>
      <c r="D436" s="4">
        <f>IFERROR(__xludf.DUMMYFUNCTION("""COMPUTED_VALUE"""),1.0)</f>
        <v>1</v>
      </c>
      <c r="E436" s="4">
        <f>IFERROR(__xludf.DUMMYFUNCTION("""COMPUTED_VALUE"""),0.0)</f>
        <v>0</v>
      </c>
    </row>
    <row r="437">
      <c r="A437" s="4" t="str">
        <f>IFERROR(__xludf.DUMMYFUNCTION("""COMPUTED_VALUE"""),"Y3S BARILI")</f>
        <v>Y3S BARILI</v>
      </c>
      <c r="B437" s="4" t="str">
        <f>IFERROR(__xludf.DUMMYFUNCTION("""COMPUTED_VALUE"""),"ITM001")</f>
        <v>ITM001</v>
      </c>
      <c r="C437" s="4" t="str">
        <f>IFERROR(__xludf.DUMMYFUNCTION("""COMPUTED_VALUE"""),"BOND PAPER (LONG)")</f>
        <v>BOND PAPER (LONG)</v>
      </c>
      <c r="D437" s="4">
        <f>IFERROR(__xludf.DUMMYFUNCTION("""COMPUTED_VALUE"""),1.0)</f>
        <v>1</v>
      </c>
      <c r="E437" s="4">
        <f>IFERROR(__xludf.DUMMYFUNCTION("""COMPUTED_VALUE"""),0.0)</f>
        <v>0</v>
      </c>
    </row>
    <row r="438">
      <c r="A438" s="4" t="str">
        <f>IFERROR(__xludf.DUMMYFUNCTION("""COMPUTED_VALUE"""),"Y3S BARILI")</f>
        <v>Y3S BARILI</v>
      </c>
      <c r="B438" s="4" t="str">
        <f>IFERROR(__xludf.DUMMYFUNCTION("""COMPUTED_VALUE"""),"ITM002")</f>
        <v>ITM002</v>
      </c>
      <c r="C438" s="4" t="str">
        <f>IFERROR(__xludf.DUMMYFUNCTION("""COMPUTED_VALUE"""),"BOND PAPER (SHORT)")</f>
        <v>BOND PAPER (SHORT)</v>
      </c>
      <c r="D438" s="4">
        <f>IFERROR(__xludf.DUMMYFUNCTION("""COMPUTED_VALUE"""),1.0)</f>
        <v>1</v>
      </c>
      <c r="E438" s="4">
        <f>IFERROR(__xludf.DUMMYFUNCTION("""COMPUTED_VALUE"""),0.0)</f>
        <v>0</v>
      </c>
    </row>
    <row r="439">
      <c r="A439" s="4" t="str">
        <f>IFERROR(__xludf.DUMMYFUNCTION("""COMPUTED_VALUE"""),"Y3S BARILI")</f>
        <v>Y3S BARILI</v>
      </c>
      <c r="B439" s="4" t="str">
        <f>IFERROR(__xludf.DUMMYFUNCTION("""COMPUTED_VALUE"""),"ITM012")</f>
        <v>ITM012</v>
      </c>
      <c r="C439" s="4" t="str">
        <f>IFERROR(__xludf.DUMMYFUNCTION("""COMPUTED_VALUE"""),"BROWN FOLDER (LONG)")</f>
        <v>BROWN FOLDER (LONG)</v>
      </c>
      <c r="D439" s="4">
        <f>IFERROR(__xludf.DUMMYFUNCTION("""COMPUTED_VALUE"""),20.0)</f>
        <v>20</v>
      </c>
      <c r="E439" s="4">
        <f>IFERROR(__xludf.DUMMYFUNCTION("""COMPUTED_VALUE"""),0.0)</f>
        <v>0</v>
      </c>
    </row>
    <row r="440">
      <c r="A440" s="4" t="str">
        <f>IFERROR(__xludf.DUMMYFUNCTION("""COMPUTED_VALUE"""),"Y3S BARILI")</f>
        <v>Y3S BARILI</v>
      </c>
      <c r="B440" s="4" t="str">
        <f>IFERROR(__xludf.DUMMYFUNCTION("""COMPUTED_VALUE"""),"ITM082")</f>
        <v>ITM082</v>
      </c>
      <c r="C440" s="4" t="str">
        <f>IFERROR(__xludf.DUMMYFUNCTION("""COMPUTED_VALUE"""),"BROWN SUGAR")</f>
        <v>BROWN SUGAR</v>
      </c>
      <c r="D440" s="4">
        <f>IFERROR(__xludf.DUMMYFUNCTION("""COMPUTED_VALUE"""),1.0)</f>
        <v>1</v>
      </c>
      <c r="E440" s="4">
        <f>IFERROR(__xludf.DUMMYFUNCTION("""COMPUTED_VALUE"""),0.0)</f>
        <v>0</v>
      </c>
    </row>
    <row r="441">
      <c r="A441" s="4" t="str">
        <f>IFERROR(__xludf.DUMMYFUNCTION("""COMPUTED_VALUE"""),"Y3S BARILI")</f>
        <v>Y3S BARILI</v>
      </c>
      <c r="B441" s="4" t="str">
        <f>IFERROR(__xludf.DUMMYFUNCTION("""COMPUTED_VALUE"""),"ITM028")</f>
        <v>ITM028</v>
      </c>
      <c r="C441" s="4" t="str">
        <f>IFERROR(__xludf.DUMMYFUNCTION("""COMPUTED_VALUE"""),"CANDIES")</f>
        <v>CANDIES</v>
      </c>
      <c r="D441" s="4">
        <f>IFERROR(__xludf.DUMMYFUNCTION("""COMPUTED_VALUE"""),30.0)</f>
        <v>30</v>
      </c>
      <c r="E441" s="4">
        <f>IFERROR(__xludf.DUMMYFUNCTION("""COMPUTED_VALUE"""),0.0)</f>
        <v>0</v>
      </c>
    </row>
    <row r="442">
      <c r="A442" s="4" t="str">
        <f>IFERROR(__xludf.DUMMYFUNCTION("""COMPUTED_VALUE"""),"Y3S BARILI")</f>
        <v>Y3S BARILI</v>
      </c>
      <c r="B442" s="4" t="str">
        <f>IFERROR(__xludf.DUMMYFUNCTION("""COMPUTED_VALUE"""),"ITM009")</f>
        <v>ITM009</v>
      </c>
      <c r="C442" s="4" t="str">
        <f>IFERROR(__xludf.DUMMYFUNCTION("""COMPUTED_VALUE"""),"CARBON PAPER (LONG BLUE)")</f>
        <v>CARBON PAPER (LONG BLUE)</v>
      </c>
      <c r="D442" s="4">
        <f>IFERROR(__xludf.DUMMYFUNCTION("""COMPUTED_VALUE"""),10.0)</f>
        <v>10</v>
      </c>
      <c r="E442" s="4">
        <f>IFERROR(__xludf.DUMMYFUNCTION("""COMPUTED_VALUE"""),0.0)</f>
        <v>0</v>
      </c>
    </row>
    <row r="443">
      <c r="A443" s="4" t="str">
        <f>IFERROR(__xludf.DUMMYFUNCTION("""COMPUTED_VALUE"""),"Y3S BARILI")</f>
        <v>Y3S BARILI</v>
      </c>
      <c r="B443" s="4" t="str">
        <f>IFERROR(__xludf.DUMMYFUNCTION("""COMPUTED_VALUE"""),"ITM078")</f>
        <v>ITM078</v>
      </c>
      <c r="C443" s="4" t="str">
        <f>IFERROR(__xludf.DUMMYFUNCTION("""COMPUTED_VALUE"""),"COFFEE CUPS")</f>
        <v>COFFEE CUPS</v>
      </c>
      <c r="D443" s="4">
        <f>IFERROR(__xludf.DUMMYFUNCTION("""COMPUTED_VALUE"""),1.0)</f>
        <v>1</v>
      </c>
      <c r="E443" s="4">
        <f>IFERROR(__xludf.DUMMYFUNCTION("""COMPUTED_VALUE"""),0.0)</f>
        <v>0</v>
      </c>
    </row>
    <row r="444">
      <c r="A444" s="4" t="str">
        <f>IFERROR(__xludf.DUMMYFUNCTION("""COMPUTED_VALUE"""),"Y3S BARILI")</f>
        <v>Y3S BARILI</v>
      </c>
      <c r="B444" s="4" t="str">
        <f>IFERROR(__xludf.DUMMYFUNCTION("""COMPUTED_VALUE"""),"ITM080")</f>
        <v>ITM080</v>
      </c>
      <c r="C444" s="4" t="str">
        <f>IFERROR(__xludf.DUMMYFUNCTION("""COMPUTED_VALUE"""),"COFFEE STICK")</f>
        <v>COFFEE STICK</v>
      </c>
      <c r="D444" s="4">
        <f>IFERROR(__xludf.DUMMYFUNCTION("""COMPUTED_VALUE"""),1.0)</f>
        <v>1</v>
      </c>
      <c r="E444" s="4">
        <f>IFERROR(__xludf.DUMMYFUNCTION("""COMPUTED_VALUE"""),0.0)</f>
        <v>0</v>
      </c>
    </row>
    <row r="445">
      <c r="A445" s="4" t="str">
        <f>IFERROR(__xludf.DUMMYFUNCTION("""COMPUTED_VALUE"""),"Y3S BARILI")</f>
        <v>Y3S BARILI</v>
      </c>
      <c r="B445" s="4" t="str">
        <f>IFERROR(__xludf.DUMMYFUNCTION("""COMPUTED_VALUE"""),"ITM081")</f>
        <v>ITM081</v>
      </c>
      <c r="C445" s="4" t="str">
        <f>IFERROR(__xludf.DUMMYFUNCTION("""COMPUTED_VALUE"""),"CREAMER")</f>
        <v>CREAMER</v>
      </c>
      <c r="D445" s="4">
        <f>IFERROR(__xludf.DUMMYFUNCTION("""COMPUTED_VALUE"""),1.0)</f>
        <v>1</v>
      </c>
      <c r="E445" s="4">
        <f>IFERROR(__xludf.DUMMYFUNCTION("""COMPUTED_VALUE"""),0.0)</f>
        <v>0</v>
      </c>
    </row>
    <row r="446">
      <c r="A446" s="4" t="str">
        <f>IFERROR(__xludf.DUMMYFUNCTION("""COMPUTED_VALUE"""),"Y3S BARILI")</f>
        <v>Y3S BARILI</v>
      </c>
      <c r="B446" s="4" t="str">
        <f>IFERROR(__xludf.DUMMYFUNCTION("""COMPUTED_VALUE"""),"ITM062")</f>
        <v>ITM062</v>
      </c>
      <c r="C446" s="4" t="str">
        <f>IFERROR(__xludf.DUMMYFUNCTION("""COMPUTED_VALUE"""),"DOWNY")</f>
        <v>DOWNY</v>
      </c>
      <c r="D446" s="4">
        <f>IFERROR(__xludf.DUMMYFUNCTION("""COMPUTED_VALUE"""),6.0)</f>
        <v>6</v>
      </c>
      <c r="E446" s="4">
        <f>IFERROR(__xludf.DUMMYFUNCTION("""COMPUTED_VALUE"""),0.0)</f>
        <v>0</v>
      </c>
    </row>
    <row r="447">
      <c r="A447" s="4" t="str">
        <f>IFERROR(__xludf.DUMMYFUNCTION("""COMPUTED_VALUE"""),"Y3S BARILI")</f>
        <v>Y3S BARILI</v>
      </c>
      <c r="B447" s="4" t="str">
        <f>IFERROR(__xludf.DUMMYFUNCTION("""COMPUTED_VALUE"""),"ITM079")</f>
        <v>ITM079</v>
      </c>
      <c r="C447" s="4" t="str">
        <f>IFERROR(__xludf.DUMMYFUNCTION("""COMPUTED_VALUE"""),"DRINKING CUPS")</f>
        <v>DRINKING CUPS</v>
      </c>
      <c r="D447" s="4">
        <f>IFERROR(__xludf.DUMMYFUNCTION("""COMPUTED_VALUE"""),1.0)</f>
        <v>1</v>
      </c>
      <c r="E447" s="4">
        <f>IFERROR(__xludf.DUMMYFUNCTION("""COMPUTED_VALUE"""),0.0)</f>
        <v>0</v>
      </c>
    </row>
    <row r="448">
      <c r="A448" s="4" t="str">
        <f>IFERROR(__xludf.DUMMYFUNCTION("""COMPUTED_VALUE"""),"Y3S BARILI")</f>
        <v>Y3S BARILI</v>
      </c>
      <c r="B448" s="4" t="str">
        <f>IFERROR(__xludf.DUMMYFUNCTION("""COMPUTED_VALUE"""),"ITM067")</f>
        <v>ITM067</v>
      </c>
      <c r="C448" s="4" t="str">
        <f>IFERROR(__xludf.DUMMYFUNCTION("""COMPUTED_VALUE"""),"FASTENER")</f>
        <v>FASTENER</v>
      </c>
      <c r="D448" s="4">
        <f>IFERROR(__xludf.DUMMYFUNCTION("""COMPUTED_VALUE"""),1.0)</f>
        <v>1</v>
      </c>
      <c r="E448" s="4">
        <f>IFERROR(__xludf.DUMMYFUNCTION("""COMPUTED_VALUE"""),0.0)</f>
        <v>0</v>
      </c>
    </row>
    <row r="449">
      <c r="A449" s="4" t="str">
        <f>IFERROR(__xludf.DUMMYFUNCTION("""COMPUTED_VALUE"""),"Y3S BARILI")</f>
        <v>Y3S BARILI</v>
      </c>
      <c r="B449" s="4" t="str">
        <f>IFERROR(__xludf.DUMMYFUNCTION("""COMPUTED_VALUE"""),"ITM038")</f>
        <v>ITM038</v>
      </c>
      <c r="C449" s="4" t="str">
        <f>IFERROR(__xludf.DUMMYFUNCTION("""COMPUTED_VALUE"""),"MASKING TAPE")</f>
        <v>MASKING TAPE</v>
      </c>
      <c r="D449" s="4">
        <f>IFERROR(__xludf.DUMMYFUNCTION("""COMPUTED_VALUE"""),2.0)</f>
        <v>2</v>
      </c>
      <c r="E449" s="4">
        <f>IFERROR(__xludf.DUMMYFUNCTION("""COMPUTED_VALUE"""),0.0)</f>
        <v>0</v>
      </c>
    </row>
    <row r="450">
      <c r="A450" s="4" t="str">
        <f>IFERROR(__xludf.DUMMYFUNCTION("""COMPUTED_VALUE"""),"Y3S BARILI")</f>
        <v>Y3S BARILI</v>
      </c>
      <c r="B450" s="4" t="str">
        <f>IFERROR(__xludf.DUMMYFUNCTION("""COMPUTED_VALUE"""),"ITM056")</f>
        <v>ITM056</v>
      </c>
      <c r="C450" s="4" t="str">
        <f>IFERROR(__xludf.DUMMYFUNCTION("""COMPUTED_VALUE"""),"PRIDE SOAP POWDER")</f>
        <v>PRIDE SOAP POWDER</v>
      </c>
      <c r="D450" s="4">
        <f>IFERROR(__xludf.DUMMYFUNCTION("""COMPUTED_VALUE"""),12.0)</f>
        <v>12</v>
      </c>
      <c r="E450" s="4">
        <f>IFERROR(__xludf.DUMMYFUNCTION("""COMPUTED_VALUE"""),0.0)</f>
        <v>0</v>
      </c>
    </row>
    <row r="451">
      <c r="A451" s="4" t="str">
        <f>IFERROR(__xludf.DUMMYFUNCTION("""COMPUTED_VALUE"""),"Y3S BARILI")</f>
        <v>Y3S BARILI</v>
      </c>
      <c r="B451" s="4" t="str">
        <f>IFERROR(__xludf.DUMMYFUNCTION("""COMPUTED_VALUE"""),"ITM058")</f>
        <v>ITM058</v>
      </c>
      <c r="C451" s="4" t="str">
        <f>IFERROR(__xludf.DUMMYFUNCTION("""COMPUTED_VALUE"""),"STAMP PAD INK BLUE 30ML")</f>
        <v>STAMP PAD INK BLUE 30ML</v>
      </c>
      <c r="D451" s="4">
        <f>IFERROR(__xludf.DUMMYFUNCTION("""COMPUTED_VALUE"""),1.0)</f>
        <v>1</v>
      </c>
      <c r="E451" s="4">
        <f>IFERROR(__xludf.DUMMYFUNCTION("""COMPUTED_VALUE"""),0.0)</f>
        <v>0</v>
      </c>
    </row>
    <row r="452">
      <c r="A452" s="4" t="str">
        <f>IFERROR(__xludf.DUMMYFUNCTION("""COMPUTED_VALUE"""),"Y3S BARILI")</f>
        <v>Y3S BARILI</v>
      </c>
      <c r="B452" s="4" t="str">
        <f>IFERROR(__xludf.DUMMYFUNCTION("""COMPUTED_VALUE"""),"ITM083")</f>
        <v>ITM083</v>
      </c>
      <c r="C452" s="4" t="str">
        <f>IFERROR(__xludf.DUMMYFUNCTION("""COMPUTED_VALUE"""),"STIRRER")</f>
        <v>STIRRER</v>
      </c>
      <c r="D452" s="4">
        <f>IFERROR(__xludf.DUMMYFUNCTION("""COMPUTED_VALUE"""),50.0)</f>
        <v>50</v>
      </c>
      <c r="E452" s="4">
        <f>IFERROR(__xludf.DUMMYFUNCTION("""COMPUTED_VALUE"""),0.0)</f>
        <v>0</v>
      </c>
    </row>
    <row r="453">
      <c r="A453" s="4" t="str">
        <f>IFERROR(__xludf.DUMMYFUNCTION("""COMPUTED_VALUE"""),"Y3S BARILI")</f>
        <v>Y3S BARILI</v>
      </c>
      <c r="B453" s="4" t="str">
        <f>IFERROR(__xludf.DUMMYFUNCTION("""COMPUTED_VALUE"""),"ITM084")</f>
        <v>ITM084</v>
      </c>
      <c r="C453" s="4" t="str">
        <f>IFERROR(__xludf.DUMMYFUNCTION("""COMPUTED_VALUE"""),"SUPER COLOR MARKER REFILL INK (BLACK)")</f>
        <v>SUPER COLOR MARKER REFILL INK (BLACK)</v>
      </c>
      <c r="D453" s="4">
        <f>IFERROR(__xludf.DUMMYFUNCTION("""COMPUTED_VALUE"""),1.0)</f>
        <v>1</v>
      </c>
      <c r="E453" s="4">
        <f>IFERROR(__xludf.DUMMYFUNCTION("""COMPUTED_VALUE"""),0.0)</f>
        <v>0</v>
      </c>
    </row>
    <row r="454">
      <c r="A454" s="4" t="str">
        <f>IFERROR(__xludf.DUMMYFUNCTION("""COMPUTED_VALUE"""),"Y3S BARILI")</f>
        <v>Y3S BARILI</v>
      </c>
      <c r="B454" s="4" t="str">
        <f>IFERROR(__xludf.DUMMYFUNCTION("""COMPUTED_VALUE"""),"ITM098")</f>
        <v>ITM098</v>
      </c>
      <c r="C454" s="4" t="str">
        <f>IFERROR(__xludf.DUMMYFUNCTION("""COMPUTED_VALUE"""),"TISSUE PAPER")</f>
        <v>TISSUE PAPER</v>
      </c>
      <c r="D454" s="4">
        <f>IFERROR(__xludf.DUMMYFUNCTION("""COMPUTED_VALUE"""),3.0)</f>
        <v>3</v>
      </c>
      <c r="E454" s="4">
        <f>IFERROR(__xludf.DUMMYFUNCTION("""COMPUTED_VALUE"""),0.0)</f>
        <v>0</v>
      </c>
    </row>
    <row r="455">
      <c r="A455" s="4" t="str">
        <f>IFERROR(__xludf.DUMMYFUNCTION("""COMPUTED_VALUE"""),"Y3S BARILI")</f>
        <v>Y3S BARILI</v>
      </c>
      <c r="B455" s="4" t="str">
        <f>IFERROR(__xludf.DUMMYFUNCTION("""COMPUTED_VALUE"""),"ITM096")</f>
        <v>ITM096</v>
      </c>
      <c r="C455" s="4" t="str">
        <f>IFERROR(__xludf.DUMMYFUNCTION("""COMPUTED_VALUE"""),"TRASH BAG (MEDIUM)")</f>
        <v>TRASH BAG (MEDIUM)</v>
      </c>
      <c r="D455" s="4">
        <f>IFERROR(__xludf.DUMMYFUNCTION("""COMPUTED_VALUE"""),2.0)</f>
        <v>2</v>
      </c>
      <c r="E455" s="4">
        <f>IFERROR(__xludf.DUMMYFUNCTION("""COMPUTED_VALUE"""),0.0)</f>
        <v>0</v>
      </c>
    </row>
    <row r="456">
      <c r="A456" s="4" t="str">
        <f>IFERROR(__xludf.DUMMYFUNCTION("""COMPUTED_VALUE"""),"Y3S BARILI")</f>
        <v>Y3S BARILI</v>
      </c>
      <c r="B456" s="4" t="str">
        <f>IFERROR(__xludf.DUMMYFUNCTION("""COMPUTED_VALUE"""),"ITM093")</f>
        <v>ITM093</v>
      </c>
      <c r="C456" s="4" t="str">
        <f>IFERROR(__xludf.DUMMYFUNCTION("""COMPUTED_VALUE"""),"TRASH BAG (XXL)")</f>
        <v>TRASH BAG (XXL)</v>
      </c>
      <c r="D456" s="4">
        <f>IFERROR(__xludf.DUMMYFUNCTION("""COMPUTED_VALUE"""),1.0)</f>
        <v>1</v>
      </c>
      <c r="E456" s="4">
        <f>IFERROR(__xludf.DUMMYFUNCTION("""COMPUTED_VALUE"""),0.0)</f>
        <v>0</v>
      </c>
    </row>
    <row r="457">
      <c r="A457" s="4" t="str">
        <f>IFERROR(__xludf.DUMMYFUNCTION("""COMPUTED_VALUE"""),"Y3S BARILI")</f>
        <v>Y3S BARILI</v>
      </c>
      <c r="B457" s="4" t="str">
        <f>IFERROR(__xludf.DUMMYFUNCTION("""COMPUTED_VALUE"""),"ITM014")</f>
        <v>ITM014</v>
      </c>
      <c r="C457" s="4" t="str">
        <f>IFERROR(__xludf.DUMMYFUNCTION("""COMPUTED_VALUE"""),"WHITE FOLDER (LONG)")</f>
        <v>WHITE FOLDER (LONG)</v>
      </c>
      <c r="D457" s="4">
        <f>IFERROR(__xludf.DUMMYFUNCTION("""COMPUTED_VALUE"""),5.0)</f>
        <v>5</v>
      </c>
      <c r="E457" s="4">
        <f>IFERROR(__xludf.DUMMYFUNCTION("""COMPUTED_VALUE"""),0.0)</f>
        <v>0</v>
      </c>
    </row>
    <row r="458">
      <c r="A458" s="4" t="str">
        <f>IFERROR(__xludf.DUMMYFUNCTION("""COMPUTED_VALUE"""),"Y3S BARILI")</f>
        <v>Y3S BARILI</v>
      </c>
      <c r="B458" s="4" t="str">
        <f>IFERROR(__xludf.DUMMYFUNCTION("""COMPUTED_VALUE"""),"ITM021")</f>
        <v>ITM021</v>
      </c>
      <c r="C458" s="4" t="str">
        <f>IFERROR(__xludf.DUMMYFUNCTION("""COMPUTED_VALUE"""),"WYTEBORD MARKER PILOT (BLACK)")</f>
        <v>WYTEBORD MARKER PILOT (BLACK)</v>
      </c>
      <c r="D458" s="4">
        <f>IFERROR(__xludf.DUMMYFUNCTION("""COMPUTED_VALUE"""),1.0)</f>
        <v>1</v>
      </c>
      <c r="E458" s="4">
        <f>IFERROR(__xludf.DUMMYFUNCTION("""COMPUTED_VALUE"""),0.0)</f>
        <v>0</v>
      </c>
    </row>
    <row r="459">
      <c r="A459" s="4" t="str">
        <f>IFERROR(__xludf.DUMMYFUNCTION("""COMPUTED_VALUE"""),"Y3S BARILI")</f>
        <v>Y3S BARILI</v>
      </c>
      <c r="B459" s="4" t="str">
        <f>IFERROR(__xludf.DUMMYFUNCTION("""COMPUTED_VALUE"""),"ITM089")</f>
        <v>ITM089</v>
      </c>
      <c r="C459" s="4" t="str">
        <f>IFERROR(__xludf.DUMMYFUNCTION("""COMPUTED_VALUE"""),"ZONROX (COLORSAFE)")</f>
        <v>ZONROX (COLORSAFE)</v>
      </c>
      <c r="D459" s="4">
        <f>IFERROR(__xludf.DUMMYFUNCTION("""COMPUTED_VALUE"""),1.0)</f>
        <v>1</v>
      </c>
      <c r="E459" s="4">
        <f>IFERROR(__xludf.DUMMYFUNCTION("""COMPUTED_VALUE"""),0.0)</f>
        <v>0</v>
      </c>
    </row>
    <row r="460">
      <c r="A460" s="4" t="str">
        <f>IFERROR(__xludf.DUMMYFUNCTION("""COMPUTED_VALUE"""),"Y3S BARILI")</f>
        <v>Y3S BARILI</v>
      </c>
      <c r="B460" s="4" t="str">
        <f>IFERROR(__xludf.DUMMYFUNCTION("""COMPUTED_VALUE"""),"ITM007")</f>
        <v>ITM007</v>
      </c>
      <c r="C460" s="4" t="str">
        <f>IFERROR(__xludf.DUMMYFUNCTION("""COMPUTED_VALUE"""),"LOGBOOK VALIANT RECORD (150 &amp; 300P PAGES)")</f>
        <v>LOGBOOK VALIANT RECORD (150 &amp; 300P PAGES)</v>
      </c>
      <c r="D460" s="4">
        <f>IFERROR(__xludf.DUMMYFUNCTION("""COMPUTED_VALUE"""),1.0)</f>
        <v>1</v>
      </c>
      <c r="E460" s="4">
        <f>IFERROR(__xludf.DUMMYFUNCTION("""COMPUTED_VALUE"""),0.0)</f>
        <v>0</v>
      </c>
    </row>
    <row r="461">
      <c r="A461" s="4" t="str">
        <f>IFERROR(__xludf.DUMMYFUNCTION("""COMPUTED_VALUE"""),"BARILI MB")</f>
        <v>BARILI MB</v>
      </c>
      <c r="B461" s="4" t="str">
        <f>IFERROR(__xludf.DUMMYFUNCTION("""COMPUTED_VALUE"""),"ITM001")</f>
        <v>ITM001</v>
      </c>
      <c r="C461" s="4" t="str">
        <f>IFERROR(__xludf.DUMMYFUNCTION("""COMPUTED_VALUE"""),"BOND PAPER (LONG)")</f>
        <v>BOND PAPER (LONG)</v>
      </c>
      <c r="D461" s="4">
        <f>IFERROR(__xludf.DUMMYFUNCTION("""COMPUTED_VALUE"""),1.0)</f>
        <v>1</v>
      </c>
      <c r="E461" s="4">
        <f>IFERROR(__xludf.DUMMYFUNCTION("""COMPUTED_VALUE"""),0.0)</f>
        <v>0</v>
      </c>
    </row>
    <row r="462">
      <c r="A462" s="4" t="str">
        <f>IFERROR(__xludf.DUMMYFUNCTION("""COMPUTED_VALUE"""),"BARILI MB")</f>
        <v>BARILI MB</v>
      </c>
      <c r="B462" s="4" t="str">
        <f>IFERROR(__xludf.DUMMYFUNCTION("""COMPUTED_VALUE"""),"ITM012")</f>
        <v>ITM012</v>
      </c>
      <c r="C462" s="4" t="str">
        <f>IFERROR(__xludf.DUMMYFUNCTION("""COMPUTED_VALUE"""),"BROWN FOLDER (LONG)")</f>
        <v>BROWN FOLDER (LONG)</v>
      </c>
      <c r="D462" s="4">
        <f>IFERROR(__xludf.DUMMYFUNCTION("""COMPUTED_VALUE"""),20.0)</f>
        <v>20</v>
      </c>
      <c r="E462" s="4">
        <f>IFERROR(__xludf.DUMMYFUNCTION("""COMPUTED_VALUE"""),0.0)</f>
        <v>0</v>
      </c>
    </row>
    <row r="463">
      <c r="A463" s="4" t="str">
        <f>IFERROR(__xludf.DUMMYFUNCTION("""COMPUTED_VALUE"""),"BARILI MB")</f>
        <v>BARILI MB</v>
      </c>
      <c r="B463" s="4" t="str">
        <f>IFERROR(__xludf.DUMMYFUNCTION("""COMPUTED_VALUE"""),"ITM077")</f>
        <v>ITM077</v>
      </c>
      <c r="C463" s="4" t="str">
        <f>IFERROR(__xludf.DUMMYFUNCTION("""COMPUTED_VALUE"""),"CABLE TIE")</f>
        <v>CABLE TIE</v>
      </c>
      <c r="D463" s="4">
        <f>IFERROR(__xludf.DUMMYFUNCTION("""COMPUTED_VALUE"""),1.0)</f>
        <v>1</v>
      </c>
      <c r="E463" s="4">
        <f>IFERROR(__xludf.DUMMYFUNCTION("""COMPUTED_VALUE"""),0.0)</f>
        <v>0</v>
      </c>
    </row>
    <row r="464">
      <c r="A464" s="4" t="str">
        <f>IFERROR(__xludf.DUMMYFUNCTION("""COMPUTED_VALUE"""),"BARILI MB")</f>
        <v>BARILI MB</v>
      </c>
      <c r="B464" s="4" t="str">
        <f>IFERROR(__xludf.DUMMYFUNCTION("""COMPUTED_VALUE"""),"ITM027")</f>
        <v>ITM027</v>
      </c>
      <c r="C464" s="4" t="str">
        <f>IFERROR(__xludf.DUMMYFUNCTION("""COMPUTED_VALUE"""),"CORRECTION TAPE")</f>
        <v>CORRECTION TAPE</v>
      </c>
      <c r="D464" s="4">
        <f>IFERROR(__xludf.DUMMYFUNCTION("""COMPUTED_VALUE"""),3.0)</f>
        <v>3</v>
      </c>
      <c r="E464" s="4">
        <f>IFERROR(__xludf.DUMMYFUNCTION("""COMPUTED_VALUE"""),0.0)</f>
        <v>0</v>
      </c>
    </row>
    <row r="465">
      <c r="A465" s="4" t="str">
        <f>IFERROR(__xludf.DUMMYFUNCTION("""COMPUTED_VALUE"""),"BARILI MB")</f>
        <v>BARILI MB</v>
      </c>
      <c r="B465" s="4" t="str">
        <f>IFERROR(__xludf.DUMMYFUNCTION("""COMPUTED_VALUE"""),"ITM019")</f>
        <v>ITM019</v>
      </c>
      <c r="C465" s="4" t="str">
        <f>IFERROR(__xludf.DUMMYFUNCTION("""COMPUTED_VALUE"""),"FLEXSTICK BLACK BALLPEN (0.5)")</f>
        <v>FLEXSTICK BLACK BALLPEN (0.5)</v>
      </c>
      <c r="D465" s="4">
        <f>IFERROR(__xludf.DUMMYFUNCTION("""COMPUTED_VALUE"""),6.0)</f>
        <v>6</v>
      </c>
      <c r="E465" s="4">
        <f>IFERROR(__xludf.DUMMYFUNCTION("""COMPUTED_VALUE"""),0.0)</f>
        <v>0</v>
      </c>
    </row>
    <row r="466">
      <c r="A466" s="4" t="str">
        <f>IFERROR(__xludf.DUMMYFUNCTION("""COMPUTED_VALUE"""),"BARILI MB")</f>
        <v>BARILI MB</v>
      </c>
      <c r="B466" s="4" t="str">
        <f>IFERROR(__xludf.DUMMYFUNCTION("""COMPUTED_VALUE"""),"ITM020")</f>
        <v>ITM020</v>
      </c>
      <c r="C466" s="4" t="str">
        <f>IFERROR(__xludf.DUMMYFUNCTION("""COMPUTED_VALUE"""),"FLEXSTICK RED BALLPEN (0.5)")</f>
        <v>FLEXSTICK RED BALLPEN (0.5)</v>
      </c>
      <c r="D466" s="4">
        <f>IFERROR(__xludf.DUMMYFUNCTION("""COMPUTED_VALUE"""),3.0)</f>
        <v>3</v>
      </c>
      <c r="E466" s="4">
        <f>IFERROR(__xludf.DUMMYFUNCTION("""COMPUTED_VALUE"""),0.0)</f>
        <v>0</v>
      </c>
    </row>
    <row r="467">
      <c r="A467" s="4" t="str">
        <f>IFERROR(__xludf.DUMMYFUNCTION("""COMPUTED_VALUE"""),"BARILI MB")</f>
        <v>BARILI MB</v>
      </c>
      <c r="B467" s="4" t="str">
        <f>IFERROR(__xludf.DUMMYFUNCTION("""COMPUTED_VALUE"""),"ITM023")</f>
        <v>ITM023</v>
      </c>
      <c r="C467" s="4" t="str">
        <f>IFERROR(__xludf.DUMMYFUNCTION("""COMPUTED_VALUE"""),"HIGHLIGHTER")</f>
        <v>HIGHLIGHTER</v>
      </c>
      <c r="D467" s="4">
        <f>IFERROR(__xludf.DUMMYFUNCTION("""COMPUTED_VALUE"""),1.0)</f>
        <v>1</v>
      </c>
      <c r="E467" s="4">
        <f>IFERROR(__xludf.DUMMYFUNCTION("""COMPUTED_VALUE"""),0.0)</f>
        <v>0</v>
      </c>
    </row>
    <row r="468">
      <c r="A468" s="4" t="str">
        <f>IFERROR(__xludf.DUMMYFUNCTION("""COMPUTED_VALUE"""),"BARILI MB")</f>
        <v>BARILI MB</v>
      </c>
      <c r="B468" s="4" t="str">
        <f>IFERROR(__xludf.DUMMYFUNCTION("""COMPUTED_VALUE"""),"ITM056")</f>
        <v>ITM056</v>
      </c>
      <c r="C468" s="4" t="str">
        <f>IFERROR(__xludf.DUMMYFUNCTION("""COMPUTED_VALUE"""),"PRIDE SOAP POWDER")</f>
        <v>PRIDE SOAP POWDER</v>
      </c>
      <c r="D468" s="4">
        <f>IFERROR(__xludf.DUMMYFUNCTION("""COMPUTED_VALUE"""),12.0)</f>
        <v>12</v>
      </c>
      <c r="E468" s="4">
        <f>IFERROR(__xludf.DUMMYFUNCTION("""COMPUTED_VALUE"""),0.0)</f>
        <v>0</v>
      </c>
    </row>
    <row r="469">
      <c r="A469" s="4" t="str">
        <f>IFERROR(__xludf.DUMMYFUNCTION("""COMPUTED_VALUE"""),"BARILI MB")</f>
        <v>BARILI MB</v>
      </c>
      <c r="B469" s="4" t="str">
        <f>IFERROR(__xludf.DUMMYFUNCTION("""COMPUTED_VALUE"""),"ITM094")</f>
        <v>ITM094</v>
      </c>
      <c r="C469" s="4" t="str">
        <f>IFERROR(__xludf.DUMMYFUNCTION("""COMPUTED_VALUE"""),"TRASH BAG (XL)")</f>
        <v>TRASH BAG (XL)</v>
      </c>
      <c r="D469" s="4">
        <f>IFERROR(__xludf.DUMMYFUNCTION("""COMPUTED_VALUE"""),1.0)</f>
        <v>1</v>
      </c>
      <c r="E469" s="4">
        <f>IFERROR(__xludf.DUMMYFUNCTION("""COMPUTED_VALUE"""),0.0)</f>
        <v>0</v>
      </c>
    </row>
    <row r="470">
      <c r="A470" s="4" t="str">
        <f>IFERROR(__xludf.DUMMYFUNCTION("""COMPUTED_VALUE"""),"BARILI MB")</f>
        <v>BARILI MB</v>
      </c>
      <c r="B470" s="4" t="str">
        <f>IFERROR(__xludf.DUMMYFUNCTION("""COMPUTED_VALUE"""),"ITM006")</f>
        <v>ITM006</v>
      </c>
      <c r="C470" s="4" t="str">
        <f>IFERROR(__xludf.DUMMYFUNCTION("""COMPUTED_VALUE"""),"VELLUM PAPER")</f>
        <v>VELLUM PAPER</v>
      </c>
      <c r="D470" s="4">
        <f>IFERROR(__xludf.DUMMYFUNCTION("""COMPUTED_VALUE"""),20.0)</f>
        <v>20</v>
      </c>
      <c r="E470" s="4">
        <f>IFERROR(__xludf.DUMMYFUNCTION("""COMPUTED_VALUE"""),0.0)</f>
        <v>0</v>
      </c>
    </row>
    <row r="471">
      <c r="A471" s="4" t="str">
        <f>IFERROR(__xludf.DUMMYFUNCTION("""COMPUTED_VALUE"""),"BARILI MB")</f>
        <v>BARILI MB</v>
      </c>
      <c r="B471" s="4" t="str">
        <f>IFERROR(__xludf.DUMMYFUNCTION("""COMPUTED_VALUE"""),"ITM089")</f>
        <v>ITM089</v>
      </c>
      <c r="C471" s="4" t="str">
        <f>IFERROR(__xludf.DUMMYFUNCTION("""COMPUTED_VALUE"""),"ZONROX (COLORSAFE)")</f>
        <v>ZONROX (COLORSAFE)</v>
      </c>
      <c r="D471" s="4">
        <f>IFERROR(__xludf.DUMMYFUNCTION("""COMPUTED_VALUE"""),1.0)</f>
        <v>1</v>
      </c>
      <c r="E471" s="4">
        <f>IFERROR(__xludf.DUMMYFUNCTION("""COMPUTED_VALUE"""),0.0)</f>
        <v>0</v>
      </c>
    </row>
    <row r="472">
      <c r="A472" s="4" t="str">
        <f>IFERROR(__xludf.DUMMYFUNCTION("""COMPUTED_VALUE"""),"BARILI MB")</f>
        <v>BARILI MB</v>
      </c>
      <c r="B472" s="4" t="str">
        <f>IFERROR(__xludf.DUMMYFUNCTION("""COMPUTED_VALUE"""),"ITM002")</f>
        <v>ITM002</v>
      </c>
      <c r="C472" s="4" t="str">
        <f>IFERROR(__xludf.DUMMYFUNCTION("""COMPUTED_VALUE"""),"BOND PAPER (SHORT)")</f>
        <v>BOND PAPER (SHORT)</v>
      </c>
      <c r="D472" s="4">
        <f>IFERROR(__xludf.DUMMYFUNCTION("""COMPUTED_VALUE"""),1.0)</f>
        <v>1</v>
      </c>
      <c r="E472" s="4">
        <f>IFERROR(__xludf.DUMMYFUNCTION("""COMPUTED_VALUE"""),0.0)</f>
        <v>0</v>
      </c>
    </row>
    <row r="473">
      <c r="A473" s="4" t="str">
        <f>IFERROR(__xludf.DUMMYFUNCTION("""COMPUTED_VALUE"""),"BARILI MB")</f>
        <v>BARILI MB</v>
      </c>
      <c r="B473" s="4" t="str">
        <f>IFERROR(__xludf.DUMMYFUNCTION("""COMPUTED_VALUE"""),"ITM092")</f>
        <v>ITM092</v>
      </c>
      <c r="C473" s="4" t="str">
        <f>IFERROR(__xludf.DUMMYFUNCTION("""COMPUTED_VALUE"""),"RAGS")</f>
        <v>RAGS</v>
      </c>
      <c r="D473" s="4">
        <f>IFERROR(__xludf.DUMMYFUNCTION("""COMPUTED_VALUE"""),1.0)</f>
        <v>1</v>
      </c>
      <c r="E473" s="4">
        <f>IFERROR(__xludf.DUMMYFUNCTION("""COMPUTED_VALUE"""),0.0)</f>
        <v>0</v>
      </c>
    </row>
    <row r="474">
      <c r="A474" s="4" t="str">
        <f>IFERROR(__xludf.DUMMYFUNCTION("""COMPUTED_VALUE"""),"BARILI MB")</f>
        <v>BARILI MB</v>
      </c>
      <c r="B474" s="4" t="str">
        <f>IFERROR(__xludf.DUMMYFUNCTION("""COMPUTED_VALUE"""),"ITM033")</f>
        <v>ITM033</v>
      </c>
      <c r="C474" s="4" t="str">
        <f>IFERROR(__xludf.DUMMYFUNCTION("""COMPUTED_VALUE"""),"RULER")</f>
        <v>RULER</v>
      </c>
      <c r="D474" s="4">
        <f>IFERROR(__xludf.DUMMYFUNCTION("""COMPUTED_VALUE"""),1.0)</f>
        <v>1</v>
      </c>
      <c r="E474" s="4">
        <f>IFERROR(__xludf.DUMMYFUNCTION("""COMPUTED_VALUE"""),0.0)</f>
        <v>0</v>
      </c>
    </row>
    <row r="475">
      <c r="A475" s="4" t="str">
        <f>IFERROR(__xludf.DUMMYFUNCTION("""COMPUTED_VALUE"""),"BARILI MB")</f>
        <v>BARILI MB</v>
      </c>
      <c r="B475" s="4" t="str">
        <f>IFERROR(__xludf.DUMMYFUNCTION("""COMPUTED_VALUE"""),"ITM085")</f>
        <v>ITM085</v>
      </c>
      <c r="C475" s="4" t="str">
        <f>IFERROR(__xludf.DUMMYFUNCTION("""COMPUTED_VALUE"""),"WYTEBORD MARKER REFILL INK PILOT (BLACK)")</f>
        <v>WYTEBORD MARKER REFILL INK PILOT (BLACK)</v>
      </c>
      <c r="D475" s="4">
        <f>IFERROR(__xludf.DUMMYFUNCTION("""COMPUTED_VALUE"""),1.0)</f>
        <v>1</v>
      </c>
      <c r="E475" s="4">
        <f>IFERROR(__xludf.DUMMYFUNCTION("""COMPUTED_VALUE"""),0.0)</f>
        <v>0</v>
      </c>
    </row>
    <row r="476">
      <c r="A476" s="4" t="str">
        <f>IFERROR(__xludf.DUMMYFUNCTION("""COMPUTED_VALUE"""),"BARILI MB")</f>
        <v>BARILI MB</v>
      </c>
      <c r="B476" s="4" t="str">
        <f>IFERROR(__xludf.DUMMYFUNCTION("""COMPUTED_VALUE"""),"ITM056")</f>
        <v>ITM056</v>
      </c>
      <c r="C476" s="4" t="str">
        <f>IFERROR(__xludf.DUMMYFUNCTION("""COMPUTED_VALUE"""),"PRIDE SOAP POWDER")</f>
        <v>PRIDE SOAP POWDER</v>
      </c>
      <c r="D476" s="4">
        <f>IFERROR(__xludf.DUMMYFUNCTION("""COMPUTED_VALUE"""),6.0)</f>
        <v>6</v>
      </c>
      <c r="E476" s="4">
        <f>IFERROR(__xludf.DUMMYFUNCTION("""COMPUTED_VALUE"""),0.0)</f>
        <v>0</v>
      </c>
    </row>
    <row r="477">
      <c r="A477" s="4" t="str">
        <f>IFERROR(__xludf.DUMMYFUNCTION("""COMPUTED_VALUE"""),"BARILI MB")</f>
        <v>BARILI MB</v>
      </c>
      <c r="B477" s="4" t="str">
        <f>IFERROR(__xludf.DUMMYFUNCTION("""COMPUTED_VALUE"""),"ITM036")</f>
        <v>ITM036</v>
      </c>
      <c r="C477" s="4" t="str">
        <f>IFERROR(__xludf.DUMMYFUNCTION("""COMPUTED_VALUE"""),"SCOTCH TAPE (1 INCH)")</f>
        <v>SCOTCH TAPE (1 INCH)</v>
      </c>
      <c r="D477" s="4">
        <f>IFERROR(__xludf.DUMMYFUNCTION("""COMPUTED_VALUE"""),2.0)</f>
        <v>2</v>
      </c>
      <c r="E477" s="4">
        <f>IFERROR(__xludf.DUMMYFUNCTION("""COMPUTED_VALUE"""),0.0)</f>
        <v>0</v>
      </c>
    </row>
    <row r="478">
      <c r="A478" s="4" t="str">
        <f>IFERROR(__xludf.DUMMYFUNCTION("""COMPUTED_VALUE"""),"BARILI MB")</f>
        <v>BARILI MB</v>
      </c>
      <c r="B478" s="4" t="str">
        <f>IFERROR(__xludf.DUMMYFUNCTION("""COMPUTED_VALUE"""),"ITM096")</f>
        <v>ITM096</v>
      </c>
      <c r="C478" s="4" t="str">
        <f>IFERROR(__xludf.DUMMYFUNCTION("""COMPUTED_VALUE"""),"TRASH BAG (MEDIUM)")</f>
        <v>TRASH BAG (MEDIUM)</v>
      </c>
      <c r="D478" s="4">
        <f>IFERROR(__xludf.DUMMYFUNCTION("""COMPUTED_VALUE"""),1.0)</f>
        <v>1</v>
      </c>
      <c r="E478" s="4">
        <f>IFERROR(__xludf.DUMMYFUNCTION("""COMPUTED_VALUE"""),0.0)</f>
        <v>0</v>
      </c>
    </row>
    <row r="479">
      <c r="A479" s="4" t="str">
        <f>IFERROR(__xludf.DUMMYFUNCTION("""COMPUTED_VALUE"""),"BARILI MB")</f>
        <v>BARILI MB</v>
      </c>
      <c r="B479" s="4" t="str">
        <f>IFERROR(__xludf.DUMMYFUNCTION("""COMPUTED_VALUE"""),"ITM097")</f>
        <v>ITM097</v>
      </c>
      <c r="C479" s="4" t="str">
        <f>IFERROR(__xludf.DUMMYFUNCTION("""COMPUTED_VALUE"""),"TRASH BAG (SMALL)")</f>
        <v>TRASH BAG (SMALL)</v>
      </c>
      <c r="D479" s="4">
        <f>IFERROR(__xludf.DUMMYFUNCTION("""COMPUTED_VALUE"""),1.0)</f>
        <v>1</v>
      </c>
      <c r="E479" s="4">
        <f>IFERROR(__xludf.DUMMYFUNCTION("""COMPUTED_VALUE"""),0.0)</f>
        <v>0</v>
      </c>
    </row>
    <row r="480">
      <c r="A480" s="4" t="str">
        <f>IFERROR(__xludf.DUMMYFUNCTION("""COMPUTED_VALUE"""),"BARILI MB")</f>
        <v>BARILI MB</v>
      </c>
      <c r="B480" s="4" t="str">
        <f>IFERROR(__xludf.DUMMYFUNCTION("""COMPUTED_VALUE"""),"ITM089")</f>
        <v>ITM089</v>
      </c>
      <c r="C480" s="4" t="str">
        <f>IFERROR(__xludf.DUMMYFUNCTION("""COMPUTED_VALUE"""),"ZONROX (COLORSAFE)")</f>
        <v>ZONROX (COLORSAFE)</v>
      </c>
      <c r="D480" s="4">
        <f>IFERROR(__xludf.DUMMYFUNCTION("""COMPUTED_VALUE"""),1.0)</f>
        <v>1</v>
      </c>
      <c r="E480" s="4">
        <f>IFERROR(__xludf.DUMMYFUNCTION("""COMPUTED_VALUE"""),0.0)</f>
        <v>0</v>
      </c>
    </row>
    <row r="481">
      <c r="A481" s="4" t="str">
        <f>IFERROR(__xludf.DUMMYFUNCTION("""COMPUTED_VALUE"""),"SIERRA BULLONES")</f>
        <v>SIERRA BULLONES</v>
      </c>
      <c r="B481" s="4" t="str">
        <f>IFERROR(__xludf.DUMMYFUNCTION("""COMPUTED_VALUE"""),"ITM001")</f>
        <v>ITM001</v>
      </c>
      <c r="C481" s="4" t="str">
        <f>IFERROR(__xludf.DUMMYFUNCTION("""COMPUTED_VALUE"""),"BOND PAPER (LONG)")</f>
        <v>BOND PAPER (LONG)</v>
      </c>
      <c r="D481" s="4">
        <f>IFERROR(__xludf.DUMMYFUNCTION("""COMPUTED_VALUE"""),1.0)</f>
        <v>1</v>
      </c>
      <c r="E481" s="4">
        <f>IFERROR(__xludf.DUMMYFUNCTION("""COMPUTED_VALUE"""),0.0)</f>
        <v>0</v>
      </c>
    </row>
    <row r="482">
      <c r="A482" s="4" t="str">
        <f>IFERROR(__xludf.DUMMYFUNCTION("""COMPUTED_VALUE"""),"SIERRA BULLONES")</f>
        <v>SIERRA BULLONES</v>
      </c>
      <c r="B482" s="4" t="str">
        <f>IFERROR(__xludf.DUMMYFUNCTION("""COMPUTED_VALUE"""),"ITM002")</f>
        <v>ITM002</v>
      </c>
      <c r="C482" s="4" t="str">
        <f>IFERROR(__xludf.DUMMYFUNCTION("""COMPUTED_VALUE"""),"BOND PAPER (SHORT)")</f>
        <v>BOND PAPER (SHORT)</v>
      </c>
      <c r="D482" s="4">
        <f>IFERROR(__xludf.DUMMYFUNCTION("""COMPUTED_VALUE"""),1.0)</f>
        <v>1</v>
      </c>
      <c r="E482" s="4">
        <f>IFERROR(__xludf.DUMMYFUNCTION("""COMPUTED_VALUE"""),0.0)</f>
        <v>0</v>
      </c>
    </row>
    <row r="483">
      <c r="A483" s="4" t="str">
        <f>IFERROR(__xludf.DUMMYFUNCTION("""COMPUTED_VALUE"""),"SIERRA BULLONES")</f>
        <v>SIERRA BULLONES</v>
      </c>
      <c r="B483" s="4" t="str">
        <f>IFERROR(__xludf.DUMMYFUNCTION("""COMPUTED_VALUE"""),"ITM012")</f>
        <v>ITM012</v>
      </c>
      <c r="C483" s="4" t="str">
        <f>IFERROR(__xludf.DUMMYFUNCTION("""COMPUTED_VALUE"""),"BROWN FOLDER (LONG)")</f>
        <v>BROWN FOLDER (LONG)</v>
      </c>
      <c r="D483" s="4">
        <f>IFERROR(__xludf.DUMMYFUNCTION("""COMPUTED_VALUE"""),30.0)</f>
        <v>30</v>
      </c>
      <c r="E483" s="4">
        <f>IFERROR(__xludf.DUMMYFUNCTION("""COMPUTED_VALUE"""),0.0)</f>
        <v>0</v>
      </c>
    </row>
    <row r="484">
      <c r="A484" s="4" t="str">
        <f>IFERROR(__xludf.DUMMYFUNCTION("""COMPUTED_VALUE"""),"SIERRA BULLONES")</f>
        <v>SIERRA BULLONES</v>
      </c>
      <c r="B484" s="4" t="str">
        <f>IFERROR(__xludf.DUMMYFUNCTION("""COMPUTED_VALUE"""),"ITM104")</f>
        <v>ITM104</v>
      </c>
      <c r="C484" s="4" t="str">
        <f>IFERROR(__xludf.DUMMYFUNCTION("""COMPUTED_VALUE"""),"DTR CARD")</f>
        <v>DTR CARD</v>
      </c>
      <c r="D484" s="4">
        <f>IFERROR(__xludf.DUMMYFUNCTION("""COMPUTED_VALUE"""),50.0)</f>
        <v>50</v>
      </c>
      <c r="E484" s="4">
        <f>IFERROR(__xludf.DUMMYFUNCTION("""COMPUTED_VALUE"""),0.0)</f>
        <v>0</v>
      </c>
    </row>
    <row r="485">
      <c r="A485" s="4" t="str">
        <f>IFERROR(__xludf.DUMMYFUNCTION("""COMPUTED_VALUE"""),"SIERRA BULLONES")</f>
        <v>SIERRA BULLONES</v>
      </c>
      <c r="B485" s="4" t="str">
        <f>IFERROR(__xludf.DUMMYFUNCTION("""COMPUTED_VALUE"""),"ITM023")</f>
        <v>ITM023</v>
      </c>
      <c r="C485" s="4" t="str">
        <f>IFERROR(__xludf.DUMMYFUNCTION("""COMPUTED_VALUE"""),"HIGHLIGHTER")</f>
        <v>HIGHLIGHTER</v>
      </c>
      <c r="D485" s="4">
        <f>IFERROR(__xludf.DUMMYFUNCTION("""COMPUTED_VALUE"""),2.0)</f>
        <v>2</v>
      </c>
      <c r="E485" s="4">
        <f>IFERROR(__xludf.DUMMYFUNCTION("""COMPUTED_VALUE"""),0.0)</f>
        <v>0</v>
      </c>
    </row>
    <row r="486">
      <c r="A486" s="4" t="str">
        <f>IFERROR(__xludf.DUMMYFUNCTION("""COMPUTED_VALUE"""),"SIERRA BULLONES")</f>
        <v>SIERRA BULLONES</v>
      </c>
      <c r="B486" s="4" t="str">
        <f>IFERROR(__xludf.DUMMYFUNCTION("""COMPUTED_VALUE"""),"ITM019")</f>
        <v>ITM019</v>
      </c>
      <c r="C486" s="4" t="str">
        <f>IFERROR(__xludf.DUMMYFUNCTION("""COMPUTED_VALUE"""),"FLEXSTICK BLACK BALLPEN (0.5)")</f>
        <v>FLEXSTICK BLACK BALLPEN (0.5)</v>
      </c>
      <c r="D486" s="4">
        <f>IFERROR(__xludf.DUMMYFUNCTION("""COMPUTED_VALUE"""),6.0)</f>
        <v>6</v>
      </c>
      <c r="E486" s="4">
        <f>IFERROR(__xludf.DUMMYFUNCTION("""COMPUTED_VALUE"""),0.0)</f>
        <v>0</v>
      </c>
    </row>
    <row r="487">
      <c r="A487" s="4" t="str">
        <f>IFERROR(__xludf.DUMMYFUNCTION("""COMPUTED_VALUE"""),"SIERRA BULLONES")</f>
        <v>SIERRA BULLONES</v>
      </c>
      <c r="B487" s="4" t="str">
        <f>IFERROR(__xludf.DUMMYFUNCTION("""COMPUTED_VALUE"""),"ITM020")</f>
        <v>ITM020</v>
      </c>
      <c r="C487" s="4" t="str">
        <f>IFERROR(__xludf.DUMMYFUNCTION("""COMPUTED_VALUE"""),"FLEXSTICK RED BALLPEN (0.5)")</f>
        <v>FLEXSTICK RED BALLPEN (0.5)</v>
      </c>
      <c r="D487" s="4">
        <f>IFERROR(__xludf.DUMMYFUNCTION("""COMPUTED_VALUE"""),2.0)</f>
        <v>2</v>
      </c>
      <c r="E487" s="4">
        <f>IFERROR(__xludf.DUMMYFUNCTION("""COMPUTED_VALUE"""),0.0)</f>
        <v>0</v>
      </c>
    </row>
    <row r="488">
      <c r="A488" s="4" t="str">
        <f>IFERROR(__xludf.DUMMYFUNCTION("""COMPUTED_VALUE"""),"SIERRA BULLONES")</f>
        <v>SIERRA BULLONES</v>
      </c>
      <c r="B488" s="4" t="str">
        <f>IFERROR(__xludf.DUMMYFUNCTION("""COMPUTED_VALUE"""),"ITM056")</f>
        <v>ITM056</v>
      </c>
      <c r="C488" s="4" t="str">
        <f>IFERROR(__xludf.DUMMYFUNCTION("""COMPUTED_VALUE"""),"PRIDE SOAP POWDER")</f>
        <v>PRIDE SOAP POWDER</v>
      </c>
      <c r="D488" s="4">
        <f>IFERROR(__xludf.DUMMYFUNCTION("""COMPUTED_VALUE"""),6.0)</f>
        <v>6</v>
      </c>
      <c r="E488" s="4">
        <f>IFERROR(__xludf.DUMMYFUNCTION("""COMPUTED_VALUE"""),0.0)</f>
        <v>0</v>
      </c>
    </row>
    <row r="489">
      <c r="A489" s="4" t="str">
        <f>IFERROR(__xludf.DUMMYFUNCTION("""COMPUTED_VALUE"""),"SIERRA BULLONES")</f>
        <v>SIERRA BULLONES</v>
      </c>
      <c r="B489" s="4" t="str">
        <f>IFERROR(__xludf.DUMMYFUNCTION("""COMPUTED_VALUE"""),"ITM061")</f>
        <v>ITM061</v>
      </c>
      <c r="C489" s="4" t="str">
        <f>IFERROR(__xludf.DUMMYFUNCTION("""COMPUTED_VALUE"""),"JOY")</f>
        <v>JOY</v>
      </c>
      <c r="D489" s="4">
        <f>IFERROR(__xludf.DUMMYFUNCTION("""COMPUTED_VALUE"""),6.0)</f>
        <v>6</v>
      </c>
      <c r="E489" s="4">
        <f>IFERROR(__xludf.DUMMYFUNCTION("""COMPUTED_VALUE"""),0.0)</f>
        <v>0</v>
      </c>
    </row>
    <row r="490">
      <c r="A490" s="4" t="str">
        <f>IFERROR(__xludf.DUMMYFUNCTION("""COMPUTED_VALUE"""),"SIERRA BULLONES")</f>
        <v>SIERRA BULLONES</v>
      </c>
      <c r="B490" s="4" t="str">
        <f>IFERROR(__xludf.DUMMYFUNCTION("""COMPUTED_VALUE"""),"ITM085")</f>
        <v>ITM085</v>
      </c>
      <c r="C490" s="4" t="str">
        <f>IFERROR(__xludf.DUMMYFUNCTION("""COMPUTED_VALUE"""),"WYTEBORD MARKER REFILL INK PILOT (BLACK)")</f>
        <v>WYTEBORD MARKER REFILL INK PILOT (BLACK)</v>
      </c>
      <c r="D490" s="4">
        <f>IFERROR(__xludf.DUMMYFUNCTION("""COMPUTED_VALUE"""),1.0)</f>
        <v>1</v>
      </c>
      <c r="E490" s="4">
        <f>IFERROR(__xludf.DUMMYFUNCTION("""COMPUTED_VALUE"""),0.0)</f>
        <v>0</v>
      </c>
    </row>
    <row r="491">
      <c r="A491" s="4" t="str">
        <f>IFERROR(__xludf.DUMMYFUNCTION("""COMPUTED_VALUE"""),"SIERRA BULLONES")</f>
        <v>SIERRA BULLONES</v>
      </c>
      <c r="B491" s="4" t="str">
        <f>IFERROR(__xludf.DUMMYFUNCTION("""COMPUTED_VALUE"""),"ITM092")</f>
        <v>ITM092</v>
      </c>
      <c r="C491" s="4" t="str">
        <f>IFERROR(__xludf.DUMMYFUNCTION("""COMPUTED_VALUE"""),"RAGS")</f>
        <v>RAGS</v>
      </c>
      <c r="D491" s="4">
        <f>IFERROR(__xludf.DUMMYFUNCTION("""COMPUTED_VALUE"""),1.0)</f>
        <v>1</v>
      </c>
      <c r="E491" s="4">
        <f>IFERROR(__xludf.DUMMYFUNCTION("""COMPUTED_VALUE"""),0.0)</f>
        <v>0</v>
      </c>
    </row>
    <row r="492">
      <c r="A492" s="4" t="str">
        <f>IFERROR(__xludf.DUMMYFUNCTION("""COMPUTED_VALUE"""),"PITOGO")</f>
        <v>PITOGO</v>
      </c>
      <c r="B492" s="4" t="str">
        <f>IFERROR(__xludf.DUMMYFUNCTION("""COMPUTED_VALUE"""),"ITM002")</f>
        <v>ITM002</v>
      </c>
      <c r="C492" s="4" t="str">
        <f>IFERROR(__xludf.DUMMYFUNCTION("""COMPUTED_VALUE"""),"BOND PAPER (SHORT)")</f>
        <v>BOND PAPER (SHORT)</v>
      </c>
      <c r="D492" s="4">
        <f>IFERROR(__xludf.DUMMYFUNCTION("""COMPUTED_VALUE"""),1.0)</f>
        <v>1</v>
      </c>
      <c r="E492" s="4">
        <f>IFERROR(__xludf.DUMMYFUNCTION("""COMPUTED_VALUE"""),0.0)</f>
        <v>0</v>
      </c>
    </row>
    <row r="493">
      <c r="A493" s="4" t="str">
        <f>IFERROR(__xludf.DUMMYFUNCTION("""COMPUTED_VALUE"""),"PITOGO")</f>
        <v>PITOGO</v>
      </c>
      <c r="B493" s="4" t="str">
        <f>IFERROR(__xludf.DUMMYFUNCTION("""COMPUTED_VALUE"""),"ITM012")</f>
        <v>ITM012</v>
      </c>
      <c r="C493" s="4" t="str">
        <f>IFERROR(__xludf.DUMMYFUNCTION("""COMPUTED_VALUE"""),"BROWN FOLDER (LONG)")</f>
        <v>BROWN FOLDER (LONG)</v>
      </c>
      <c r="D493" s="4">
        <f>IFERROR(__xludf.DUMMYFUNCTION("""COMPUTED_VALUE"""),20.0)</f>
        <v>20</v>
      </c>
      <c r="E493" s="4">
        <f>IFERROR(__xludf.DUMMYFUNCTION("""COMPUTED_VALUE"""),0.0)</f>
        <v>0</v>
      </c>
    </row>
    <row r="494">
      <c r="A494" s="4" t="str">
        <f>IFERROR(__xludf.DUMMYFUNCTION("""COMPUTED_VALUE"""),"PITOGO")</f>
        <v>PITOGO</v>
      </c>
      <c r="B494" s="4" t="str">
        <f>IFERROR(__xludf.DUMMYFUNCTION("""COMPUTED_VALUE"""),"ITM009")</f>
        <v>ITM009</v>
      </c>
      <c r="C494" s="4" t="str">
        <f>IFERROR(__xludf.DUMMYFUNCTION("""COMPUTED_VALUE"""),"CARBON PAPER (LONG BLUE)")</f>
        <v>CARBON PAPER (LONG BLUE)</v>
      </c>
      <c r="D494" s="4">
        <f>IFERROR(__xludf.DUMMYFUNCTION("""COMPUTED_VALUE"""),5.0)</f>
        <v>5</v>
      </c>
      <c r="E494" s="4">
        <f>IFERROR(__xludf.DUMMYFUNCTION("""COMPUTED_VALUE"""),0.0)</f>
        <v>0</v>
      </c>
    </row>
    <row r="495">
      <c r="A495" s="4" t="str">
        <f>IFERROR(__xludf.DUMMYFUNCTION("""COMPUTED_VALUE"""),"PITOGO")</f>
        <v>PITOGO</v>
      </c>
      <c r="B495" s="4" t="str">
        <f>IFERROR(__xludf.DUMMYFUNCTION("""COMPUTED_VALUE"""),"ITM106")</f>
        <v>ITM106</v>
      </c>
      <c r="C495" s="4" t="str">
        <f>IFERROR(__xludf.DUMMYFUNCTION("""COMPUTED_VALUE"""),"DOOR MAT")</f>
        <v>DOOR MAT</v>
      </c>
      <c r="D495" s="4">
        <f>IFERROR(__xludf.DUMMYFUNCTION("""COMPUTED_VALUE"""),1.0)</f>
        <v>1</v>
      </c>
      <c r="E495" s="4">
        <f>IFERROR(__xludf.DUMMYFUNCTION("""COMPUTED_VALUE"""),0.0)</f>
        <v>0</v>
      </c>
    </row>
    <row r="496">
      <c r="A496" s="4" t="str">
        <f>IFERROR(__xludf.DUMMYFUNCTION("""COMPUTED_VALUE"""),"PITOGO")</f>
        <v>PITOGO</v>
      </c>
      <c r="B496" s="4" t="str">
        <f>IFERROR(__xludf.DUMMYFUNCTION("""COMPUTED_VALUE"""),"ITM067")</f>
        <v>ITM067</v>
      </c>
      <c r="C496" s="4" t="str">
        <f>IFERROR(__xludf.DUMMYFUNCTION("""COMPUTED_VALUE"""),"FASTENER")</f>
        <v>FASTENER</v>
      </c>
      <c r="D496" s="4">
        <f>IFERROR(__xludf.DUMMYFUNCTION("""COMPUTED_VALUE"""),1.0)</f>
        <v>1</v>
      </c>
      <c r="E496" s="4">
        <f>IFERROR(__xludf.DUMMYFUNCTION("""COMPUTED_VALUE"""),0.0)</f>
        <v>0</v>
      </c>
    </row>
    <row r="497">
      <c r="A497" s="4" t="str">
        <f>IFERROR(__xludf.DUMMYFUNCTION("""COMPUTED_VALUE"""),"PITOGO")</f>
        <v>PITOGO</v>
      </c>
      <c r="B497" s="4" t="str">
        <f>IFERROR(__xludf.DUMMYFUNCTION("""COMPUTED_VALUE"""),"ITM019")</f>
        <v>ITM019</v>
      </c>
      <c r="C497" s="4" t="str">
        <f>IFERROR(__xludf.DUMMYFUNCTION("""COMPUTED_VALUE"""),"FLEXSTICK BLACK BALLPEN (0.5)")</f>
        <v>FLEXSTICK BLACK BALLPEN (0.5)</v>
      </c>
      <c r="D497" s="4">
        <f>IFERROR(__xludf.DUMMYFUNCTION("""COMPUTED_VALUE"""),5.0)</f>
        <v>5</v>
      </c>
      <c r="E497" s="4">
        <f>IFERROR(__xludf.DUMMYFUNCTION("""COMPUTED_VALUE"""),0.0)</f>
        <v>0</v>
      </c>
    </row>
    <row r="498">
      <c r="A498" s="4" t="str">
        <f>IFERROR(__xludf.DUMMYFUNCTION("""COMPUTED_VALUE"""),"PITOGO")</f>
        <v>PITOGO</v>
      </c>
      <c r="B498" s="4" t="str">
        <f>IFERROR(__xludf.DUMMYFUNCTION("""COMPUTED_VALUE"""),"ITM099")</f>
        <v>ITM099</v>
      </c>
      <c r="C498" s="4" t="str">
        <f>IFERROR(__xludf.DUMMYFUNCTION("""COMPUTED_VALUE"""),"INK EPSON SET")</f>
        <v>INK EPSON SET</v>
      </c>
      <c r="D498" s="4">
        <f>IFERROR(__xludf.DUMMYFUNCTION("""COMPUTED_VALUE"""),1.0)</f>
        <v>1</v>
      </c>
      <c r="E498" s="4">
        <f>IFERROR(__xludf.DUMMYFUNCTION("""COMPUTED_VALUE"""),0.0)</f>
        <v>0</v>
      </c>
    </row>
    <row r="499">
      <c r="A499" s="4" t="str">
        <f>IFERROR(__xludf.DUMMYFUNCTION("""COMPUTED_VALUE"""),"PITOGO")</f>
        <v>PITOGO</v>
      </c>
      <c r="B499" s="4" t="str">
        <f>IFERROR(__xludf.DUMMYFUNCTION("""COMPUTED_VALUE"""),"ITM061")</f>
        <v>ITM061</v>
      </c>
      <c r="C499" s="4" t="str">
        <f>IFERROR(__xludf.DUMMYFUNCTION("""COMPUTED_VALUE"""),"JOY")</f>
        <v>JOY</v>
      </c>
      <c r="D499" s="4">
        <f>IFERROR(__xludf.DUMMYFUNCTION("""COMPUTED_VALUE"""),2.0)</f>
        <v>2</v>
      </c>
      <c r="E499" s="4">
        <f>IFERROR(__xludf.DUMMYFUNCTION("""COMPUTED_VALUE"""),0.0)</f>
        <v>0</v>
      </c>
    </row>
    <row r="500">
      <c r="A500" s="4" t="str">
        <f>IFERROR(__xludf.DUMMYFUNCTION("""COMPUTED_VALUE"""),"PITOGO")</f>
        <v>PITOGO</v>
      </c>
      <c r="B500" s="4" t="str">
        <f>IFERROR(__xludf.DUMMYFUNCTION("""COMPUTED_VALUE"""),"ITM068")</f>
        <v>ITM068</v>
      </c>
      <c r="C500" s="4" t="str">
        <f>IFERROR(__xludf.DUMMYFUNCTION("""COMPUTED_VALUE"""),"PAPER CLIPS 50MM")</f>
        <v>PAPER CLIPS 50MM</v>
      </c>
      <c r="D500" s="4">
        <f>IFERROR(__xludf.DUMMYFUNCTION("""COMPUTED_VALUE"""),1.0)</f>
        <v>1</v>
      </c>
      <c r="E500" s="4">
        <f>IFERROR(__xludf.DUMMYFUNCTION("""COMPUTED_VALUE"""),0.0)</f>
        <v>0</v>
      </c>
    </row>
    <row r="501">
      <c r="A501" s="4" t="str">
        <f>IFERROR(__xludf.DUMMYFUNCTION("""COMPUTED_VALUE"""),"PITOGO")</f>
        <v>PITOGO</v>
      </c>
      <c r="B501" s="4" t="str">
        <f>IFERROR(__xludf.DUMMYFUNCTION("""COMPUTED_VALUE"""),"ITM056")</f>
        <v>ITM056</v>
      </c>
      <c r="C501" s="4" t="str">
        <f>IFERROR(__xludf.DUMMYFUNCTION("""COMPUTED_VALUE"""),"PRIDE SOAP POWDER")</f>
        <v>PRIDE SOAP POWDER</v>
      </c>
      <c r="D501" s="4">
        <f>IFERROR(__xludf.DUMMYFUNCTION("""COMPUTED_VALUE"""),6.0)</f>
        <v>6</v>
      </c>
      <c r="E501" s="4">
        <f>IFERROR(__xludf.DUMMYFUNCTION("""COMPUTED_VALUE"""),0.0)</f>
        <v>0</v>
      </c>
    </row>
    <row r="502">
      <c r="A502" s="4" t="str">
        <f>IFERROR(__xludf.DUMMYFUNCTION("""COMPUTED_VALUE"""),"PITOGO")</f>
        <v>PITOGO</v>
      </c>
      <c r="B502" s="4" t="str">
        <f>IFERROR(__xludf.DUMMYFUNCTION("""COMPUTED_VALUE"""),"ITM092")</f>
        <v>ITM092</v>
      </c>
      <c r="C502" s="4" t="str">
        <f>IFERROR(__xludf.DUMMYFUNCTION("""COMPUTED_VALUE"""),"RAGS")</f>
        <v>RAGS</v>
      </c>
      <c r="D502" s="4">
        <f>IFERROR(__xludf.DUMMYFUNCTION("""COMPUTED_VALUE"""),1.0)</f>
        <v>1</v>
      </c>
      <c r="E502" s="4">
        <f>IFERROR(__xludf.DUMMYFUNCTION("""COMPUTED_VALUE"""),0.0)</f>
        <v>0</v>
      </c>
    </row>
    <row r="503">
      <c r="A503" s="4" t="str">
        <f>IFERROR(__xludf.DUMMYFUNCTION("""COMPUTED_VALUE"""),"PITOGO")</f>
        <v>PITOGO</v>
      </c>
      <c r="B503" s="4" t="str">
        <f>IFERROR(__xludf.DUMMYFUNCTION("""COMPUTED_VALUE"""),"ITM076")</f>
        <v>ITM076</v>
      </c>
      <c r="C503" s="4" t="str">
        <f>IFERROR(__xludf.DUMMYFUNCTION("""COMPUTED_VALUE"""),"RUBBER BAND ROUND RB-350")</f>
        <v>RUBBER BAND ROUND RB-350</v>
      </c>
      <c r="D503" s="4">
        <f>IFERROR(__xludf.DUMMYFUNCTION("""COMPUTED_VALUE"""),1.0)</f>
        <v>1</v>
      </c>
      <c r="E503" s="4">
        <f>IFERROR(__xludf.DUMMYFUNCTION("""COMPUTED_VALUE"""),0.0)</f>
        <v>0</v>
      </c>
    </row>
    <row r="504">
      <c r="A504" s="4" t="str">
        <f>IFERROR(__xludf.DUMMYFUNCTION("""COMPUTED_VALUE"""),"PITOGO")</f>
        <v>PITOGO</v>
      </c>
      <c r="B504" s="4" t="str">
        <f>IFERROR(__xludf.DUMMYFUNCTION("""COMPUTED_VALUE"""),"ITM097")</f>
        <v>ITM097</v>
      </c>
      <c r="C504" s="4" t="str">
        <f>IFERROR(__xludf.DUMMYFUNCTION("""COMPUTED_VALUE"""),"TRASH BAG (SMALL)")</f>
        <v>TRASH BAG (SMALL)</v>
      </c>
      <c r="D504" s="4">
        <f>IFERROR(__xludf.DUMMYFUNCTION("""COMPUTED_VALUE"""),1.0)</f>
        <v>1</v>
      </c>
      <c r="E504" s="4">
        <f>IFERROR(__xludf.DUMMYFUNCTION("""COMPUTED_VALUE"""),0.0)</f>
        <v>0</v>
      </c>
    </row>
    <row r="505">
      <c r="A505" s="4" t="str">
        <f>IFERROR(__xludf.DUMMYFUNCTION("""COMPUTED_VALUE"""),"PITOGO")</f>
        <v>PITOGO</v>
      </c>
      <c r="B505" s="4" t="str">
        <f>IFERROR(__xludf.DUMMYFUNCTION("""COMPUTED_VALUE"""),"ITM094")</f>
        <v>ITM094</v>
      </c>
      <c r="C505" s="4" t="str">
        <f>IFERROR(__xludf.DUMMYFUNCTION("""COMPUTED_VALUE"""),"TRASH BAG (XL)")</f>
        <v>TRASH BAG (XL)</v>
      </c>
      <c r="D505" s="4">
        <f>IFERROR(__xludf.DUMMYFUNCTION("""COMPUTED_VALUE"""),1.0)</f>
        <v>1</v>
      </c>
      <c r="E505" s="4">
        <f>IFERROR(__xludf.DUMMYFUNCTION("""COMPUTED_VALUE"""),0.0)</f>
        <v>0</v>
      </c>
    </row>
    <row r="506">
      <c r="A506" s="4" t="str">
        <f>IFERROR(__xludf.DUMMYFUNCTION("""COMPUTED_VALUE"""),"PITOGO")</f>
        <v>PITOGO</v>
      </c>
      <c r="B506" s="4" t="str">
        <f>IFERROR(__xludf.DUMMYFUNCTION("""COMPUTED_VALUE"""),"ITM031")</f>
        <v>ITM031</v>
      </c>
      <c r="C506" s="4" t="str">
        <f>IFERROR(__xludf.DUMMYFUNCTION("""COMPUTED_VALUE"""),"SCISSORS")</f>
        <v>SCISSORS</v>
      </c>
      <c r="D506" s="4">
        <f>IFERROR(__xludf.DUMMYFUNCTION("""COMPUTED_VALUE"""),1.0)</f>
        <v>1</v>
      </c>
      <c r="E506" s="4">
        <f>IFERROR(__xludf.DUMMYFUNCTION("""COMPUTED_VALUE"""),0.0)</f>
        <v>0</v>
      </c>
    </row>
    <row r="507">
      <c r="A507" s="4" t="str">
        <f>IFERROR(__xludf.DUMMYFUNCTION("""COMPUTED_VALUE"""),"TAYUD CONSOLACION")</f>
        <v>TAYUD CONSOLACION</v>
      </c>
      <c r="B507" s="4" t="str">
        <f>IFERROR(__xludf.DUMMYFUNCTION("""COMPUTED_VALUE"""),"ITM004")</f>
        <v>ITM004</v>
      </c>
      <c r="C507" s="4" t="str">
        <f>IFERROR(__xludf.DUMMYFUNCTION("""COMPUTED_VALUE"""),"BOND PAPER NEWSPRINT (SHORT)")</f>
        <v>BOND PAPER NEWSPRINT (SHORT)</v>
      </c>
      <c r="D507" s="4">
        <f>IFERROR(__xludf.DUMMYFUNCTION("""COMPUTED_VALUE"""),1.0)</f>
        <v>1</v>
      </c>
      <c r="E507" s="4">
        <f>IFERROR(__xludf.DUMMYFUNCTION("""COMPUTED_VALUE"""),0.0)</f>
        <v>0</v>
      </c>
    </row>
    <row r="508">
      <c r="A508" s="4" t="str">
        <f>IFERROR(__xludf.DUMMYFUNCTION("""COMPUTED_VALUE"""),"TAYUD CONSOLACION")</f>
        <v>TAYUD CONSOLACION</v>
      </c>
      <c r="B508" s="4" t="str">
        <f>IFERROR(__xludf.DUMMYFUNCTION("""COMPUTED_VALUE"""),"ITM012")</f>
        <v>ITM012</v>
      </c>
      <c r="C508" s="4" t="str">
        <f>IFERROR(__xludf.DUMMYFUNCTION("""COMPUTED_VALUE"""),"BROWN FOLDER (LONG)")</f>
        <v>BROWN FOLDER (LONG)</v>
      </c>
      <c r="D508" s="4">
        <f>IFERROR(__xludf.DUMMYFUNCTION("""COMPUTED_VALUE"""),20.0)</f>
        <v>20</v>
      </c>
      <c r="E508" s="4">
        <f>IFERROR(__xludf.DUMMYFUNCTION("""COMPUTED_VALUE"""),0.0)</f>
        <v>0</v>
      </c>
    </row>
    <row r="509">
      <c r="A509" s="4" t="str">
        <f>IFERROR(__xludf.DUMMYFUNCTION("""COMPUTED_VALUE"""),"TAYUD CONSOLACION")</f>
        <v>TAYUD CONSOLACION</v>
      </c>
      <c r="B509" s="4" t="str">
        <f>IFERROR(__xludf.DUMMYFUNCTION("""COMPUTED_VALUE"""),"ITM032")</f>
        <v>ITM032</v>
      </c>
      <c r="C509" s="4" t="str">
        <f>IFERROR(__xludf.DUMMYFUNCTION("""COMPUTED_VALUE"""),"GLUE")</f>
        <v>GLUE</v>
      </c>
      <c r="D509" s="4">
        <f>IFERROR(__xludf.DUMMYFUNCTION("""COMPUTED_VALUE"""),1.0)</f>
        <v>1</v>
      </c>
      <c r="E509" s="4">
        <f>IFERROR(__xludf.DUMMYFUNCTION("""COMPUTED_VALUE"""),0.0)</f>
        <v>0</v>
      </c>
    </row>
    <row r="510">
      <c r="A510" s="4" t="str">
        <f>IFERROR(__xludf.DUMMYFUNCTION("""COMPUTED_VALUE"""),"TAYUD CONSOLACION")</f>
        <v>TAYUD CONSOLACION</v>
      </c>
      <c r="B510" s="4" t="str">
        <f>IFERROR(__xludf.DUMMYFUNCTION("""COMPUTED_VALUE"""),"ITM038")</f>
        <v>ITM038</v>
      </c>
      <c r="C510" s="4" t="str">
        <f>IFERROR(__xludf.DUMMYFUNCTION("""COMPUTED_VALUE"""),"MASKING TAPE")</f>
        <v>MASKING TAPE</v>
      </c>
      <c r="D510" s="4">
        <f>IFERROR(__xludf.DUMMYFUNCTION("""COMPUTED_VALUE"""),2.0)</f>
        <v>2</v>
      </c>
      <c r="E510" s="4">
        <f>IFERROR(__xludf.DUMMYFUNCTION("""COMPUTED_VALUE"""),0.0)</f>
        <v>0</v>
      </c>
    </row>
    <row r="511">
      <c r="A511" s="4" t="str">
        <f>IFERROR(__xludf.DUMMYFUNCTION("""COMPUTED_VALUE"""),"TAYUD CONSOLACION")</f>
        <v>TAYUD CONSOLACION</v>
      </c>
      <c r="B511" s="4" t="str">
        <f>IFERROR(__xludf.DUMMYFUNCTION("""COMPUTED_VALUE"""),"ITM039")</f>
        <v>ITM039</v>
      </c>
      <c r="C511" s="4" t="str">
        <f>IFERROR(__xludf.DUMMYFUNCTION("""COMPUTED_VALUE"""),"PACKAGING TAPE BROWN")</f>
        <v>PACKAGING TAPE BROWN</v>
      </c>
      <c r="D511" s="4">
        <f>IFERROR(__xludf.DUMMYFUNCTION("""COMPUTED_VALUE"""),1.0)</f>
        <v>1</v>
      </c>
      <c r="E511" s="4">
        <f>IFERROR(__xludf.DUMMYFUNCTION("""COMPUTED_VALUE"""),0.0)</f>
        <v>0</v>
      </c>
    </row>
    <row r="512">
      <c r="A512" s="4" t="str">
        <f>IFERROR(__xludf.DUMMYFUNCTION("""COMPUTED_VALUE"""),"TAYUD CONSOLACION")</f>
        <v>TAYUD CONSOLACION</v>
      </c>
      <c r="B512" s="4" t="str">
        <f>IFERROR(__xludf.DUMMYFUNCTION("""COMPUTED_VALUE"""),"ITM063")</f>
        <v>ITM063</v>
      </c>
      <c r="C512" s="4" t="str">
        <f>IFERROR(__xludf.DUMMYFUNCTION("""COMPUTED_VALUE"""),"SAFEGUARD SOAP")</f>
        <v>SAFEGUARD SOAP</v>
      </c>
      <c r="D512" s="4">
        <f>IFERROR(__xludf.DUMMYFUNCTION("""COMPUTED_VALUE"""),1.0)</f>
        <v>1</v>
      </c>
      <c r="E512" s="4">
        <f>IFERROR(__xludf.DUMMYFUNCTION("""COMPUTED_VALUE"""),0.0)</f>
        <v>0</v>
      </c>
    </row>
    <row r="513">
      <c r="A513" s="4" t="str">
        <f>IFERROR(__xludf.DUMMYFUNCTION("""COMPUTED_VALUE"""),"TAYUD CONSOLACION")</f>
        <v>TAYUD CONSOLACION</v>
      </c>
      <c r="B513" s="4" t="str">
        <f>IFERROR(__xludf.DUMMYFUNCTION("""COMPUTED_VALUE"""),"ITM036")</f>
        <v>ITM036</v>
      </c>
      <c r="C513" s="4" t="str">
        <f>IFERROR(__xludf.DUMMYFUNCTION("""COMPUTED_VALUE"""),"SCOTCH TAPE (1 INCH)")</f>
        <v>SCOTCH TAPE (1 INCH)</v>
      </c>
      <c r="D513" s="4">
        <f>IFERROR(__xludf.DUMMYFUNCTION("""COMPUTED_VALUE"""),2.0)</f>
        <v>2</v>
      </c>
      <c r="E513" s="4">
        <f>IFERROR(__xludf.DUMMYFUNCTION("""COMPUTED_VALUE"""),0.0)</f>
        <v>0</v>
      </c>
    </row>
    <row r="514">
      <c r="A514" s="4" t="str">
        <f>IFERROR(__xludf.DUMMYFUNCTION("""COMPUTED_VALUE"""),"TAYUD CONSOLACION")</f>
        <v>TAYUD CONSOLACION</v>
      </c>
      <c r="B514" s="4" t="str">
        <f>IFERROR(__xludf.DUMMYFUNCTION("""COMPUTED_VALUE"""),"ITM035")</f>
        <v>ITM035</v>
      </c>
      <c r="C514" s="4" t="str">
        <f>IFERROR(__xludf.DUMMYFUNCTION("""COMPUTED_VALUE"""),"TAPE DISPENSER BIG")</f>
        <v>TAPE DISPENSER BIG</v>
      </c>
      <c r="D514" s="4">
        <f>IFERROR(__xludf.DUMMYFUNCTION("""COMPUTED_VALUE"""),1.0)</f>
        <v>1</v>
      </c>
      <c r="E514" s="4">
        <f>IFERROR(__xludf.DUMMYFUNCTION("""COMPUTED_VALUE"""),0.0)</f>
        <v>0</v>
      </c>
    </row>
    <row r="515">
      <c r="A515" s="4" t="str">
        <f>IFERROR(__xludf.DUMMYFUNCTION("""COMPUTED_VALUE"""),"PINAMUNGAJAN")</f>
        <v>PINAMUNGAJAN</v>
      </c>
      <c r="B515" s="4" t="str">
        <f>IFERROR(__xludf.DUMMYFUNCTION("""COMPUTED_VALUE"""),"ITM012")</f>
        <v>ITM012</v>
      </c>
      <c r="C515" s="4" t="str">
        <f>IFERROR(__xludf.DUMMYFUNCTION("""COMPUTED_VALUE"""),"BROWN FOLDER (LONG)")</f>
        <v>BROWN FOLDER (LONG)</v>
      </c>
      <c r="D515" s="4">
        <f>IFERROR(__xludf.DUMMYFUNCTION("""COMPUTED_VALUE"""),20.0)</f>
        <v>20</v>
      </c>
      <c r="E515" s="4">
        <f>IFERROR(__xludf.DUMMYFUNCTION("""COMPUTED_VALUE"""),0.0)</f>
        <v>0</v>
      </c>
    </row>
    <row r="516">
      <c r="A516" s="4" t="str">
        <f>IFERROR(__xludf.DUMMYFUNCTION("""COMPUTED_VALUE"""),"PINAMUNGAJAN")</f>
        <v>PINAMUNGAJAN</v>
      </c>
      <c r="B516" s="4" t="str">
        <f>IFERROR(__xludf.DUMMYFUNCTION("""COMPUTED_VALUE"""),"ITM077")</f>
        <v>ITM077</v>
      </c>
      <c r="C516" s="4" t="str">
        <f>IFERROR(__xludf.DUMMYFUNCTION("""COMPUTED_VALUE"""),"CABLE TIE")</f>
        <v>CABLE TIE</v>
      </c>
      <c r="D516" s="4">
        <f>IFERROR(__xludf.DUMMYFUNCTION("""COMPUTED_VALUE"""),1.0)</f>
        <v>1</v>
      </c>
      <c r="E516" s="4">
        <f>IFERROR(__xludf.DUMMYFUNCTION("""COMPUTED_VALUE"""),0.0)</f>
        <v>0</v>
      </c>
    </row>
    <row r="517">
      <c r="A517" s="4" t="str">
        <f>IFERROR(__xludf.DUMMYFUNCTION("""COMPUTED_VALUE"""),"PINAMUNGAJAN")</f>
        <v>PINAMUNGAJAN</v>
      </c>
      <c r="B517" s="4" t="str">
        <f>IFERROR(__xludf.DUMMYFUNCTION("""COMPUTED_VALUE"""),"ITM056")</f>
        <v>ITM056</v>
      </c>
      <c r="C517" s="4" t="str">
        <f>IFERROR(__xludf.DUMMYFUNCTION("""COMPUTED_VALUE"""),"PRIDE SOAP POWDER")</f>
        <v>PRIDE SOAP POWDER</v>
      </c>
      <c r="D517" s="4">
        <f>IFERROR(__xludf.DUMMYFUNCTION("""COMPUTED_VALUE"""),6.0)</f>
        <v>6</v>
      </c>
      <c r="E517" s="4">
        <f>IFERROR(__xludf.DUMMYFUNCTION("""COMPUTED_VALUE"""),0.0)</f>
        <v>0</v>
      </c>
    </row>
    <row r="518">
      <c r="A518" s="4" t="str">
        <f>IFERROR(__xludf.DUMMYFUNCTION("""COMPUTED_VALUE"""),"PINAMUNGAJAN")</f>
        <v>PINAMUNGAJAN</v>
      </c>
      <c r="B518" s="4" t="str">
        <f>IFERROR(__xludf.DUMMYFUNCTION("""COMPUTED_VALUE"""),"ITM096")</f>
        <v>ITM096</v>
      </c>
      <c r="C518" s="4" t="str">
        <f>IFERROR(__xludf.DUMMYFUNCTION("""COMPUTED_VALUE"""),"TRASH BAG (MEDIUM)")</f>
        <v>TRASH BAG (MEDIUM)</v>
      </c>
      <c r="D518" s="4">
        <f>IFERROR(__xludf.DUMMYFUNCTION("""COMPUTED_VALUE"""),1.0)</f>
        <v>1</v>
      </c>
      <c r="E518" s="4">
        <f>IFERROR(__xludf.DUMMYFUNCTION("""COMPUTED_VALUE"""),0.0)</f>
        <v>0</v>
      </c>
    </row>
    <row r="519">
      <c r="A519" s="4" t="str">
        <f>IFERROR(__xludf.DUMMYFUNCTION("""COMPUTED_VALUE"""),"PINAMUNGAJAN")</f>
        <v>PINAMUNGAJAN</v>
      </c>
      <c r="B519" s="4" t="str">
        <f>IFERROR(__xludf.DUMMYFUNCTION("""COMPUTED_VALUE"""),"ITM006")</f>
        <v>ITM006</v>
      </c>
      <c r="C519" s="4" t="str">
        <f>IFERROR(__xludf.DUMMYFUNCTION("""COMPUTED_VALUE"""),"VELLUM PAPER")</f>
        <v>VELLUM PAPER</v>
      </c>
      <c r="D519" s="4">
        <f>IFERROR(__xludf.DUMMYFUNCTION("""COMPUTED_VALUE"""),20.0)</f>
        <v>20</v>
      </c>
      <c r="E519" s="4">
        <f>IFERROR(__xludf.DUMMYFUNCTION("""COMPUTED_VALUE"""),0.0)</f>
        <v>0</v>
      </c>
    </row>
    <row r="520">
      <c r="A520" s="4" t="str">
        <f>IFERROR(__xludf.DUMMYFUNCTION("""COMPUTED_VALUE"""),"PINAMUNGAJAN")</f>
        <v>PINAMUNGAJAN</v>
      </c>
      <c r="B520" s="4" t="str">
        <f>IFERROR(__xludf.DUMMYFUNCTION("""COMPUTED_VALUE"""),"ITM023")</f>
        <v>ITM023</v>
      </c>
      <c r="C520" s="4" t="str">
        <f>IFERROR(__xludf.DUMMYFUNCTION("""COMPUTED_VALUE"""),"HIGHLIGHTER")</f>
        <v>HIGHLIGHTER</v>
      </c>
      <c r="D520" s="4">
        <f>IFERROR(__xludf.DUMMYFUNCTION("""COMPUTED_VALUE"""),2.0)</f>
        <v>2</v>
      </c>
      <c r="E520" s="4">
        <f>IFERROR(__xludf.DUMMYFUNCTION("""COMPUTED_VALUE"""),0.0)</f>
        <v>0</v>
      </c>
    </row>
    <row r="521">
      <c r="A521" s="4" t="str">
        <f>IFERROR(__xludf.DUMMYFUNCTION("""COMPUTED_VALUE"""),"PINAMUNGAJAN")</f>
        <v>PINAMUNGAJAN</v>
      </c>
      <c r="B521" s="4" t="str">
        <f>IFERROR(__xludf.DUMMYFUNCTION("""COMPUTED_VALUE"""),"ITM002")</f>
        <v>ITM002</v>
      </c>
      <c r="C521" s="4" t="str">
        <f>IFERROR(__xludf.DUMMYFUNCTION("""COMPUTED_VALUE"""),"BOND PAPER (SHORT)")</f>
        <v>BOND PAPER (SHORT)</v>
      </c>
      <c r="D521" s="4">
        <f>IFERROR(__xludf.DUMMYFUNCTION("""COMPUTED_VALUE"""),1.0)</f>
        <v>1</v>
      </c>
      <c r="E521" s="4">
        <f>IFERROR(__xludf.DUMMYFUNCTION("""COMPUTED_VALUE"""),0.0)</f>
        <v>0</v>
      </c>
    </row>
    <row r="522">
      <c r="A522" s="4" t="str">
        <f>IFERROR(__xludf.DUMMYFUNCTION("""COMPUTED_VALUE"""),"PINAMUNGAJAN")</f>
        <v>PINAMUNGAJAN</v>
      </c>
      <c r="B522" s="4" t="str">
        <f>IFERROR(__xludf.DUMMYFUNCTION("""COMPUTED_VALUE"""),"ITM003")</f>
        <v>ITM003</v>
      </c>
      <c r="C522" s="4" t="str">
        <f>IFERROR(__xludf.DUMMYFUNCTION("""COMPUTED_VALUE"""),"BOND PAPER A4")</f>
        <v>BOND PAPER A4</v>
      </c>
      <c r="D522" s="4">
        <f>IFERROR(__xludf.DUMMYFUNCTION("""COMPUTED_VALUE"""),1.0)</f>
        <v>1</v>
      </c>
      <c r="E522" s="4">
        <f>IFERROR(__xludf.DUMMYFUNCTION("""COMPUTED_VALUE"""),0.0)</f>
        <v>0</v>
      </c>
    </row>
    <row r="523">
      <c r="A523" s="4" t="str">
        <f>IFERROR(__xludf.DUMMYFUNCTION("""COMPUTED_VALUE"""),"PINAMUNGAJAN")</f>
        <v>PINAMUNGAJAN</v>
      </c>
      <c r="B523" s="4" t="str">
        <f>IFERROR(__xludf.DUMMYFUNCTION("""COMPUTED_VALUE"""),"ITM019")</f>
        <v>ITM019</v>
      </c>
      <c r="C523" s="4" t="str">
        <f>IFERROR(__xludf.DUMMYFUNCTION("""COMPUTED_VALUE"""),"FLEXSTICK BLACK BALLPEN (0.5)")</f>
        <v>FLEXSTICK BLACK BALLPEN (0.5)</v>
      </c>
      <c r="D523" s="4">
        <f>IFERROR(__xludf.DUMMYFUNCTION("""COMPUTED_VALUE"""),6.0)</f>
        <v>6</v>
      </c>
      <c r="E523" s="4">
        <f>IFERROR(__xludf.DUMMYFUNCTION("""COMPUTED_VALUE"""),0.0)</f>
        <v>0</v>
      </c>
    </row>
    <row r="524">
      <c r="A524" s="4" t="str">
        <f>IFERROR(__xludf.DUMMYFUNCTION("""COMPUTED_VALUE"""),"PINAMUNGAJAN")</f>
        <v>PINAMUNGAJAN</v>
      </c>
      <c r="B524" s="4" t="str">
        <f>IFERROR(__xludf.DUMMYFUNCTION("""COMPUTED_VALUE"""),"ITM061")</f>
        <v>ITM061</v>
      </c>
      <c r="C524" s="4" t="str">
        <f>IFERROR(__xludf.DUMMYFUNCTION("""COMPUTED_VALUE"""),"JOY")</f>
        <v>JOY</v>
      </c>
      <c r="D524" s="4">
        <f>IFERROR(__xludf.DUMMYFUNCTION("""COMPUTED_VALUE"""),2.0)</f>
        <v>2</v>
      </c>
      <c r="E524" s="4">
        <f>IFERROR(__xludf.DUMMYFUNCTION("""COMPUTED_VALUE"""),0.0)</f>
        <v>0</v>
      </c>
    </row>
    <row r="525">
      <c r="A525" s="4" t="str">
        <f>IFERROR(__xludf.DUMMYFUNCTION("""COMPUTED_VALUE"""),"PINAMUNGAJAN")</f>
        <v>PINAMUNGAJAN</v>
      </c>
      <c r="B525" s="4" t="str">
        <f>IFERROR(__xludf.DUMMYFUNCTION("""COMPUTED_VALUE"""),"ITM094")</f>
        <v>ITM094</v>
      </c>
      <c r="C525" s="4" t="str">
        <f>IFERROR(__xludf.DUMMYFUNCTION("""COMPUTED_VALUE"""),"TRASH BAG (XL)")</f>
        <v>TRASH BAG (XL)</v>
      </c>
      <c r="D525" s="4">
        <f>IFERROR(__xludf.DUMMYFUNCTION("""COMPUTED_VALUE"""),1.0)</f>
        <v>1</v>
      </c>
      <c r="E525" s="4">
        <f>IFERROR(__xludf.DUMMYFUNCTION("""COMPUTED_VALUE"""),0.0)</f>
        <v>0</v>
      </c>
    </row>
    <row r="526">
      <c r="A526" s="4" t="str">
        <f>IFERROR(__xludf.DUMMYFUNCTION("""COMPUTED_VALUE"""),"PINAMUNGAJAN")</f>
        <v>PINAMUNGAJAN</v>
      </c>
      <c r="B526" s="4" t="str">
        <f>IFERROR(__xludf.DUMMYFUNCTION("""COMPUTED_VALUE"""),"ITM014")</f>
        <v>ITM014</v>
      </c>
      <c r="C526" s="4" t="str">
        <f>IFERROR(__xludf.DUMMYFUNCTION("""COMPUTED_VALUE"""),"WHITE FOLDER (LONG)")</f>
        <v>WHITE FOLDER (LONG)</v>
      </c>
      <c r="D526" s="4">
        <f>IFERROR(__xludf.DUMMYFUNCTION("""COMPUTED_VALUE"""),10.0)</f>
        <v>10</v>
      </c>
      <c r="E526" s="4">
        <f>IFERROR(__xludf.DUMMYFUNCTION("""COMPUTED_VALUE"""),0.0)</f>
        <v>0</v>
      </c>
    </row>
    <row r="527">
      <c r="A527" s="4" t="str">
        <f>IFERROR(__xludf.DUMMYFUNCTION("""COMPUTED_VALUE"""),"PINAMUNGAJAN")</f>
        <v>PINAMUNGAJAN</v>
      </c>
      <c r="B527" s="4" t="str">
        <f>IFERROR(__xludf.DUMMYFUNCTION("""COMPUTED_VALUE"""),"ITM015")</f>
        <v>ITM015</v>
      </c>
      <c r="C527" s="4" t="str">
        <f>IFERROR(__xludf.DUMMYFUNCTION("""COMPUTED_VALUE"""),"WHITE FOLDER (SHORT)")</f>
        <v>WHITE FOLDER (SHORT)</v>
      </c>
      <c r="D527" s="4">
        <f>IFERROR(__xludf.DUMMYFUNCTION("""COMPUTED_VALUE"""),10.0)</f>
        <v>10</v>
      </c>
      <c r="E527" s="4">
        <f>IFERROR(__xludf.DUMMYFUNCTION("""COMPUTED_VALUE"""),0.0)</f>
        <v>0</v>
      </c>
    </row>
    <row r="528">
      <c r="A528" s="4" t="str">
        <f>IFERROR(__xludf.DUMMYFUNCTION("""COMPUTED_VALUE"""),"PINAMUNGAJAN")</f>
        <v>PINAMUNGAJAN</v>
      </c>
      <c r="B528" s="4" t="str">
        <f>IFERROR(__xludf.DUMMYFUNCTION("""COMPUTED_VALUE"""),"ITM089")</f>
        <v>ITM089</v>
      </c>
      <c r="C528" s="4" t="str">
        <f>IFERROR(__xludf.DUMMYFUNCTION("""COMPUTED_VALUE"""),"ZONROX (COLORSAFE)")</f>
        <v>ZONROX (COLORSAFE)</v>
      </c>
      <c r="D528" s="4">
        <f>IFERROR(__xludf.DUMMYFUNCTION("""COMPUTED_VALUE"""),1.0)</f>
        <v>1</v>
      </c>
      <c r="E528" s="4">
        <f>IFERROR(__xludf.DUMMYFUNCTION("""COMPUTED_VALUE"""),0.0)</f>
        <v>0</v>
      </c>
    </row>
    <row r="529">
      <c r="A529" s="4" t="str">
        <f>IFERROR(__xludf.DUMMYFUNCTION("""COMPUTED_VALUE"""),"PINAMUNGAJAN")</f>
        <v>PINAMUNGAJAN</v>
      </c>
      <c r="B529" s="4" t="str">
        <f>IFERROR(__xludf.DUMMYFUNCTION("""COMPUTED_VALUE"""),"ITM064")</f>
        <v>ITM064</v>
      </c>
      <c r="C529" s="4" t="str">
        <f>IFERROR(__xludf.DUMMYFUNCTION("""COMPUTED_VALUE"""),"STICKY NOTES 2X2 A02")</f>
        <v>STICKY NOTES 2X2 A02</v>
      </c>
      <c r="D529" s="4">
        <f>IFERROR(__xludf.DUMMYFUNCTION("""COMPUTED_VALUE"""),1.0)</f>
        <v>1</v>
      </c>
      <c r="E529" s="4">
        <f>IFERROR(__xludf.DUMMYFUNCTION("""COMPUTED_VALUE"""),0.0)</f>
        <v>0</v>
      </c>
    </row>
    <row r="530">
      <c r="A530" s="4" t="str">
        <f>IFERROR(__xludf.DUMMYFUNCTION("""COMPUTED_VALUE"""),"PINAMUNGAJAN")</f>
        <v>PINAMUNGAJAN</v>
      </c>
      <c r="B530" s="4" t="str">
        <f>IFERROR(__xludf.DUMMYFUNCTION("""COMPUTED_VALUE"""),"ITM060")</f>
        <v>ITM060</v>
      </c>
      <c r="C530" s="4" t="str">
        <f>IFERROR(__xludf.DUMMYFUNCTION("""COMPUTED_VALUE"""),"SUPER COLOR MARKER PILOT (BLACK)")</f>
        <v>SUPER COLOR MARKER PILOT (BLACK)</v>
      </c>
      <c r="D530" s="4">
        <f>IFERROR(__xludf.DUMMYFUNCTION("""COMPUTED_VALUE"""),1.0)</f>
        <v>1</v>
      </c>
      <c r="E530" s="4">
        <f>IFERROR(__xludf.DUMMYFUNCTION("""COMPUTED_VALUE"""),0.0)</f>
        <v>0</v>
      </c>
    </row>
    <row r="531">
      <c r="A531" s="4" t="str">
        <f>IFERROR(__xludf.DUMMYFUNCTION("""COMPUTED_VALUE"""),"CANDIJAY")</f>
        <v>CANDIJAY</v>
      </c>
      <c r="B531" s="4" t="str">
        <f>IFERROR(__xludf.DUMMYFUNCTION("""COMPUTED_VALUE"""),"ITM027")</f>
        <v>ITM027</v>
      </c>
      <c r="C531" s="4" t="str">
        <f>IFERROR(__xludf.DUMMYFUNCTION("""COMPUTED_VALUE"""),"CORRECTION TAPE")</f>
        <v>CORRECTION TAPE</v>
      </c>
      <c r="D531" s="4">
        <f>IFERROR(__xludf.DUMMYFUNCTION("""COMPUTED_VALUE"""),3.0)</f>
        <v>3</v>
      </c>
      <c r="E531" s="4">
        <f>IFERROR(__xludf.DUMMYFUNCTION("""COMPUTED_VALUE"""),0.0)</f>
        <v>0</v>
      </c>
    </row>
    <row r="532">
      <c r="A532" s="4" t="str">
        <f>IFERROR(__xludf.DUMMYFUNCTION("""COMPUTED_VALUE"""),"CANDIJAY")</f>
        <v>CANDIJAY</v>
      </c>
      <c r="B532" s="4" t="str">
        <f>IFERROR(__xludf.DUMMYFUNCTION("""COMPUTED_VALUE"""),"ITM019")</f>
        <v>ITM019</v>
      </c>
      <c r="C532" s="4" t="str">
        <f>IFERROR(__xludf.DUMMYFUNCTION("""COMPUTED_VALUE"""),"FLEXSTICK BLACK BALLPEN (0.5)")</f>
        <v>FLEXSTICK BLACK BALLPEN (0.5)</v>
      </c>
      <c r="D532" s="4">
        <f>IFERROR(__xludf.DUMMYFUNCTION("""COMPUTED_VALUE"""),8.0)</f>
        <v>8</v>
      </c>
      <c r="E532" s="4">
        <f>IFERROR(__xludf.DUMMYFUNCTION("""COMPUTED_VALUE"""),0.0)</f>
        <v>0</v>
      </c>
    </row>
    <row r="533">
      <c r="A533" s="4" t="str">
        <f>IFERROR(__xludf.DUMMYFUNCTION("""COMPUTED_VALUE"""),"CANDIJAY")</f>
        <v>CANDIJAY</v>
      </c>
      <c r="B533" s="4" t="str">
        <f>IFERROR(__xludf.DUMMYFUNCTION("""COMPUTED_VALUE"""),"ITM020")</f>
        <v>ITM020</v>
      </c>
      <c r="C533" s="4" t="str">
        <f>IFERROR(__xludf.DUMMYFUNCTION("""COMPUTED_VALUE"""),"FLEXSTICK RED BALLPEN (0.5)")</f>
        <v>FLEXSTICK RED BALLPEN (0.5)</v>
      </c>
      <c r="D533" s="4">
        <f>IFERROR(__xludf.DUMMYFUNCTION("""COMPUTED_VALUE"""),8.0)</f>
        <v>8</v>
      </c>
      <c r="E533" s="4">
        <f>IFERROR(__xludf.DUMMYFUNCTION("""COMPUTED_VALUE"""),0.0)</f>
        <v>0</v>
      </c>
    </row>
    <row r="534">
      <c r="A534" s="4" t="str">
        <f>IFERROR(__xludf.DUMMYFUNCTION("""COMPUTED_VALUE"""),"CANDIJAY")</f>
        <v>CANDIJAY</v>
      </c>
      <c r="B534" s="4" t="str">
        <f>IFERROR(__xludf.DUMMYFUNCTION("""COMPUTED_VALUE"""),"ITM061")</f>
        <v>ITM061</v>
      </c>
      <c r="C534" s="4" t="str">
        <f>IFERROR(__xludf.DUMMYFUNCTION("""COMPUTED_VALUE"""),"JOY")</f>
        <v>JOY</v>
      </c>
      <c r="D534" s="4">
        <f>IFERROR(__xludf.DUMMYFUNCTION("""COMPUTED_VALUE"""),5.0)</f>
        <v>5</v>
      </c>
      <c r="E534" s="4">
        <f>IFERROR(__xludf.DUMMYFUNCTION("""COMPUTED_VALUE"""),0.0)</f>
        <v>0</v>
      </c>
    </row>
    <row r="535">
      <c r="A535" s="4" t="str">
        <f>IFERROR(__xludf.DUMMYFUNCTION("""COMPUTED_VALUE"""),"CANDIJAY")</f>
        <v>CANDIJAY</v>
      </c>
      <c r="B535" s="4" t="str">
        <f>IFERROR(__xludf.DUMMYFUNCTION("""COMPUTED_VALUE"""),"ITM092")</f>
        <v>ITM092</v>
      </c>
      <c r="C535" s="4" t="str">
        <f>IFERROR(__xludf.DUMMYFUNCTION("""COMPUTED_VALUE"""),"RAGS")</f>
        <v>RAGS</v>
      </c>
      <c r="D535" s="4">
        <f>IFERROR(__xludf.DUMMYFUNCTION("""COMPUTED_VALUE"""),1.0)</f>
        <v>1</v>
      </c>
      <c r="E535" s="4">
        <f>IFERROR(__xludf.DUMMYFUNCTION("""COMPUTED_VALUE"""),0.0)</f>
        <v>0</v>
      </c>
    </row>
    <row r="536">
      <c r="A536" s="4" t="str">
        <f>IFERROR(__xludf.DUMMYFUNCTION("""COMPUTED_VALUE"""),"CANDIJAY")</f>
        <v>CANDIJAY</v>
      </c>
      <c r="B536" s="4" t="str">
        <f>IFERROR(__xludf.DUMMYFUNCTION("""COMPUTED_VALUE"""),"ITM006")</f>
        <v>ITM006</v>
      </c>
      <c r="C536" s="4" t="str">
        <f>IFERROR(__xludf.DUMMYFUNCTION("""COMPUTED_VALUE"""),"VELLUM PAPER")</f>
        <v>VELLUM PAPER</v>
      </c>
      <c r="D536" s="4">
        <f>IFERROR(__xludf.DUMMYFUNCTION("""COMPUTED_VALUE"""),20.0)</f>
        <v>20</v>
      </c>
      <c r="E536" s="4">
        <f>IFERROR(__xludf.DUMMYFUNCTION("""COMPUTED_VALUE"""),0.0)</f>
        <v>0</v>
      </c>
    </row>
    <row r="537">
      <c r="A537" s="4" t="str">
        <f>IFERROR(__xludf.DUMMYFUNCTION("""COMPUTED_VALUE"""),"CANDIJAY")</f>
        <v>CANDIJAY</v>
      </c>
      <c r="B537" s="4" t="str">
        <f>IFERROR(__xludf.DUMMYFUNCTION("""COMPUTED_VALUE"""),"ITM038")</f>
        <v>ITM038</v>
      </c>
      <c r="C537" s="4" t="str">
        <f>IFERROR(__xludf.DUMMYFUNCTION("""COMPUTED_VALUE"""),"MASKING TAPE")</f>
        <v>MASKING TAPE</v>
      </c>
      <c r="D537" s="4">
        <f>IFERROR(__xludf.DUMMYFUNCTION("""COMPUTED_VALUE"""),3.0)</f>
        <v>3</v>
      </c>
      <c r="E537" s="4">
        <f>IFERROR(__xludf.DUMMYFUNCTION("""COMPUTED_VALUE"""),0.0)</f>
        <v>0</v>
      </c>
    </row>
    <row r="538">
      <c r="A538" s="4" t="str">
        <f>IFERROR(__xludf.DUMMYFUNCTION("""COMPUTED_VALUE"""),"CANDIJAY")</f>
        <v>CANDIJAY</v>
      </c>
      <c r="B538" s="4" t="str">
        <f>IFERROR(__xludf.DUMMYFUNCTION("""COMPUTED_VALUE"""),"ITM001")</f>
        <v>ITM001</v>
      </c>
      <c r="C538" s="4" t="str">
        <f>IFERROR(__xludf.DUMMYFUNCTION("""COMPUTED_VALUE"""),"BOND PAPER (LONG)")</f>
        <v>BOND PAPER (LONG)</v>
      </c>
      <c r="D538" s="4">
        <f>IFERROR(__xludf.DUMMYFUNCTION("""COMPUTED_VALUE"""),1.0)</f>
        <v>1</v>
      </c>
      <c r="E538" s="4">
        <f>IFERROR(__xludf.DUMMYFUNCTION("""COMPUTED_VALUE"""),0.0)</f>
        <v>0</v>
      </c>
    </row>
    <row r="539">
      <c r="A539" s="4" t="str">
        <f>IFERROR(__xludf.DUMMYFUNCTION("""COMPUTED_VALUE"""),"CANDIJAY")</f>
        <v>CANDIJAY</v>
      </c>
      <c r="B539" s="4" t="str">
        <f>IFERROR(__xludf.DUMMYFUNCTION("""COMPUTED_VALUE"""),"ITM002")</f>
        <v>ITM002</v>
      </c>
      <c r="C539" s="4" t="str">
        <f>IFERROR(__xludf.DUMMYFUNCTION("""COMPUTED_VALUE"""),"BOND PAPER (SHORT)")</f>
        <v>BOND PAPER (SHORT)</v>
      </c>
      <c r="D539" s="4">
        <f>IFERROR(__xludf.DUMMYFUNCTION("""COMPUTED_VALUE"""),1.0)</f>
        <v>1</v>
      </c>
      <c r="E539" s="4">
        <f>IFERROR(__xludf.DUMMYFUNCTION("""COMPUTED_VALUE"""),0.0)</f>
        <v>0</v>
      </c>
    </row>
    <row r="540">
      <c r="A540" s="4" t="str">
        <f>IFERROR(__xludf.DUMMYFUNCTION("""COMPUTED_VALUE"""),"CANDIJAY")</f>
        <v>CANDIJAY</v>
      </c>
      <c r="B540" s="4" t="str">
        <f>IFERROR(__xludf.DUMMYFUNCTION("""COMPUTED_VALUE"""),"ITM012")</f>
        <v>ITM012</v>
      </c>
      <c r="C540" s="4" t="str">
        <f>IFERROR(__xludf.DUMMYFUNCTION("""COMPUTED_VALUE"""),"BROWN FOLDER (LONG)")</f>
        <v>BROWN FOLDER (LONG)</v>
      </c>
      <c r="D540" s="4">
        <f>IFERROR(__xludf.DUMMYFUNCTION("""COMPUTED_VALUE"""),30.0)</f>
        <v>30</v>
      </c>
      <c r="E540" s="4">
        <f>IFERROR(__xludf.DUMMYFUNCTION("""COMPUTED_VALUE"""),0.0)</f>
        <v>0</v>
      </c>
    </row>
    <row r="541">
      <c r="A541" s="4" t="str">
        <f>IFERROR(__xludf.DUMMYFUNCTION("""COMPUTED_VALUE"""),"CANDIJAY")</f>
        <v>CANDIJAY</v>
      </c>
      <c r="B541" s="4" t="str">
        <f>IFERROR(__xludf.DUMMYFUNCTION("""COMPUTED_VALUE"""),"ITM104")</f>
        <v>ITM104</v>
      </c>
      <c r="C541" s="4" t="str">
        <f>IFERROR(__xludf.DUMMYFUNCTION("""COMPUTED_VALUE"""),"DTR CARD")</f>
        <v>DTR CARD</v>
      </c>
      <c r="D541" s="4">
        <f>IFERROR(__xludf.DUMMYFUNCTION("""COMPUTED_VALUE"""),40.0)</f>
        <v>40</v>
      </c>
      <c r="E541" s="4">
        <f>IFERROR(__xludf.DUMMYFUNCTION("""COMPUTED_VALUE"""),0.0)</f>
        <v>0</v>
      </c>
    </row>
    <row r="542">
      <c r="A542" s="4" t="str">
        <f>IFERROR(__xludf.DUMMYFUNCTION("""COMPUTED_VALUE"""),"YATI LILOAN")</f>
        <v>YATI LILOAN</v>
      </c>
      <c r="B542" s="4" t="str">
        <f>IFERROR(__xludf.DUMMYFUNCTION("""COMPUTED_VALUE"""),"ITM001")</f>
        <v>ITM001</v>
      </c>
      <c r="C542" s="4" t="str">
        <f>IFERROR(__xludf.DUMMYFUNCTION("""COMPUTED_VALUE"""),"BOND PAPER (LONG)")</f>
        <v>BOND PAPER (LONG)</v>
      </c>
      <c r="D542" s="4">
        <f>IFERROR(__xludf.DUMMYFUNCTION("""COMPUTED_VALUE"""),1.0)</f>
        <v>1</v>
      </c>
      <c r="E542" s="4">
        <f>IFERROR(__xludf.DUMMYFUNCTION("""COMPUTED_VALUE"""),0.0)</f>
        <v>0</v>
      </c>
    </row>
    <row r="543">
      <c r="A543" s="4" t="str">
        <f>IFERROR(__xludf.DUMMYFUNCTION("""COMPUTED_VALUE"""),"YATI LILOAN")</f>
        <v>YATI LILOAN</v>
      </c>
      <c r="B543" s="4" t="str">
        <f>IFERROR(__xludf.DUMMYFUNCTION("""COMPUTED_VALUE"""),"ITM002")</f>
        <v>ITM002</v>
      </c>
      <c r="C543" s="4" t="str">
        <f>IFERROR(__xludf.DUMMYFUNCTION("""COMPUTED_VALUE"""),"BOND PAPER (SHORT)")</f>
        <v>BOND PAPER (SHORT)</v>
      </c>
      <c r="D543" s="4">
        <f>IFERROR(__xludf.DUMMYFUNCTION("""COMPUTED_VALUE"""),1.0)</f>
        <v>1</v>
      </c>
      <c r="E543" s="4">
        <f>IFERROR(__xludf.DUMMYFUNCTION("""COMPUTED_VALUE"""),0.0)</f>
        <v>0</v>
      </c>
    </row>
    <row r="544">
      <c r="A544" s="4" t="str">
        <f>IFERROR(__xludf.DUMMYFUNCTION("""COMPUTED_VALUE"""),"YATI LILOAN")</f>
        <v>YATI LILOAN</v>
      </c>
      <c r="B544" s="4" t="str">
        <f>IFERROR(__xludf.DUMMYFUNCTION("""COMPUTED_VALUE"""),"ITM091")</f>
        <v>ITM091</v>
      </c>
      <c r="C544" s="4" t="str">
        <f>IFERROR(__xludf.DUMMYFUNCTION("""COMPUTED_VALUE"""),"HANDWASH")</f>
        <v>HANDWASH</v>
      </c>
      <c r="D544" s="4">
        <f>IFERROR(__xludf.DUMMYFUNCTION("""COMPUTED_VALUE"""),1.0)</f>
        <v>1</v>
      </c>
      <c r="E544" s="4">
        <f>IFERROR(__xludf.DUMMYFUNCTION("""COMPUTED_VALUE"""),0.0)</f>
        <v>0</v>
      </c>
    </row>
    <row r="545">
      <c r="A545" s="4" t="str">
        <f>IFERROR(__xludf.DUMMYFUNCTION("""COMPUTED_VALUE"""),"YATI LILOAN")</f>
        <v>YATI LILOAN</v>
      </c>
      <c r="B545" s="4" t="str">
        <f>IFERROR(__xludf.DUMMYFUNCTION("""COMPUTED_VALUE"""),"ITM023")</f>
        <v>ITM023</v>
      </c>
      <c r="C545" s="4" t="str">
        <f>IFERROR(__xludf.DUMMYFUNCTION("""COMPUTED_VALUE"""),"HIGHLIGHTER")</f>
        <v>HIGHLIGHTER</v>
      </c>
      <c r="D545" s="4">
        <f>IFERROR(__xludf.DUMMYFUNCTION("""COMPUTED_VALUE"""),1.0)</f>
        <v>1</v>
      </c>
      <c r="E545" s="4">
        <f>IFERROR(__xludf.DUMMYFUNCTION("""COMPUTED_VALUE"""),0.0)</f>
        <v>0</v>
      </c>
    </row>
    <row r="546">
      <c r="A546" s="4" t="str">
        <f>IFERROR(__xludf.DUMMYFUNCTION("""COMPUTED_VALUE"""),"YATI LILOAN")</f>
        <v>YATI LILOAN</v>
      </c>
      <c r="B546" s="4" t="str">
        <f>IFERROR(__xludf.DUMMYFUNCTION("""COMPUTED_VALUE"""),"ITM061")</f>
        <v>ITM061</v>
      </c>
      <c r="C546" s="4" t="str">
        <f>IFERROR(__xludf.DUMMYFUNCTION("""COMPUTED_VALUE"""),"JOY")</f>
        <v>JOY</v>
      </c>
      <c r="D546" s="4">
        <f>IFERROR(__xludf.DUMMYFUNCTION("""COMPUTED_VALUE"""),3.0)</f>
        <v>3</v>
      </c>
      <c r="E546" s="4">
        <f>IFERROR(__xludf.DUMMYFUNCTION("""COMPUTED_VALUE"""),0.0)</f>
        <v>0</v>
      </c>
    </row>
    <row r="547">
      <c r="A547" s="4" t="str">
        <f>IFERROR(__xludf.DUMMYFUNCTION("""COMPUTED_VALUE"""),"YATI LILOAN")</f>
        <v>YATI LILOAN</v>
      </c>
      <c r="B547" s="4" t="str">
        <f>IFERROR(__xludf.DUMMYFUNCTION("""COMPUTED_VALUE"""),"ITM038")</f>
        <v>ITM038</v>
      </c>
      <c r="C547" s="4" t="str">
        <f>IFERROR(__xludf.DUMMYFUNCTION("""COMPUTED_VALUE"""),"MASKING TAPE")</f>
        <v>MASKING TAPE</v>
      </c>
      <c r="D547" s="4">
        <f>IFERROR(__xludf.DUMMYFUNCTION("""COMPUTED_VALUE"""),1.0)</f>
        <v>1</v>
      </c>
      <c r="E547" s="4">
        <f>IFERROR(__xludf.DUMMYFUNCTION("""COMPUTED_VALUE"""),0.0)</f>
        <v>0</v>
      </c>
    </row>
    <row r="548">
      <c r="A548" s="4" t="str">
        <f>IFERROR(__xludf.DUMMYFUNCTION("""COMPUTED_VALUE"""),"YATI LILOAN")</f>
        <v>YATI LILOAN</v>
      </c>
      <c r="B548" s="4" t="str">
        <f>IFERROR(__xludf.DUMMYFUNCTION("""COMPUTED_VALUE"""),"ITM056")</f>
        <v>ITM056</v>
      </c>
      <c r="C548" s="4" t="str">
        <f>IFERROR(__xludf.DUMMYFUNCTION("""COMPUTED_VALUE"""),"PRIDE SOAP POWDER")</f>
        <v>PRIDE SOAP POWDER</v>
      </c>
      <c r="D548" s="4">
        <f>IFERROR(__xludf.DUMMYFUNCTION("""COMPUTED_VALUE"""),6.0)</f>
        <v>6</v>
      </c>
      <c r="E548" s="4">
        <f>IFERROR(__xludf.DUMMYFUNCTION("""COMPUTED_VALUE"""),0.0)</f>
        <v>0</v>
      </c>
    </row>
    <row r="549">
      <c r="A549" s="4" t="str">
        <f>IFERROR(__xludf.DUMMYFUNCTION("""COMPUTED_VALUE"""),"YATI LILOAN")</f>
        <v>YATI LILOAN</v>
      </c>
      <c r="B549" s="4" t="str">
        <f>IFERROR(__xludf.DUMMYFUNCTION("""COMPUTED_VALUE"""),"ITM092")</f>
        <v>ITM092</v>
      </c>
      <c r="C549" s="4" t="str">
        <f>IFERROR(__xludf.DUMMYFUNCTION("""COMPUTED_VALUE"""),"RAGS")</f>
        <v>RAGS</v>
      </c>
      <c r="D549" s="4">
        <f>IFERROR(__xludf.DUMMYFUNCTION("""COMPUTED_VALUE"""),1.0)</f>
        <v>1</v>
      </c>
      <c r="E549" s="4">
        <f>IFERROR(__xludf.DUMMYFUNCTION("""COMPUTED_VALUE"""),0.0)</f>
        <v>0</v>
      </c>
    </row>
    <row r="550">
      <c r="A550" s="4" t="str">
        <f>IFERROR(__xludf.DUMMYFUNCTION("""COMPUTED_VALUE"""),"YATI LILOAN")</f>
        <v>YATI LILOAN</v>
      </c>
      <c r="B550" s="4" t="str">
        <f>IFERROR(__xludf.DUMMYFUNCTION("""COMPUTED_VALUE"""),"ITM096")</f>
        <v>ITM096</v>
      </c>
      <c r="C550" s="4" t="str">
        <f>IFERROR(__xludf.DUMMYFUNCTION("""COMPUTED_VALUE"""),"TRASH BAG (MEDIUM)")</f>
        <v>TRASH BAG (MEDIUM)</v>
      </c>
      <c r="D550" s="4">
        <f>IFERROR(__xludf.DUMMYFUNCTION("""COMPUTED_VALUE"""),1.0)</f>
        <v>1</v>
      </c>
      <c r="E550" s="4">
        <f>IFERROR(__xludf.DUMMYFUNCTION("""COMPUTED_VALUE"""),0.0)</f>
        <v>0</v>
      </c>
    </row>
    <row r="551">
      <c r="A551" s="4" t="str">
        <f>IFERROR(__xludf.DUMMYFUNCTION("""COMPUTED_VALUE"""),"YATI LILOAN")</f>
        <v>YATI LILOAN</v>
      </c>
      <c r="B551" s="4" t="str">
        <f>IFERROR(__xludf.DUMMYFUNCTION("""COMPUTED_VALUE"""),"ITM009")</f>
        <v>ITM009</v>
      </c>
      <c r="C551" s="4" t="str">
        <f>IFERROR(__xludf.DUMMYFUNCTION("""COMPUTED_VALUE"""),"CARBON PAPER (LONG BLUE)")</f>
        <v>CARBON PAPER (LONG BLUE)</v>
      </c>
      <c r="D551" s="4">
        <f>IFERROR(__xludf.DUMMYFUNCTION("""COMPUTED_VALUE"""),10.0)</f>
        <v>10</v>
      </c>
      <c r="E551" s="4">
        <f>IFERROR(__xludf.DUMMYFUNCTION("""COMPUTED_VALUE"""),0.0)</f>
        <v>0</v>
      </c>
    </row>
    <row r="552">
      <c r="A552" s="4" t="str">
        <f>IFERROR(__xludf.DUMMYFUNCTION("""COMPUTED_VALUE"""),"YATI LILOAN")</f>
        <v>YATI LILOAN</v>
      </c>
      <c r="B552" s="4" t="str">
        <f>IFERROR(__xludf.DUMMYFUNCTION("""COMPUTED_VALUE"""),"ITM012")</f>
        <v>ITM012</v>
      </c>
      <c r="C552" s="4" t="str">
        <f>IFERROR(__xludf.DUMMYFUNCTION("""COMPUTED_VALUE"""),"BROWN FOLDER (LONG)")</f>
        <v>BROWN FOLDER (LONG)</v>
      </c>
      <c r="D552" s="4">
        <f>IFERROR(__xludf.DUMMYFUNCTION("""COMPUTED_VALUE"""),20.0)</f>
        <v>20</v>
      </c>
      <c r="E552" s="4">
        <f>IFERROR(__xludf.DUMMYFUNCTION("""COMPUTED_VALUE"""),0.0)</f>
        <v>0</v>
      </c>
    </row>
  </sheetData>
  <customSheetViews>
    <customSheetView guid="{8117776B-4791-43D2-B8EE-445D11093BA4}" filter="1" showAutoFilter="1">
      <autoFilter ref="$A$1:$E$99"/>
    </customSheetView>
  </customSheetView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9.13"/>
    <col customWidth="1" min="3" max="3" width="9.5"/>
    <col customWidth="1" min="4" max="4" width="18.63"/>
    <col customWidth="1" min="5" max="5" width="15.75"/>
    <col customWidth="1" min="6" max="6" width="7.63"/>
    <col customWidth="1" min="7" max="7" width="3.63"/>
    <col customWidth="1" min="8" max="8" width="6.88"/>
    <col customWidth="1" min="9" max="9" width="40.63"/>
    <col customWidth="1" min="10" max="10" width="6.0"/>
    <col customWidth="1" min="11" max="11" width="6.75"/>
    <col customWidth="1" min="12" max="12" width="4.5"/>
    <col customWidth="1" min="13" max="13" width="35.0"/>
    <col customWidth="1" min="14" max="14" width="10.63"/>
    <col customWidth="1" min="15" max="15" width="11.13"/>
    <col customWidth="1" min="16" max="16" width="10.38"/>
    <col customWidth="1" min="17" max="17" width="73.13"/>
  </cols>
  <sheetData>
    <row r="1">
      <c r="A1" s="1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22"/>
    </row>
    <row r="3">
      <c r="A3" s="22"/>
    </row>
    <row r="4">
      <c r="A4" s="22"/>
    </row>
    <row r="5">
      <c r="A5" s="22"/>
    </row>
    <row r="6">
      <c r="A6" s="22"/>
    </row>
    <row r="7">
      <c r="A7" s="22"/>
    </row>
    <row r="8">
      <c r="A8" s="22"/>
    </row>
    <row r="9">
      <c r="A9" s="22"/>
    </row>
    <row r="10">
      <c r="A10" s="22"/>
    </row>
    <row r="11">
      <c r="A11" s="22"/>
    </row>
    <row r="12">
      <c r="A12" s="22"/>
    </row>
    <row r="13">
      <c r="A13" s="22"/>
    </row>
    <row r="14">
      <c r="A14" s="22"/>
    </row>
    <row r="15">
      <c r="A15" s="22"/>
    </row>
    <row r="16">
      <c r="A16" s="22"/>
    </row>
    <row r="17">
      <c r="A17" s="22"/>
    </row>
    <row r="18">
      <c r="A18" s="22"/>
    </row>
    <row r="19">
      <c r="A19" s="22"/>
    </row>
    <row r="20">
      <c r="A20" s="22"/>
    </row>
    <row r="21">
      <c r="A21" s="22"/>
    </row>
    <row r="22">
      <c r="A22" s="22"/>
    </row>
    <row r="23">
      <c r="A23" s="22"/>
    </row>
    <row r="24">
      <c r="A24" s="22"/>
    </row>
    <row r="25">
      <c r="A25" s="22"/>
    </row>
    <row r="26">
      <c r="A26" s="22"/>
    </row>
    <row r="27">
      <c r="A27" s="22"/>
    </row>
    <row r="28">
      <c r="A28" s="22"/>
    </row>
    <row r="29">
      <c r="A29" s="22"/>
    </row>
    <row r="30">
      <c r="A30" s="22"/>
    </row>
    <row r="31">
      <c r="A31" s="22"/>
    </row>
    <row r="32">
      <c r="A32" s="22"/>
    </row>
    <row r="33">
      <c r="A33" s="22"/>
    </row>
    <row r="34">
      <c r="A34" s="22"/>
    </row>
    <row r="35">
      <c r="A35" s="22"/>
    </row>
    <row r="36">
      <c r="A36" s="22"/>
    </row>
    <row r="37">
      <c r="A37" s="22"/>
    </row>
    <row r="38">
      <c r="A38" s="22"/>
    </row>
    <row r="39">
      <c r="A39" s="22"/>
    </row>
    <row r="40">
      <c r="A40" s="22"/>
    </row>
    <row r="41">
      <c r="A41" s="22"/>
    </row>
    <row r="42">
      <c r="A42" s="22"/>
    </row>
    <row r="43">
      <c r="A43" s="22"/>
    </row>
    <row r="44">
      <c r="A44" s="22"/>
    </row>
    <row r="45">
      <c r="A45" s="22"/>
    </row>
    <row r="46">
      <c r="A46" s="22"/>
    </row>
    <row r="47">
      <c r="A47" s="22"/>
    </row>
    <row r="48">
      <c r="A48" s="22"/>
    </row>
    <row r="49">
      <c r="A49" s="22"/>
    </row>
    <row r="50">
      <c r="A50" s="22"/>
    </row>
    <row r="51">
      <c r="A51" s="22"/>
    </row>
    <row r="52">
      <c r="A52" s="22"/>
    </row>
    <row r="53">
      <c r="A53" s="22"/>
    </row>
    <row r="54">
      <c r="A54" s="22"/>
    </row>
    <row r="55">
      <c r="A55" s="22"/>
    </row>
    <row r="56">
      <c r="A56" s="22"/>
    </row>
    <row r="57">
      <c r="A57" s="22"/>
    </row>
    <row r="58">
      <c r="A58" s="22"/>
    </row>
    <row r="59">
      <c r="A59" s="22"/>
    </row>
    <row r="60">
      <c r="A60" s="22"/>
    </row>
    <row r="61">
      <c r="A61" s="22"/>
    </row>
    <row r="62">
      <c r="A62" s="22"/>
    </row>
    <row r="63">
      <c r="A63" s="22"/>
    </row>
    <row r="64">
      <c r="A64" s="22"/>
    </row>
    <row r="65">
      <c r="A65" s="22"/>
    </row>
    <row r="66">
      <c r="A66" s="22"/>
    </row>
    <row r="67">
      <c r="A67" s="22"/>
    </row>
    <row r="68">
      <c r="A68" s="22"/>
    </row>
    <row r="69">
      <c r="A69" s="22"/>
    </row>
    <row r="70">
      <c r="A70" s="22"/>
    </row>
    <row r="71">
      <c r="A71" s="22"/>
    </row>
    <row r="72">
      <c r="A72" s="22"/>
    </row>
    <row r="73">
      <c r="A73" s="22"/>
    </row>
    <row r="74">
      <c r="A74" s="22"/>
    </row>
    <row r="75">
      <c r="A75" s="22"/>
    </row>
    <row r="76">
      <c r="A76" s="22"/>
    </row>
    <row r="77">
      <c r="A77" s="22"/>
    </row>
    <row r="78">
      <c r="A78" s="22"/>
    </row>
    <row r="79">
      <c r="A79" s="22"/>
    </row>
    <row r="80">
      <c r="A80" s="22"/>
    </row>
    <row r="81">
      <c r="A81" s="22"/>
    </row>
    <row r="82">
      <c r="A82" s="22"/>
    </row>
    <row r="83">
      <c r="A83" s="22"/>
    </row>
    <row r="84">
      <c r="A84" s="22"/>
    </row>
    <row r="85">
      <c r="A85" s="22"/>
    </row>
    <row r="86">
      <c r="A86" s="22"/>
    </row>
    <row r="87">
      <c r="A87" s="22"/>
    </row>
    <row r="88">
      <c r="A88" s="22"/>
    </row>
    <row r="89">
      <c r="A89" s="22"/>
    </row>
    <row r="90">
      <c r="A90" s="22"/>
    </row>
    <row r="91">
      <c r="A91" s="22"/>
    </row>
    <row r="92">
      <c r="A92" s="22"/>
    </row>
    <row r="93">
      <c r="A93" s="22"/>
    </row>
    <row r="94">
      <c r="A94" s="22"/>
    </row>
    <row r="95">
      <c r="A95" s="22"/>
    </row>
    <row r="96">
      <c r="A96" s="22"/>
    </row>
    <row r="97">
      <c r="A97" s="22"/>
    </row>
    <row r="98">
      <c r="A98" s="22"/>
    </row>
    <row r="99">
      <c r="A99" s="22"/>
    </row>
    <row r="100">
      <c r="A100" s="22"/>
    </row>
    <row r="101">
      <c r="A101" s="22"/>
    </row>
    <row r="102">
      <c r="A102" s="22"/>
    </row>
    <row r="103">
      <c r="A103" s="22"/>
    </row>
    <row r="104">
      <c r="A104" s="22"/>
    </row>
    <row r="105">
      <c r="A105" s="22"/>
    </row>
    <row r="106">
      <c r="A106" s="22"/>
    </row>
    <row r="107">
      <c r="A107" s="22"/>
    </row>
    <row r="108">
      <c r="A108" s="22"/>
    </row>
    <row r="109">
      <c r="A109" s="22"/>
    </row>
    <row r="110">
      <c r="A110" s="22"/>
    </row>
    <row r="111">
      <c r="A111" s="22"/>
    </row>
    <row r="112">
      <c r="A112" s="22"/>
    </row>
    <row r="113">
      <c r="A113" s="22"/>
    </row>
    <row r="114">
      <c r="A114" s="22"/>
    </row>
    <row r="115">
      <c r="A115" s="22"/>
    </row>
    <row r="116">
      <c r="A116" s="22"/>
    </row>
    <row r="117">
      <c r="A117" s="22"/>
    </row>
    <row r="118">
      <c r="A118" s="22"/>
    </row>
    <row r="119">
      <c r="A119" s="22"/>
    </row>
    <row r="120">
      <c r="A120" s="22"/>
    </row>
    <row r="121">
      <c r="A121" s="22"/>
    </row>
    <row r="122">
      <c r="A122" s="22"/>
    </row>
    <row r="123">
      <c r="A123" s="22"/>
    </row>
    <row r="124">
      <c r="A124" s="22"/>
    </row>
    <row r="125">
      <c r="A125" s="22"/>
    </row>
    <row r="126">
      <c r="A126" s="22"/>
    </row>
    <row r="127">
      <c r="A127" s="22"/>
    </row>
    <row r="128">
      <c r="A128" s="22"/>
    </row>
    <row r="129">
      <c r="A129" s="22"/>
    </row>
    <row r="130">
      <c r="A130" s="22"/>
    </row>
    <row r="131">
      <c r="A131" s="22"/>
    </row>
    <row r="132">
      <c r="A132" s="22"/>
    </row>
    <row r="133">
      <c r="A133" s="22"/>
    </row>
    <row r="134">
      <c r="A134" s="22"/>
    </row>
    <row r="135">
      <c r="A135" s="22"/>
    </row>
    <row r="136">
      <c r="A136" s="22"/>
    </row>
    <row r="137">
      <c r="A137" s="22"/>
    </row>
    <row r="138">
      <c r="A138" s="22"/>
    </row>
    <row r="139">
      <c r="A139" s="22"/>
    </row>
    <row r="140">
      <c r="A140" s="22"/>
    </row>
    <row r="141">
      <c r="A141" s="22"/>
    </row>
    <row r="142">
      <c r="A142" s="22"/>
    </row>
    <row r="143">
      <c r="A143" s="22"/>
    </row>
    <row r="144">
      <c r="A144" s="22"/>
    </row>
    <row r="145">
      <c r="A145" s="22"/>
    </row>
    <row r="146">
      <c r="A146" s="22"/>
    </row>
    <row r="147">
      <c r="A147" s="22"/>
    </row>
    <row r="148">
      <c r="A148" s="22"/>
    </row>
    <row r="149">
      <c r="A149" s="22"/>
    </row>
    <row r="150">
      <c r="A150" s="22"/>
    </row>
    <row r="151">
      <c r="A151" s="22"/>
    </row>
    <row r="152">
      <c r="A152" s="22"/>
    </row>
    <row r="153">
      <c r="A153" s="22"/>
    </row>
    <row r="154">
      <c r="A154" s="22"/>
    </row>
    <row r="155">
      <c r="A155" s="22"/>
    </row>
    <row r="156">
      <c r="A156" s="22"/>
    </row>
    <row r="157">
      <c r="A157" s="22"/>
    </row>
    <row r="158">
      <c r="A158" s="22"/>
    </row>
    <row r="159">
      <c r="A159" s="22"/>
    </row>
    <row r="160">
      <c r="A160" s="22"/>
    </row>
    <row r="161">
      <c r="A161" s="22"/>
    </row>
    <row r="162">
      <c r="A162" s="22"/>
    </row>
    <row r="163">
      <c r="A163" s="22"/>
    </row>
    <row r="164">
      <c r="A164" s="22"/>
    </row>
    <row r="165">
      <c r="A165" s="22"/>
    </row>
    <row r="166">
      <c r="A166" s="22"/>
    </row>
    <row r="167">
      <c r="A167" s="22"/>
    </row>
    <row r="168">
      <c r="A168" s="22"/>
    </row>
    <row r="169">
      <c r="A169" s="22"/>
    </row>
    <row r="170">
      <c r="A170" s="22"/>
    </row>
    <row r="171">
      <c r="A171" s="22"/>
    </row>
    <row r="172">
      <c r="A172" s="22"/>
    </row>
    <row r="173">
      <c r="A173" s="22"/>
    </row>
    <row r="174">
      <c r="A174" s="22"/>
    </row>
    <row r="175">
      <c r="A175" s="22"/>
    </row>
    <row r="176">
      <c r="A176" s="22"/>
    </row>
    <row r="177">
      <c r="A177" s="22"/>
    </row>
    <row r="178">
      <c r="A178" s="22"/>
    </row>
    <row r="179">
      <c r="A179" s="22"/>
    </row>
    <row r="180">
      <c r="A180" s="22"/>
    </row>
    <row r="181">
      <c r="A181" s="22"/>
    </row>
    <row r="182">
      <c r="A182" s="22"/>
    </row>
    <row r="183">
      <c r="A183" s="22"/>
    </row>
    <row r="184">
      <c r="A184" s="22"/>
    </row>
    <row r="185">
      <c r="A185" s="22"/>
    </row>
    <row r="186">
      <c r="A186" s="22"/>
    </row>
    <row r="187">
      <c r="A187" s="22"/>
    </row>
    <row r="188">
      <c r="A188" s="22"/>
    </row>
    <row r="189">
      <c r="A189" s="22"/>
    </row>
    <row r="190">
      <c r="A190" s="22"/>
    </row>
    <row r="191">
      <c r="A191" s="22"/>
    </row>
    <row r="192">
      <c r="A192" s="22"/>
    </row>
    <row r="193">
      <c r="A193" s="22"/>
    </row>
    <row r="194">
      <c r="A194" s="22"/>
    </row>
    <row r="195">
      <c r="A195" s="22"/>
    </row>
    <row r="196">
      <c r="A196" s="22"/>
    </row>
    <row r="197">
      <c r="A197" s="22"/>
    </row>
    <row r="198">
      <c r="A198" s="22"/>
    </row>
    <row r="199">
      <c r="A199" s="22"/>
    </row>
    <row r="200">
      <c r="A200" s="22"/>
    </row>
    <row r="201">
      <c r="A201" s="22"/>
    </row>
    <row r="202">
      <c r="A202" s="22"/>
    </row>
    <row r="203">
      <c r="A203" s="22"/>
    </row>
    <row r="204">
      <c r="A204" s="22"/>
    </row>
    <row r="205">
      <c r="A205" s="22"/>
    </row>
    <row r="206">
      <c r="A206" s="22"/>
    </row>
    <row r="207">
      <c r="A207" s="22"/>
    </row>
    <row r="208">
      <c r="A208" s="22"/>
    </row>
    <row r="209">
      <c r="A209" s="22"/>
    </row>
    <row r="210">
      <c r="A210" s="22"/>
    </row>
    <row r="211">
      <c r="A211" s="22"/>
    </row>
    <row r="212">
      <c r="A212" s="22"/>
    </row>
    <row r="213">
      <c r="A213" s="22"/>
    </row>
    <row r="214">
      <c r="A214" s="22"/>
    </row>
    <row r="215">
      <c r="A215" s="22"/>
    </row>
    <row r="216">
      <c r="A216" s="22"/>
    </row>
    <row r="217">
      <c r="A217" s="22"/>
    </row>
    <row r="218">
      <c r="A218" s="22"/>
    </row>
    <row r="219">
      <c r="A219" s="22"/>
    </row>
    <row r="220">
      <c r="A220" s="22"/>
    </row>
    <row r="221">
      <c r="A221" s="22"/>
    </row>
    <row r="222">
      <c r="A222" s="22"/>
    </row>
    <row r="223">
      <c r="A223" s="22"/>
    </row>
    <row r="224">
      <c r="A224" s="22"/>
    </row>
    <row r="225">
      <c r="A225" s="22"/>
    </row>
    <row r="226">
      <c r="A226" s="22"/>
    </row>
    <row r="227">
      <c r="A227" s="22"/>
    </row>
    <row r="228">
      <c r="A228" s="22"/>
    </row>
    <row r="229">
      <c r="A229" s="22"/>
    </row>
    <row r="230">
      <c r="A230" s="22"/>
    </row>
    <row r="231">
      <c r="A231" s="22"/>
    </row>
    <row r="232">
      <c r="A232" s="22"/>
    </row>
    <row r="233">
      <c r="A233" s="22"/>
    </row>
    <row r="234">
      <c r="A234" s="22"/>
    </row>
    <row r="235">
      <c r="A235" s="22"/>
    </row>
    <row r="236">
      <c r="A236" s="22"/>
    </row>
    <row r="237">
      <c r="A237" s="22"/>
    </row>
    <row r="238">
      <c r="A238" s="22"/>
    </row>
    <row r="239">
      <c r="A239" s="22"/>
    </row>
    <row r="240">
      <c r="A240" s="22"/>
    </row>
    <row r="241">
      <c r="A241" s="22"/>
    </row>
    <row r="242">
      <c r="A242" s="22"/>
    </row>
    <row r="243">
      <c r="A243" s="22"/>
    </row>
    <row r="244">
      <c r="A244" s="22"/>
    </row>
    <row r="245">
      <c r="A245" s="22"/>
    </row>
    <row r="246">
      <c r="A246" s="22"/>
    </row>
    <row r="247">
      <c r="A247" s="22"/>
    </row>
    <row r="248">
      <c r="A248" s="22"/>
    </row>
    <row r="249">
      <c r="A249" s="22"/>
    </row>
    <row r="250">
      <c r="A250" s="22"/>
    </row>
    <row r="251">
      <c r="A251" s="22"/>
    </row>
    <row r="252">
      <c r="A252" s="22"/>
    </row>
    <row r="253">
      <c r="A253" s="22"/>
    </row>
    <row r="254">
      <c r="A254" s="22"/>
    </row>
    <row r="255">
      <c r="A255" s="22"/>
    </row>
    <row r="256">
      <c r="A256" s="22"/>
    </row>
    <row r="257">
      <c r="A257" s="22"/>
    </row>
    <row r="258">
      <c r="A258" s="22"/>
    </row>
    <row r="259">
      <c r="A259" s="22"/>
    </row>
    <row r="260">
      <c r="A260" s="22"/>
    </row>
    <row r="261">
      <c r="A261" s="22"/>
    </row>
    <row r="262">
      <c r="A262" s="22"/>
    </row>
    <row r="263">
      <c r="A263" s="22"/>
    </row>
    <row r="264">
      <c r="A264" s="22"/>
    </row>
    <row r="265">
      <c r="A265" s="22"/>
    </row>
    <row r="266">
      <c r="A266" s="22"/>
    </row>
    <row r="267">
      <c r="A267" s="22"/>
    </row>
    <row r="268">
      <c r="A268" s="22"/>
    </row>
    <row r="269">
      <c r="A269" s="22"/>
    </row>
    <row r="270">
      <c r="A270" s="22"/>
    </row>
    <row r="271">
      <c r="A271" s="22"/>
    </row>
    <row r="272">
      <c r="A272" s="22"/>
    </row>
    <row r="273">
      <c r="A273" s="22"/>
    </row>
    <row r="274">
      <c r="A274" s="22"/>
    </row>
    <row r="275">
      <c r="A275" s="22"/>
    </row>
    <row r="276">
      <c r="A276" s="22"/>
    </row>
    <row r="277">
      <c r="A277" s="22"/>
    </row>
    <row r="278">
      <c r="A278" s="22"/>
    </row>
    <row r="279">
      <c r="A279" s="22"/>
    </row>
    <row r="280">
      <c r="A280" s="22"/>
    </row>
    <row r="281">
      <c r="A281" s="22"/>
    </row>
    <row r="282">
      <c r="A282" s="22"/>
    </row>
    <row r="283">
      <c r="A283" s="22"/>
    </row>
    <row r="284">
      <c r="A284" s="22"/>
    </row>
    <row r="285">
      <c r="A285" s="22"/>
    </row>
    <row r="286">
      <c r="A286" s="22"/>
    </row>
    <row r="287">
      <c r="A287" s="22"/>
    </row>
    <row r="288">
      <c r="A288" s="22"/>
    </row>
    <row r="289">
      <c r="A289" s="22"/>
    </row>
    <row r="290">
      <c r="A290" s="22"/>
    </row>
    <row r="291">
      <c r="A291" s="22"/>
    </row>
    <row r="292">
      <c r="A292" s="22"/>
    </row>
    <row r="293">
      <c r="A293" s="22"/>
    </row>
    <row r="294">
      <c r="A294" s="22"/>
    </row>
    <row r="295">
      <c r="A295" s="22"/>
    </row>
    <row r="296">
      <c r="A296" s="22"/>
    </row>
    <row r="297">
      <c r="A297" s="22"/>
    </row>
    <row r="298">
      <c r="A298" s="22"/>
    </row>
    <row r="299">
      <c r="A299" s="22"/>
    </row>
    <row r="300">
      <c r="A300" s="22"/>
    </row>
    <row r="301">
      <c r="A301" s="22"/>
    </row>
    <row r="302">
      <c r="A302" s="22"/>
    </row>
    <row r="303">
      <c r="A303" s="22"/>
    </row>
    <row r="304">
      <c r="A304" s="22"/>
    </row>
    <row r="305">
      <c r="A305" s="22"/>
    </row>
    <row r="306">
      <c r="A306" s="22"/>
    </row>
    <row r="307">
      <c r="A307" s="22"/>
    </row>
    <row r="308">
      <c r="A308" s="22"/>
    </row>
    <row r="309">
      <c r="A309" s="22"/>
    </row>
    <row r="310">
      <c r="A310" s="22"/>
    </row>
    <row r="311">
      <c r="A311" s="22"/>
    </row>
    <row r="312">
      <c r="A312" s="22"/>
    </row>
    <row r="313">
      <c r="A313" s="22"/>
    </row>
    <row r="314">
      <c r="A314" s="22"/>
    </row>
    <row r="315">
      <c r="A315" s="22"/>
    </row>
    <row r="316">
      <c r="A316" s="22"/>
    </row>
    <row r="317">
      <c r="A317" s="22"/>
    </row>
    <row r="318">
      <c r="A318" s="22"/>
    </row>
    <row r="319">
      <c r="A319" s="22"/>
    </row>
    <row r="320">
      <c r="A320" s="22"/>
    </row>
    <row r="321">
      <c r="A321" s="22"/>
    </row>
    <row r="322">
      <c r="A322" s="22"/>
    </row>
    <row r="323">
      <c r="A323" s="22"/>
    </row>
    <row r="324">
      <c r="A324" s="22"/>
    </row>
    <row r="325">
      <c r="A325" s="22"/>
    </row>
    <row r="326">
      <c r="A326" s="22"/>
    </row>
    <row r="327">
      <c r="A327" s="22"/>
    </row>
    <row r="328">
      <c r="A328" s="22"/>
    </row>
    <row r="329">
      <c r="A329" s="22"/>
    </row>
    <row r="330">
      <c r="A330" s="22"/>
    </row>
    <row r="331">
      <c r="A331" s="22"/>
    </row>
    <row r="332">
      <c r="A332" s="22"/>
    </row>
    <row r="333">
      <c r="A333" s="22"/>
    </row>
    <row r="334">
      <c r="A334" s="22"/>
    </row>
    <row r="335">
      <c r="A335" s="22"/>
    </row>
    <row r="336">
      <c r="A336" s="22"/>
    </row>
    <row r="337">
      <c r="A337" s="22"/>
    </row>
    <row r="338">
      <c r="A338" s="22"/>
    </row>
    <row r="339">
      <c r="A339" s="22"/>
    </row>
    <row r="340">
      <c r="A340" s="22"/>
    </row>
    <row r="341">
      <c r="A341" s="22"/>
    </row>
    <row r="342">
      <c r="A342" s="22"/>
    </row>
    <row r="343">
      <c r="A343" s="22"/>
    </row>
    <row r="344">
      <c r="A344" s="22"/>
    </row>
    <row r="345">
      <c r="A345" s="22"/>
    </row>
    <row r="346">
      <c r="A346" s="22"/>
    </row>
    <row r="347">
      <c r="A347" s="22"/>
    </row>
    <row r="348">
      <c r="A348" s="22"/>
    </row>
    <row r="349">
      <c r="A349" s="22"/>
    </row>
    <row r="350">
      <c r="A350" s="22"/>
    </row>
    <row r="351">
      <c r="A351" s="22"/>
    </row>
    <row r="352">
      <c r="A352" s="22"/>
    </row>
    <row r="353">
      <c r="A353" s="22"/>
    </row>
    <row r="354">
      <c r="A354" s="22"/>
    </row>
    <row r="355">
      <c r="A355" s="22"/>
    </row>
    <row r="356">
      <c r="A356" s="22"/>
    </row>
    <row r="357">
      <c r="A357" s="22"/>
    </row>
    <row r="358">
      <c r="A358" s="22"/>
    </row>
    <row r="359">
      <c r="A359" s="22"/>
    </row>
    <row r="360">
      <c r="A360" s="22"/>
    </row>
    <row r="361">
      <c r="A361" s="22"/>
    </row>
    <row r="362">
      <c r="A362" s="22"/>
    </row>
    <row r="363">
      <c r="A363" s="22"/>
    </row>
    <row r="364">
      <c r="A364" s="22"/>
    </row>
    <row r="365">
      <c r="A365" s="22"/>
    </row>
    <row r="366">
      <c r="A366" s="22"/>
    </row>
    <row r="367">
      <c r="A367" s="22"/>
    </row>
    <row r="368">
      <c r="A368" s="22"/>
    </row>
    <row r="369">
      <c r="A369" s="22"/>
    </row>
    <row r="370">
      <c r="A370" s="22"/>
    </row>
    <row r="371">
      <c r="A371" s="22"/>
    </row>
    <row r="372">
      <c r="A372" s="22"/>
    </row>
    <row r="373">
      <c r="A373" s="22"/>
    </row>
    <row r="374">
      <c r="A374" s="22"/>
    </row>
    <row r="375">
      <c r="A375" s="22"/>
    </row>
    <row r="376">
      <c r="A376" s="22"/>
    </row>
    <row r="377">
      <c r="A377" s="22"/>
    </row>
    <row r="378">
      <c r="A378" s="22"/>
    </row>
    <row r="379">
      <c r="A379" s="22"/>
    </row>
    <row r="380">
      <c r="A380" s="22"/>
    </row>
    <row r="381">
      <c r="A381" s="22"/>
    </row>
    <row r="382">
      <c r="A382" s="22"/>
    </row>
    <row r="383">
      <c r="A383" s="22"/>
    </row>
    <row r="384">
      <c r="A384" s="22"/>
    </row>
    <row r="385">
      <c r="A385" s="22"/>
    </row>
    <row r="386">
      <c r="A386" s="22"/>
    </row>
    <row r="387">
      <c r="A387" s="22"/>
    </row>
    <row r="388">
      <c r="A388" s="22"/>
    </row>
    <row r="389">
      <c r="A389" s="22"/>
    </row>
    <row r="390">
      <c r="A390" s="22"/>
    </row>
    <row r="391">
      <c r="A391" s="22"/>
    </row>
    <row r="392">
      <c r="A392" s="22"/>
    </row>
    <row r="393">
      <c r="A393" s="22"/>
    </row>
    <row r="394">
      <c r="A394" s="22"/>
    </row>
    <row r="395">
      <c r="A395" s="22"/>
    </row>
    <row r="396">
      <c r="A396" s="22"/>
    </row>
    <row r="397">
      <c r="A397" s="22"/>
    </row>
    <row r="398">
      <c r="A398" s="22"/>
    </row>
    <row r="399">
      <c r="A399" s="22"/>
    </row>
    <row r="400">
      <c r="A400" s="22"/>
    </row>
    <row r="401">
      <c r="A401" s="22"/>
    </row>
    <row r="402">
      <c r="A402" s="22"/>
    </row>
    <row r="403">
      <c r="A403" s="22"/>
    </row>
    <row r="404">
      <c r="A404" s="22"/>
    </row>
    <row r="405">
      <c r="A405" s="22"/>
    </row>
    <row r="406">
      <c r="A406" s="22"/>
    </row>
    <row r="407">
      <c r="A407" s="22"/>
    </row>
    <row r="408">
      <c r="A408" s="22"/>
    </row>
    <row r="409">
      <c r="A409" s="22"/>
    </row>
    <row r="410">
      <c r="A410" s="22"/>
    </row>
    <row r="411">
      <c r="A411" s="22"/>
    </row>
    <row r="412">
      <c r="A412" s="22"/>
    </row>
    <row r="413">
      <c r="A413" s="22"/>
    </row>
    <row r="414">
      <c r="A414" s="22"/>
    </row>
    <row r="415">
      <c r="A415" s="22"/>
    </row>
    <row r="416">
      <c r="A416" s="22"/>
    </row>
    <row r="417">
      <c r="A417" s="22"/>
    </row>
    <row r="418">
      <c r="A418" s="22"/>
    </row>
    <row r="419">
      <c r="A419" s="22"/>
    </row>
    <row r="420">
      <c r="A420" s="22"/>
    </row>
    <row r="421">
      <c r="A421" s="22"/>
    </row>
    <row r="422">
      <c r="A422" s="22"/>
    </row>
    <row r="423">
      <c r="A423" s="22"/>
    </row>
    <row r="424">
      <c r="A424" s="22"/>
    </row>
    <row r="425">
      <c r="A425" s="22"/>
    </row>
    <row r="426">
      <c r="A426" s="22"/>
    </row>
    <row r="427">
      <c r="A427" s="22"/>
    </row>
    <row r="428">
      <c r="A428" s="22"/>
    </row>
    <row r="429">
      <c r="A429" s="22"/>
    </row>
    <row r="430">
      <c r="A430" s="22"/>
    </row>
    <row r="431">
      <c r="A431" s="22"/>
    </row>
    <row r="432">
      <c r="A432" s="22"/>
    </row>
    <row r="433">
      <c r="A433" s="22"/>
    </row>
    <row r="434">
      <c r="A434" s="22"/>
    </row>
    <row r="435">
      <c r="A435" s="22"/>
    </row>
    <row r="436">
      <c r="A436" s="22"/>
    </row>
    <row r="437">
      <c r="A437" s="22"/>
    </row>
    <row r="438">
      <c r="A438" s="22"/>
    </row>
    <row r="439">
      <c r="A439" s="22"/>
    </row>
    <row r="440">
      <c r="A440" s="22"/>
    </row>
    <row r="441">
      <c r="A441" s="22"/>
    </row>
    <row r="442">
      <c r="A442" s="22"/>
    </row>
    <row r="443">
      <c r="A443" s="22"/>
    </row>
    <row r="444">
      <c r="A444" s="22"/>
    </row>
    <row r="445">
      <c r="A445" s="22"/>
    </row>
    <row r="446">
      <c r="A446" s="22"/>
    </row>
    <row r="447">
      <c r="A447" s="22"/>
    </row>
    <row r="448">
      <c r="A448" s="22"/>
    </row>
    <row r="449">
      <c r="A449" s="22"/>
    </row>
    <row r="450">
      <c r="A450" s="22"/>
    </row>
    <row r="451">
      <c r="A451" s="22"/>
    </row>
    <row r="452">
      <c r="A452" s="22"/>
    </row>
    <row r="453">
      <c r="A453" s="22"/>
    </row>
    <row r="454">
      <c r="A454" s="22"/>
    </row>
    <row r="455">
      <c r="A455" s="22"/>
    </row>
    <row r="456">
      <c r="A456" s="22"/>
    </row>
    <row r="457">
      <c r="A457" s="22"/>
    </row>
    <row r="458">
      <c r="A458" s="22"/>
    </row>
    <row r="459">
      <c r="A459" s="22"/>
    </row>
    <row r="460">
      <c r="A460" s="22"/>
    </row>
    <row r="461">
      <c r="A461" s="22"/>
    </row>
    <row r="462">
      <c r="A462" s="22"/>
    </row>
    <row r="463">
      <c r="A463" s="22"/>
    </row>
    <row r="464">
      <c r="A464" s="22"/>
    </row>
    <row r="465">
      <c r="A465" s="22"/>
    </row>
    <row r="466">
      <c r="A466" s="22"/>
    </row>
    <row r="467">
      <c r="A467" s="22"/>
    </row>
    <row r="468">
      <c r="A468" s="22"/>
    </row>
    <row r="469">
      <c r="A469" s="22"/>
    </row>
    <row r="470">
      <c r="A470" s="22"/>
    </row>
    <row r="471">
      <c r="A471" s="22"/>
    </row>
    <row r="472">
      <c r="A472" s="22"/>
    </row>
    <row r="473">
      <c r="A473" s="22"/>
    </row>
    <row r="474">
      <c r="A474" s="22"/>
    </row>
    <row r="475">
      <c r="A475" s="22"/>
    </row>
    <row r="476">
      <c r="A476" s="22"/>
    </row>
    <row r="477">
      <c r="A477" s="22"/>
    </row>
    <row r="478">
      <c r="A478" s="22"/>
    </row>
    <row r="479">
      <c r="A479" s="22"/>
    </row>
    <row r="480">
      <c r="A480" s="22"/>
    </row>
    <row r="481">
      <c r="A481" s="22"/>
    </row>
    <row r="482">
      <c r="A482" s="22"/>
    </row>
    <row r="483">
      <c r="A483" s="22"/>
    </row>
    <row r="484">
      <c r="A484" s="22"/>
    </row>
    <row r="485">
      <c r="A485" s="22"/>
    </row>
    <row r="486">
      <c r="A486" s="22"/>
    </row>
    <row r="487">
      <c r="A487" s="22"/>
    </row>
    <row r="488">
      <c r="A488" s="22"/>
    </row>
    <row r="489">
      <c r="A489" s="22"/>
    </row>
    <row r="490">
      <c r="A490" s="22"/>
    </row>
    <row r="491">
      <c r="A491" s="22"/>
    </row>
    <row r="492">
      <c r="A492" s="22"/>
    </row>
    <row r="493">
      <c r="A493" s="22"/>
    </row>
    <row r="494">
      <c r="A494" s="22"/>
    </row>
    <row r="495">
      <c r="A495" s="22"/>
    </row>
    <row r="496">
      <c r="A496" s="22"/>
    </row>
    <row r="497">
      <c r="A497" s="22"/>
    </row>
    <row r="498">
      <c r="A498" s="22"/>
    </row>
    <row r="499">
      <c r="A499" s="22"/>
    </row>
    <row r="500">
      <c r="A500" s="22"/>
    </row>
    <row r="501">
      <c r="A501" s="22"/>
    </row>
    <row r="502">
      <c r="A502" s="22"/>
    </row>
    <row r="503">
      <c r="A503" s="22"/>
    </row>
    <row r="504">
      <c r="A504" s="22"/>
    </row>
    <row r="505">
      <c r="A505" s="22"/>
    </row>
    <row r="506">
      <c r="A506" s="22"/>
    </row>
    <row r="507">
      <c r="A507" s="22"/>
    </row>
    <row r="508">
      <c r="A508" s="22"/>
    </row>
    <row r="509">
      <c r="A509" s="22"/>
    </row>
    <row r="510">
      <c r="A510" s="22"/>
    </row>
    <row r="511">
      <c r="A511" s="22"/>
    </row>
    <row r="512">
      <c r="A512" s="22"/>
    </row>
    <row r="513">
      <c r="A513" s="22"/>
    </row>
    <row r="514">
      <c r="A514" s="22"/>
    </row>
    <row r="515">
      <c r="A515" s="22"/>
    </row>
    <row r="516">
      <c r="A516" s="22"/>
    </row>
    <row r="517">
      <c r="A517" s="22"/>
    </row>
    <row r="518">
      <c r="A518" s="22"/>
    </row>
    <row r="519">
      <c r="A519" s="22"/>
    </row>
    <row r="520">
      <c r="A520" s="22"/>
    </row>
    <row r="521">
      <c r="A521" s="22"/>
    </row>
    <row r="522">
      <c r="A522" s="22"/>
    </row>
    <row r="523">
      <c r="A523" s="22"/>
    </row>
    <row r="524">
      <c r="A524" s="22"/>
    </row>
    <row r="525">
      <c r="A525" s="22"/>
    </row>
    <row r="526">
      <c r="A526" s="22"/>
    </row>
    <row r="527">
      <c r="A527" s="22"/>
    </row>
    <row r="528">
      <c r="A528" s="22"/>
    </row>
    <row r="529">
      <c r="A529" s="22"/>
    </row>
    <row r="530">
      <c r="A530" s="22"/>
    </row>
    <row r="531">
      <c r="A531" s="22"/>
    </row>
    <row r="532">
      <c r="A532" s="22"/>
    </row>
    <row r="533">
      <c r="A533" s="22"/>
    </row>
    <row r="534">
      <c r="A534" s="22"/>
    </row>
    <row r="535">
      <c r="A535" s="22"/>
    </row>
    <row r="536">
      <c r="A536" s="22"/>
    </row>
    <row r="537">
      <c r="A537" s="22"/>
    </row>
    <row r="538">
      <c r="A538" s="22"/>
    </row>
    <row r="539">
      <c r="A539" s="22"/>
    </row>
    <row r="540">
      <c r="A540" s="22"/>
    </row>
    <row r="541">
      <c r="A541" s="22"/>
    </row>
    <row r="542">
      <c r="A542" s="22"/>
    </row>
    <row r="543">
      <c r="A543" s="22"/>
    </row>
    <row r="544">
      <c r="A544" s="22"/>
    </row>
    <row r="545">
      <c r="A545" s="22"/>
    </row>
    <row r="546">
      <c r="A546" s="22"/>
    </row>
    <row r="547">
      <c r="A547" s="22"/>
    </row>
    <row r="548">
      <c r="A548" s="22"/>
    </row>
    <row r="549">
      <c r="A549" s="22"/>
    </row>
    <row r="550">
      <c r="A550" s="22"/>
    </row>
    <row r="551">
      <c r="A551" s="22"/>
    </row>
    <row r="552">
      <c r="A552" s="22"/>
    </row>
    <row r="553">
      <c r="A553" s="22"/>
    </row>
    <row r="554">
      <c r="A554" s="22"/>
    </row>
    <row r="555">
      <c r="A555" s="22"/>
    </row>
    <row r="556">
      <c r="A556" s="22"/>
    </row>
    <row r="557">
      <c r="A557" s="22"/>
    </row>
    <row r="558">
      <c r="A558" s="22"/>
    </row>
    <row r="559">
      <c r="A559" s="22"/>
    </row>
    <row r="560">
      <c r="A560" s="22"/>
    </row>
    <row r="561">
      <c r="A561" s="22"/>
    </row>
    <row r="562">
      <c r="A562" s="22"/>
    </row>
    <row r="563">
      <c r="A563" s="22"/>
    </row>
    <row r="564">
      <c r="A564" s="22"/>
    </row>
    <row r="565">
      <c r="A565" s="22"/>
    </row>
    <row r="566">
      <c r="A566" s="22"/>
    </row>
    <row r="567">
      <c r="A567" s="22"/>
    </row>
    <row r="568">
      <c r="A568" s="22"/>
    </row>
    <row r="569">
      <c r="A569" s="22"/>
    </row>
    <row r="570">
      <c r="A570" s="22"/>
    </row>
    <row r="571">
      <c r="A571" s="22"/>
    </row>
    <row r="572">
      <c r="A572" s="22"/>
    </row>
    <row r="573">
      <c r="A573" s="22"/>
    </row>
    <row r="574">
      <c r="A574" s="22"/>
    </row>
    <row r="575">
      <c r="A575" s="22"/>
    </row>
    <row r="576">
      <c r="A576" s="22"/>
    </row>
    <row r="577">
      <c r="A577" s="22"/>
    </row>
    <row r="578">
      <c r="A578" s="22"/>
    </row>
    <row r="579">
      <c r="A579" s="22"/>
    </row>
    <row r="580">
      <c r="A580" s="22"/>
    </row>
    <row r="581">
      <c r="A581" s="22"/>
    </row>
    <row r="582">
      <c r="A582" s="22"/>
    </row>
    <row r="583">
      <c r="A583" s="22"/>
    </row>
    <row r="584">
      <c r="A584" s="22"/>
    </row>
    <row r="585">
      <c r="A585" s="22"/>
    </row>
    <row r="586">
      <c r="A586" s="22"/>
    </row>
    <row r="587">
      <c r="A587" s="22"/>
    </row>
    <row r="588">
      <c r="A588" s="22"/>
    </row>
    <row r="589">
      <c r="A589" s="22"/>
    </row>
    <row r="590">
      <c r="A590" s="22"/>
    </row>
    <row r="591">
      <c r="A591" s="22"/>
    </row>
    <row r="592">
      <c r="A592" s="22"/>
    </row>
    <row r="593">
      <c r="A593" s="22"/>
    </row>
    <row r="594">
      <c r="A594" s="22"/>
    </row>
    <row r="595">
      <c r="A595" s="22"/>
    </row>
    <row r="596">
      <c r="A596" s="22"/>
    </row>
    <row r="597">
      <c r="A597" s="22"/>
    </row>
    <row r="598">
      <c r="A598" s="22"/>
    </row>
    <row r="599">
      <c r="A599" s="22"/>
    </row>
    <row r="600">
      <c r="A600" s="22"/>
    </row>
    <row r="601">
      <c r="A601" s="22"/>
    </row>
    <row r="602">
      <c r="A602" s="22"/>
    </row>
    <row r="603">
      <c r="A603" s="22"/>
    </row>
    <row r="604">
      <c r="A604" s="22"/>
    </row>
    <row r="605">
      <c r="A605" s="22"/>
    </row>
    <row r="606">
      <c r="A606" s="22"/>
    </row>
    <row r="607">
      <c r="A607" s="22"/>
    </row>
    <row r="608">
      <c r="A608" s="22"/>
    </row>
    <row r="609">
      <c r="A609" s="22"/>
    </row>
    <row r="610">
      <c r="A610" s="22"/>
    </row>
    <row r="611">
      <c r="A611" s="22"/>
    </row>
    <row r="612">
      <c r="A612" s="22"/>
    </row>
    <row r="613">
      <c r="A613" s="22"/>
    </row>
    <row r="614">
      <c r="A614" s="22"/>
    </row>
    <row r="615">
      <c r="A615" s="22"/>
    </row>
    <row r="616">
      <c r="A616" s="22"/>
    </row>
    <row r="617">
      <c r="A617" s="22"/>
    </row>
    <row r="618">
      <c r="A618" s="22"/>
    </row>
    <row r="619">
      <c r="A619" s="22"/>
    </row>
    <row r="620">
      <c r="A620" s="22"/>
    </row>
    <row r="621">
      <c r="A621" s="22"/>
    </row>
    <row r="622">
      <c r="A622" s="22"/>
    </row>
    <row r="623">
      <c r="A623" s="22"/>
    </row>
    <row r="624">
      <c r="A624" s="22"/>
    </row>
    <row r="625">
      <c r="A625" s="22"/>
    </row>
    <row r="626">
      <c r="A626" s="22"/>
    </row>
    <row r="627">
      <c r="A627" s="22"/>
    </row>
    <row r="628">
      <c r="A628" s="22"/>
    </row>
    <row r="629">
      <c r="A629" s="22"/>
    </row>
    <row r="630">
      <c r="A630" s="22"/>
    </row>
    <row r="631">
      <c r="A631" s="22"/>
    </row>
    <row r="632">
      <c r="A632" s="22"/>
    </row>
    <row r="633">
      <c r="A633" s="22"/>
    </row>
    <row r="634">
      <c r="A634" s="22"/>
    </row>
    <row r="635">
      <c r="A635" s="22"/>
    </row>
    <row r="636">
      <c r="A636" s="22"/>
    </row>
    <row r="637">
      <c r="A637" s="22"/>
    </row>
    <row r="638">
      <c r="A638" s="22"/>
    </row>
    <row r="639">
      <c r="A639" s="22"/>
    </row>
    <row r="640">
      <c r="A640" s="22"/>
    </row>
    <row r="641">
      <c r="A641" s="22"/>
    </row>
    <row r="642">
      <c r="A642" s="22"/>
    </row>
    <row r="643">
      <c r="A643" s="22"/>
    </row>
    <row r="644">
      <c r="A644" s="22"/>
    </row>
    <row r="645">
      <c r="A645" s="22"/>
    </row>
    <row r="646">
      <c r="A646" s="22"/>
    </row>
    <row r="647">
      <c r="A647" s="22"/>
    </row>
    <row r="648">
      <c r="A648" s="22"/>
    </row>
    <row r="649">
      <c r="A649" s="22"/>
    </row>
    <row r="650">
      <c r="A650" s="22"/>
    </row>
    <row r="651">
      <c r="A651" s="22"/>
    </row>
    <row r="652">
      <c r="A652" s="22"/>
    </row>
    <row r="653">
      <c r="A653" s="22"/>
    </row>
    <row r="654">
      <c r="A654" s="22"/>
    </row>
    <row r="655">
      <c r="A655" s="22"/>
    </row>
    <row r="656">
      <c r="A656" s="22"/>
    </row>
    <row r="657">
      <c r="A657" s="22"/>
    </row>
    <row r="658">
      <c r="A658" s="22"/>
    </row>
    <row r="659">
      <c r="A659" s="22"/>
    </row>
    <row r="660">
      <c r="A660" s="22"/>
    </row>
    <row r="661">
      <c r="A661" s="22"/>
    </row>
    <row r="662">
      <c r="A662" s="22"/>
    </row>
    <row r="663">
      <c r="A663" s="22"/>
    </row>
    <row r="664">
      <c r="A664" s="22"/>
    </row>
    <row r="665">
      <c r="A665" s="22"/>
    </row>
    <row r="666">
      <c r="A666" s="22"/>
    </row>
    <row r="667">
      <c r="A667" s="22"/>
    </row>
    <row r="668">
      <c r="A668" s="22"/>
    </row>
    <row r="669">
      <c r="A669" s="22"/>
    </row>
    <row r="670">
      <c r="A670" s="22"/>
    </row>
    <row r="671">
      <c r="A671" s="22"/>
    </row>
    <row r="672">
      <c r="A672" s="22"/>
    </row>
    <row r="673">
      <c r="A673" s="22"/>
    </row>
    <row r="674">
      <c r="A674" s="22"/>
    </row>
    <row r="675">
      <c r="A675" s="22"/>
    </row>
    <row r="676">
      <c r="A676" s="22"/>
    </row>
    <row r="677">
      <c r="A677" s="22"/>
    </row>
    <row r="678">
      <c r="A678" s="22"/>
    </row>
    <row r="679">
      <c r="A679" s="22"/>
    </row>
    <row r="680">
      <c r="A680" s="22"/>
    </row>
    <row r="681">
      <c r="A681" s="22"/>
    </row>
    <row r="682">
      <c r="A682" s="22"/>
    </row>
    <row r="683">
      <c r="A683" s="22"/>
    </row>
    <row r="684">
      <c r="A684" s="22"/>
    </row>
    <row r="685">
      <c r="A685" s="22"/>
    </row>
    <row r="686">
      <c r="A686" s="22"/>
    </row>
    <row r="687">
      <c r="A687" s="22"/>
    </row>
    <row r="688">
      <c r="A688" s="22"/>
    </row>
    <row r="689">
      <c r="A689" s="22"/>
    </row>
    <row r="690">
      <c r="A690" s="22"/>
    </row>
    <row r="691">
      <c r="A691" s="22"/>
    </row>
    <row r="692">
      <c r="A692" s="22"/>
    </row>
    <row r="693">
      <c r="A693" s="22"/>
    </row>
    <row r="694">
      <c r="A694" s="22"/>
    </row>
    <row r="695">
      <c r="A695" s="22"/>
    </row>
    <row r="696">
      <c r="A696" s="22"/>
    </row>
    <row r="697">
      <c r="A697" s="22"/>
    </row>
    <row r="698">
      <c r="A698" s="22"/>
    </row>
    <row r="699">
      <c r="A699" s="22"/>
    </row>
    <row r="700">
      <c r="A700" s="22"/>
    </row>
    <row r="701">
      <c r="A701" s="22"/>
    </row>
    <row r="702">
      <c r="A702" s="22"/>
    </row>
    <row r="703">
      <c r="A703" s="22"/>
    </row>
    <row r="704">
      <c r="A704" s="22"/>
    </row>
    <row r="705">
      <c r="A705" s="22"/>
    </row>
    <row r="706">
      <c r="A706" s="22"/>
    </row>
    <row r="707">
      <c r="A707" s="22"/>
    </row>
    <row r="708">
      <c r="A708" s="22"/>
    </row>
    <row r="709">
      <c r="A709" s="22"/>
    </row>
    <row r="710">
      <c r="A710" s="22"/>
    </row>
    <row r="711">
      <c r="A711" s="22"/>
    </row>
    <row r="712">
      <c r="A712" s="22"/>
    </row>
    <row r="713">
      <c r="A713" s="22"/>
    </row>
    <row r="714">
      <c r="A714" s="22"/>
    </row>
    <row r="715">
      <c r="A715" s="22"/>
    </row>
    <row r="716">
      <c r="A716" s="22"/>
    </row>
    <row r="717">
      <c r="A717" s="22"/>
    </row>
    <row r="718">
      <c r="A718" s="22"/>
    </row>
    <row r="719">
      <c r="A719" s="22"/>
    </row>
    <row r="720">
      <c r="A720" s="22"/>
    </row>
    <row r="721">
      <c r="A721" s="22"/>
    </row>
    <row r="722">
      <c r="A722" s="22"/>
    </row>
    <row r="723">
      <c r="A723" s="22"/>
    </row>
    <row r="724">
      <c r="A724" s="22"/>
    </row>
    <row r="725">
      <c r="A725" s="22"/>
    </row>
    <row r="726">
      <c r="A726" s="22"/>
    </row>
    <row r="727">
      <c r="A727" s="22"/>
    </row>
    <row r="728">
      <c r="A728" s="22"/>
    </row>
    <row r="729">
      <c r="A729" s="22"/>
    </row>
    <row r="730">
      <c r="A730" s="22"/>
    </row>
    <row r="731">
      <c r="A731" s="22"/>
    </row>
    <row r="732">
      <c r="A732" s="22"/>
    </row>
    <row r="733">
      <c r="A733" s="22"/>
    </row>
    <row r="734">
      <c r="A734" s="22"/>
    </row>
    <row r="735">
      <c r="A735" s="22"/>
    </row>
    <row r="736">
      <c r="A736" s="22"/>
    </row>
    <row r="737">
      <c r="A737" s="22"/>
    </row>
    <row r="738">
      <c r="A738" s="22"/>
    </row>
    <row r="739">
      <c r="A739" s="22"/>
    </row>
    <row r="740">
      <c r="A740" s="22"/>
    </row>
    <row r="741">
      <c r="A741" s="22"/>
    </row>
    <row r="742">
      <c r="A742" s="22"/>
    </row>
    <row r="743">
      <c r="A743" s="22"/>
    </row>
    <row r="744">
      <c r="A744" s="22"/>
    </row>
    <row r="745">
      <c r="A745" s="22"/>
    </row>
    <row r="746">
      <c r="A746" s="22"/>
    </row>
    <row r="747">
      <c r="A747" s="22"/>
    </row>
    <row r="748">
      <c r="A748" s="22"/>
    </row>
    <row r="749">
      <c r="A749" s="22"/>
    </row>
    <row r="750">
      <c r="A750" s="22"/>
    </row>
    <row r="751">
      <c r="A751" s="22"/>
    </row>
    <row r="752">
      <c r="A752" s="22"/>
    </row>
    <row r="753">
      <c r="A753" s="22"/>
    </row>
    <row r="754">
      <c r="A754" s="22"/>
    </row>
    <row r="755">
      <c r="A755" s="22"/>
    </row>
    <row r="756">
      <c r="A756" s="22"/>
    </row>
    <row r="757">
      <c r="A757" s="22"/>
    </row>
    <row r="758">
      <c r="A758" s="22"/>
    </row>
    <row r="759">
      <c r="A759" s="22"/>
    </row>
    <row r="760">
      <c r="A760" s="22"/>
    </row>
    <row r="761">
      <c r="A761" s="22"/>
    </row>
    <row r="762">
      <c r="A762" s="22"/>
    </row>
    <row r="763">
      <c r="A763" s="22"/>
    </row>
    <row r="764">
      <c r="A764" s="22"/>
    </row>
    <row r="765">
      <c r="A765" s="22"/>
    </row>
    <row r="766">
      <c r="A766" s="22"/>
    </row>
    <row r="767">
      <c r="A767" s="22"/>
    </row>
    <row r="768">
      <c r="A768" s="22"/>
    </row>
    <row r="769">
      <c r="A769" s="22"/>
    </row>
    <row r="770">
      <c r="A770" s="22"/>
    </row>
    <row r="771">
      <c r="A771" s="22"/>
    </row>
    <row r="772">
      <c r="A772" s="22"/>
    </row>
    <row r="773">
      <c r="A773" s="22"/>
    </row>
    <row r="774">
      <c r="A774" s="22"/>
    </row>
    <row r="775">
      <c r="A775" s="22"/>
    </row>
    <row r="776">
      <c r="A776" s="22"/>
    </row>
    <row r="777">
      <c r="A777" s="22"/>
    </row>
    <row r="778">
      <c r="A778" s="22"/>
    </row>
    <row r="779">
      <c r="A779" s="22"/>
    </row>
    <row r="780">
      <c r="A780" s="22"/>
    </row>
    <row r="781">
      <c r="A781" s="22"/>
    </row>
    <row r="782">
      <c r="A782" s="22"/>
    </row>
    <row r="783">
      <c r="A783" s="22"/>
    </row>
    <row r="784">
      <c r="A784" s="22"/>
    </row>
    <row r="785">
      <c r="A785" s="22"/>
    </row>
    <row r="786">
      <c r="A786" s="22"/>
    </row>
    <row r="787">
      <c r="A787" s="22"/>
    </row>
    <row r="788">
      <c r="A788" s="22"/>
    </row>
    <row r="789">
      <c r="A789" s="22"/>
    </row>
    <row r="790">
      <c r="A790" s="22"/>
    </row>
    <row r="791">
      <c r="A791" s="22"/>
    </row>
    <row r="792">
      <c r="A792" s="22"/>
    </row>
    <row r="793">
      <c r="A793" s="22"/>
    </row>
    <row r="794">
      <c r="A794" s="22"/>
    </row>
    <row r="795">
      <c r="A795" s="22"/>
    </row>
    <row r="796">
      <c r="A796" s="22"/>
    </row>
    <row r="797">
      <c r="A797" s="22"/>
    </row>
    <row r="798">
      <c r="A798" s="22"/>
    </row>
    <row r="799">
      <c r="A799" s="22"/>
    </row>
    <row r="800">
      <c r="A800" s="22"/>
    </row>
    <row r="801">
      <c r="A801" s="22"/>
    </row>
    <row r="802">
      <c r="A802" s="22"/>
    </row>
    <row r="803">
      <c r="A803" s="22"/>
    </row>
    <row r="804">
      <c r="A804" s="22"/>
    </row>
    <row r="805">
      <c r="A805" s="22"/>
    </row>
    <row r="806">
      <c r="A806" s="22"/>
    </row>
    <row r="807">
      <c r="A807" s="22"/>
    </row>
    <row r="808">
      <c r="A808" s="22"/>
    </row>
    <row r="809">
      <c r="A809" s="22"/>
    </row>
    <row r="810">
      <c r="A810" s="22"/>
    </row>
    <row r="811">
      <c r="A811" s="22"/>
    </row>
    <row r="812">
      <c r="A812" s="22"/>
    </row>
    <row r="813">
      <c r="A813" s="22"/>
    </row>
    <row r="814">
      <c r="A814" s="22"/>
    </row>
    <row r="815">
      <c r="A815" s="22"/>
    </row>
    <row r="816">
      <c r="A816" s="22"/>
    </row>
    <row r="817">
      <c r="A817" s="22"/>
    </row>
    <row r="818">
      <c r="A818" s="22"/>
    </row>
    <row r="819">
      <c r="A819" s="22"/>
    </row>
    <row r="820">
      <c r="A820" s="22"/>
    </row>
    <row r="821">
      <c r="A821" s="22"/>
    </row>
    <row r="822">
      <c r="A822" s="22"/>
    </row>
    <row r="823">
      <c r="A823" s="22"/>
    </row>
    <row r="824">
      <c r="A824" s="22"/>
    </row>
    <row r="825">
      <c r="A825" s="22"/>
    </row>
    <row r="826">
      <c r="A826" s="22"/>
    </row>
    <row r="827">
      <c r="A827" s="22"/>
    </row>
    <row r="828">
      <c r="A828" s="22"/>
    </row>
    <row r="829">
      <c r="A829" s="22"/>
    </row>
    <row r="830">
      <c r="A830" s="22"/>
    </row>
    <row r="831">
      <c r="A831" s="22"/>
    </row>
    <row r="832">
      <c r="A832" s="22"/>
    </row>
    <row r="833">
      <c r="A833" s="22"/>
    </row>
    <row r="834">
      <c r="A834" s="22"/>
    </row>
    <row r="835">
      <c r="A835" s="22"/>
    </row>
    <row r="836">
      <c r="A836" s="22"/>
    </row>
    <row r="837">
      <c r="A837" s="22"/>
    </row>
    <row r="838">
      <c r="A838" s="22"/>
    </row>
    <row r="839">
      <c r="A839" s="22"/>
    </row>
    <row r="840">
      <c r="A840" s="22"/>
    </row>
    <row r="841">
      <c r="A841" s="22"/>
    </row>
    <row r="842">
      <c r="A842" s="22"/>
    </row>
    <row r="843">
      <c r="A843" s="22"/>
    </row>
    <row r="844">
      <c r="A844" s="22"/>
    </row>
    <row r="845">
      <c r="A845" s="22"/>
    </row>
    <row r="846">
      <c r="A846" s="22"/>
    </row>
    <row r="847">
      <c r="A847" s="22"/>
    </row>
    <row r="848">
      <c r="A848" s="22"/>
    </row>
    <row r="849">
      <c r="A849" s="22"/>
    </row>
    <row r="850">
      <c r="A850" s="22"/>
    </row>
    <row r="851">
      <c r="A851" s="22"/>
    </row>
    <row r="852">
      <c r="A852" s="22"/>
    </row>
    <row r="853">
      <c r="A853" s="22"/>
    </row>
    <row r="854">
      <c r="A854" s="22"/>
    </row>
    <row r="855">
      <c r="A855" s="22"/>
    </row>
    <row r="856">
      <c r="A856" s="22"/>
    </row>
    <row r="857">
      <c r="A857" s="22"/>
    </row>
    <row r="858">
      <c r="A858" s="22"/>
    </row>
    <row r="859">
      <c r="A859" s="22"/>
    </row>
    <row r="860">
      <c r="A860" s="22"/>
    </row>
    <row r="861">
      <c r="A861" s="22"/>
    </row>
    <row r="862">
      <c r="A862" s="22"/>
    </row>
    <row r="863">
      <c r="A863" s="22"/>
    </row>
    <row r="864">
      <c r="A864" s="22"/>
    </row>
    <row r="865">
      <c r="A865" s="22"/>
    </row>
    <row r="866">
      <c r="A866" s="22"/>
    </row>
    <row r="867">
      <c r="A867" s="22"/>
    </row>
    <row r="868">
      <c r="A868" s="22"/>
    </row>
    <row r="869">
      <c r="A869" s="22"/>
    </row>
    <row r="870">
      <c r="A870" s="22"/>
    </row>
    <row r="871">
      <c r="A871" s="22"/>
    </row>
    <row r="872">
      <c r="A872" s="22"/>
    </row>
    <row r="873">
      <c r="A873" s="22"/>
    </row>
    <row r="874">
      <c r="A874" s="22"/>
    </row>
    <row r="875">
      <c r="A875" s="22"/>
    </row>
    <row r="876">
      <c r="A876" s="22"/>
    </row>
    <row r="877">
      <c r="A877" s="22"/>
    </row>
    <row r="878">
      <c r="A878" s="22"/>
    </row>
    <row r="879">
      <c r="A879" s="22"/>
    </row>
    <row r="880">
      <c r="A880" s="22"/>
    </row>
    <row r="881">
      <c r="A881" s="22"/>
    </row>
    <row r="882">
      <c r="A882" s="22"/>
    </row>
    <row r="883">
      <c r="A883" s="22"/>
    </row>
    <row r="884">
      <c r="A884" s="22"/>
    </row>
    <row r="885">
      <c r="A885" s="22"/>
    </row>
    <row r="886">
      <c r="A886" s="22"/>
    </row>
    <row r="887">
      <c r="A887" s="22"/>
    </row>
    <row r="888">
      <c r="A888" s="22"/>
    </row>
    <row r="889">
      <c r="A889" s="22"/>
    </row>
    <row r="890">
      <c r="A890" s="22"/>
    </row>
    <row r="891">
      <c r="A891" s="22"/>
    </row>
    <row r="892">
      <c r="A892" s="22"/>
    </row>
    <row r="893">
      <c r="A893" s="22"/>
    </row>
    <row r="894">
      <c r="A894" s="22"/>
    </row>
    <row r="895">
      <c r="A895" s="22"/>
    </row>
    <row r="896">
      <c r="A896" s="22"/>
    </row>
    <row r="897">
      <c r="A897" s="22"/>
    </row>
    <row r="898">
      <c r="A898" s="22"/>
    </row>
    <row r="899">
      <c r="A899" s="22"/>
    </row>
    <row r="900">
      <c r="A900" s="22"/>
    </row>
    <row r="901">
      <c r="A901" s="22"/>
    </row>
    <row r="902">
      <c r="A902" s="22"/>
    </row>
    <row r="903">
      <c r="A903" s="22"/>
    </row>
    <row r="904">
      <c r="A904" s="22"/>
    </row>
    <row r="905">
      <c r="A905" s="22"/>
    </row>
    <row r="906">
      <c r="A906" s="22"/>
    </row>
    <row r="907">
      <c r="A907" s="22"/>
    </row>
    <row r="908">
      <c r="A908" s="22"/>
    </row>
    <row r="909">
      <c r="A909" s="22"/>
    </row>
    <row r="910">
      <c r="A910" s="22"/>
    </row>
    <row r="911">
      <c r="A911" s="22"/>
    </row>
    <row r="912">
      <c r="A912" s="22"/>
    </row>
    <row r="913">
      <c r="A913" s="22"/>
    </row>
    <row r="914">
      <c r="A914" s="22"/>
    </row>
    <row r="915">
      <c r="A915" s="22"/>
    </row>
    <row r="916">
      <c r="A916" s="22"/>
    </row>
    <row r="917">
      <c r="A917" s="22"/>
    </row>
    <row r="918">
      <c r="A918" s="22"/>
    </row>
    <row r="919">
      <c r="A919" s="22"/>
    </row>
    <row r="920">
      <c r="A920" s="22"/>
    </row>
    <row r="921">
      <c r="A921" s="22"/>
    </row>
    <row r="922">
      <c r="A922" s="22"/>
    </row>
    <row r="923">
      <c r="A923" s="22"/>
    </row>
    <row r="924">
      <c r="A924" s="22"/>
    </row>
    <row r="925">
      <c r="A925" s="22"/>
    </row>
    <row r="926">
      <c r="A926" s="22"/>
    </row>
    <row r="927">
      <c r="A927" s="22"/>
    </row>
    <row r="928">
      <c r="A928" s="22"/>
    </row>
    <row r="929">
      <c r="A929" s="22"/>
    </row>
    <row r="930">
      <c r="A930" s="22"/>
    </row>
    <row r="931">
      <c r="A931" s="22"/>
    </row>
    <row r="932">
      <c r="A932" s="22"/>
    </row>
    <row r="933">
      <c r="A933" s="22"/>
    </row>
    <row r="934">
      <c r="A934" s="22"/>
    </row>
    <row r="935">
      <c r="A935" s="22"/>
    </row>
    <row r="936">
      <c r="A936" s="22"/>
    </row>
    <row r="937">
      <c r="A937" s="22"/>
    </row>
    <row r="938">
      <c r="A938" s="22"/>
    </row>
    <row r="939">
      <c r="A939" s="22"/>
    </row>
    <row r="940">
      <c r="A940" s="22"/>
    </row>
    <row r="941">
      <c r="A941" s="22"/>
    </row>
    <row r="942">
      <c r="A942" s="22"/>
    </row>
    <row r="943">
      <c r="A943" s="22"/>
    </row>
    <row r="944">
      <c r="A944" s="22"/>
    </row>
    <row r="945">
      <c r="A945" s="22"/>
    </row>
    <row r="946">
      <c r="A946" s="22"/>
    </row>
    <row r="947">
      <c r="A947" s="22"/>
    </row>
    <row r="948">
      <c r="A948" s="22"/>
    </row>
    <row r="949">
      <c r="A949" s="22"/>
    </row>
    <row r="950">
      <c r="A950" s="22"/>
    </row>
    <row r="951">
      <c r="A951" s="22"/>
    </row>
    <row r="952">
      <c r="A952" s="22"/>
    </row>
    <row r="953">
      <c r="A953" s="22"/>
    </row>
    <row r="954">
      <c r="A954" s="22"/>
    </row>
    <row r="955">
      <c r="A955" s="22"/>
    </row>
    <row r="956">
      <c r="A956" s="22"/>
    </row>
    <row r="957">
      <c r="A957" s="22"/>
    </row>
    <row r="958">
      <c r="A958" s="22"/>
    </row>
    <row r="959">
      <c r="A959" s="22"/>
    </row>
    <row r="960">
      <c r="A960" s="22"/>
    </row>
    <row r="961">
      <c r="A961" s="22"/>
    </row>
    <row r="962">
      <c r="A962" s="22"/>
    </row>
    <row r="963">
      <c r="A963" s="22"/>
    </row>
    <row r="964">
      <c r="A964" s="22"/>
    </row>
    <row r="965">
      <c r="A965" s="22"/>
    </row>
    <row r="966">
      <c r="A966" s="22"/>
    </row>
    <row r="967">
      <c r="A967" s="22"/>
    </row>
    <row r="968">
      <c r="A968" s="22"/>
    </row>
    <row r="969">
      <c r="A969" s="22"/>
    </row>
    <row r="970">
      <c r="A970" s="22"/>
    </row>
    <row r="971">
      <c r="A971" s="22"/>
    </row>
    <row r="972">
      <c r="A972" s="22"/>
    </row>
    <row r="973">
      <c r="A973" s="22"/>
    </row>
    <row r="974">
      <c r="A974" s="22"/>
    </row>
    <row r="975">
      <c r="A975" s="22"/>
    </row>
    <row r="976">
      <c r="A976" s="22"/>
    </row>
    <row r="977">
      <c r="A977" s="22"/>
    </row>
    <row r="978">
      <c r="A978" s="22"/>
    </row>
    <row r="979">
      <c r="A979" s="22"/>
    </row>
    <row r="980">
      <c r="A980" s="22"/>
    </row>
    <row r="981">
      <c r="A981" s="22"/>
    </row>
    <row r="982">
      <c r="A982" s="22"/>
    </row>
    <row r="983">
      <c r="A983" s="22"/>
    </row>
    <row r="984">
      <c r="A984" s="22"/>
    </row>
    <row r="985">
      <c r="A985" s="22"/>
    </row>
    <row r="986">
      <c r="A986" s="22"/>
    </row>
    <row r="987">
      <c r="A987" s="22"/>
    </row>
    <row r="988">
      <c r="A988" s="22"/>
    </row>
    <row r="989">
      <c r="A989" s="22"/>
    </row>
    <row r="990">
      <c r="A990" s="22"/>
    </row>
    <row r="991">
      <c r="A991" s="22"/>
    </row>
    <row r="992">
      <c r="A992" s="22"/>
    </row>
    <row r="993">
      <c r="A993" s="22"/>
    </row>
    <row r="994">
      <c r="A994" s="22"/>
    </row>
    <row r="995">
      <c r="A995" s="22"/>
    </row>
    <row r="996">
      <c r="A996" s="22"/>
    </row>
    <row r="997">
      <c r="A997" s="22"/>
    </row>
    <row r="998">
      <c r="A998" s="22"/>
    </row>
    <row r="999">
      <c r="A999" s="22"/>
    </row>
    <row r="1000">
      <c r="A1000" s="22"/>
    </row>
  </sheetData>
  <dataValidations>
    <dataValidation type="list" allowBlank="1" showErrorMessage="1" sqref="N1">
      <formula1>"Approved,Pending,Status,No Stocks"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40.63"/>
    <col customWidth="1" min="3" max="3" width="5.88"/>
    <col customWidth="1" min="4" max="4" width="6.38"/>
    <col customWidth="1" min="5" max="5" width="11.88"/>
    <col customWidth="1" min="6" max="6" width="8.88"/>
    <col customWidth="1" min="7" max="7" width="7.38"/>
    <col customWidth="1" min="8" max="8" width="9.0"/>
    <col customWidth="1" min="9" max="9" width="11.25"/>
    <col customWidth="1" min="10" max="10" width="12.0"/>
    <col customWidth="1" min="11" max="11" width="10.38"/>
    <col customWidth="1" min="12" max="12" width="10.25"/>
    <col customWidth="1" min="13" max="13" width="8.75"/>
    <col customWidth="1" min="14" max="14" width="17.25"/>
    <col customWidth="1" min="15" max="15" width="17.88"/>
    <col customWidth="1" min="16" max="16" width="6.88"/>
    <col customWidth="1" min="17" max="17" width="12.25"/>
    <col customWidth="1" min="18" max="18" width="12.88"/>
    <col customWidth="1" min="19" max="19" width="7.13"/>
    <col customWidth="1" min="20" max="20" width="7.88"/>
    <col customWidth="1" min="21" max="21" width="5.38"/>
    <col customWidth="1" min="22" max="22" width="8.25"/>
    <col customWidth="1" min="23" max="23" width="8.63"/>
    <col customWidth="1" min="24" max="24" width="8.0"/>
    <col customWidth="1" min="25" max="25" width="6.0"/>
    <col customWidth="1" min="26" max="26" width="10.13"/>
    <col customWidth="1" min="27" max="27" width="9.88"/>
    <col customWidth="1" min="28" max="28" width="9.25"/>
    <col customWidth="1" min="29" max="29" width="16.5"/>
    <col customWidth="1" min="30" max="30" width="7.5"/>
    <col customWidth="1" min="31" max="31" width="19.75"/>
    <col customWidth="1" min="32" max="32" width="14.25"/>
    <col customWidth="1" min="33" max="33" width="9.13"/>
    <col customWidth="1" min="34" max="35" width="10.88"/>
    <col customWidth="1" min="36" max="36" width="17.25"/>
    <col customWidth="1" min="37" max="44" width="13.38"/>
  </cols>
  <sheetData>
    <row r="1" ht="15.75" customHeight="1">
      <c r="A1" s="23" t="s">
        <v>567</v>
      </c>
      <c r="B1" s="23" t="s">
        <v>8</v>
      </c>
      <c r="C1" s="24" t="s">
        <v>7</v>
      </c>
      <c r="D1" s="25" t="s">
        <v>91</v>
      </c>
      <c r="E1" s="25" t="s">
        <v>18</v>
      </c>
      <c r="F1" s="25" t="s">
        <v>101</v>
      </c>
      <c r="G1" s="25" t="s">
        <v>95</v>
      </c>
      <c r="H1" s="25" t="s">
        <v>36</v>
      </c>
      <c r="I1" s="25" t="s">
        <v>40</v>
      </c>
      <c r="J1" s="25" t="s">
        <v>47</v>
      </c>
      <c r="K1" s="25" t="s">
        <v>71</v>
      </c>
      <c r="L1" s="25" t="s">
        <v>313</v>
      </c>
      <c r="M1" s="25" t="s">
        <v>65</v>
      </c>
      <c r="N1" s="25" t="s">
        <v>164</v>
      </c>
      <c r="O1" s="25" t="s">
        <v>220</v>
      </c>
      <c r="P1" s="25" t="s">
        <v>105</v>
      </c>
      <c r="Q1" s="25" t="s">
        <v>307</v>
      </c>
      <c r="R1" s="25" t="s">
        <v>183</v>
      </c>
      <c r="S1" s="25" t="s">
        <v>29</v>
      </c>
      <c r="T1" s="25" t="s">
        <v>149</v>
      </c>
      <c r="U1" s="25" t="s">
        <v>174</v>
      </c>
      <c r="V1" s="25" t="s">
        <v>75</v>
      </c>
      <c r="W1" s="25" t="s">
        <v>26</v>
      </c>
      <c r="X1" s="25" t="s">
        <v>244</v>
      </c>
      <c r="Y1" s="25" t="s">
        <v>43</v>
      </c>
      <c r="Z1" s="25" t="s">
        <v>200</v>
      </c>
      <c r="AA1" s="25" t="s">
        <v>89</v>
      </c>
      <c r="AB1" s="25" t="s">
        <v>51</v>
      </c>
      <c r="AC1" s="25" t="s">
        <v>62</v>
      </c>
      <c r="AD1" s="25" t="s">
        <v>132</v>
      </c>
      <c r="AE1" s="25" t="s">
        <v>108</v>
      </c>
      <c r="AF1" s="25" t="s">
        <v>144</v>
      </c>
      <c r="AG1" s="25" t="s">
        <v>376</v>
      </c>
      <c r="AH1" s="25" t="s">
        <v>55</v>
      </c>
      <c r="AI1" s="25" t="s">
        <v>382</v>
      </c>
      <c r="AJ1" s="25" t="s">
        <v>568</v>
      </c>
    </row>
    <row r="2" ht="15.75" customHeight="1">
      <c r="A2" s="23" t="s">
        <v>569</v>
      </c>
      <c r="B2" s="23" t="s">
        <v>570</v>
      </c>
      <c r="C2" s="24" t="s">
        <v>571</v>
      </c>
      <c r="D2" s="25">
        <f>IFERROR(SUMIFS(SUMMARY!D:D, SUMMARY!B:B, A2, SUMMARY!A:A, "ADMIN"), 0)</f>
        <v>1</v>
      </c>
      <c r="E2" s="25">
        <v>0.0</v>
      </c>
      <c r="F2" s="24">
        <f>IFERROR(SUMIFS(SUMMARY!D:D, SUMMARY!B:B, A2, SUMMARY!A:A, "LAGTANG"), 0)</f>
        <v>0</v>
      </c>
      <c r="G2" s="26">
        <f>IFERROR(SUMIFS(SUMMARY!D:D, SUMMARY!B:B, A2, SUMMARY!A:A, "V-RAMA"), 0)</f>
        <v>1</v>
      </c>
      <c r="H2" s="24">
        <f>IFERROR(SUMIFS(SUMMARY!D:D, SUMMARY!B:B, A2, SUMMARY!A:A, "BULACAO"), 0)</f>
        <v>0</v>
      </c>
      <c r="I2" s="24">
        <f>IFERROR(SUMIFS(SUMMARY!D:D, SUMMARY!B:B, A2, SUMMARY!A:A, "Y3S TALISAY"), 0)</f>
        <v>0</v>
      </c>
      <c r="J2" s="24">
        <f>IFERROR(SUMIFS(SUMMARY!D:D, SUMMARY!B:B, A2, SUMMARY!A:A, "MINGLANILLA"), 0)</f>
        <v>0</v>
      </c>
      <c r="K2" s="24">
        <f>IFERROR(SUMIFS(SUMMARY!D:D, SUMMARY!B:B, A2, SUMMARY!A:A, "Y3S PARDO"), 0)</f>
        <v>0</v>
      </c>
      <c r="L2" s="24">
        <f>IFERROR(SUMIFS(SUMMARY!D:D, SUMMARY!B:B, A2, SUMMARY!A:A, "LAPU-LAPU"), 0)</f>
        <v>0</v>
      </c>
      <c r="M2" s="24">
        <f>IFERROR(SUMIFS(SUMMARY!D:D, SUMMARY!B:B, A2, SUMMARY!A:A, "BACAYAN"), 0)</f>
        <v>1</v>
      </c>
      <c r="N2" s="24">
        <f>IFERROR(SUMIFS(SUMMARY!D:D, SUMMARY!B:B, A2, SUMMARY!A:A, "SAN FERNANDO MB"), 0)</f>
        <v>1</v>
      </c>
      <c r="O2" s="24">
        <f>IFERROR(SUMIFS(SUMMARY!D:D, SUMMARY!B:B, A2, SUMMARY!A:A, "Y3S SAN FERNANDO"), 0)</f>
        <v>1</v>
      </c>
      <c r="P2" s="24">
        <f>IFERROR(SUMIFS(SUMMARY!D:D, SUMMARY!B:B, A2, SUMMARY!A:A, "LILOAN"), 0)</f>
        <v>1</v>
      </c>
      <c r="Q2" s="24">
        <f>IFERROR(SUMIFS(SUMMARY!D:D, SUMMARY!B:B, A2, SUMMARY!A:A, "CORDOVA MB"), 0)</f>
        <v>0</v>
      </c>
      <c r="R2" s="24">
        <f>IFERROR(SUMIFS(SUMMARY!D:D, SUMMARY!B:B, A2, SUMMARY!A:A, "Y3S CORDOVA"), 0)</f>
        <v>1</v>
      </c>
      <c r="S2" s="24">
        <f>IFERROR(SUMIFS(SUMMARY!D:D, SUMMARY!B:B, A2, SUMMARY!A:A, "CLARIN"), 0)</f>
        <v>0</v>
      </c>
      <c r="T2" s="24">
        <f>IFERROR(SUMIFS(SUMMARY!D:D, SUMMARY!B:B, A2, SUMMARY!A:A, "TOLEDO"), 0)</f>
        <v>0</v>
      </c>
      <c r="U2" s="24">
        <f>IFERROR(SUMIFS(SUMMARY!D:D, SUMMARY!B:B, A2, SUMMARY!A:A, "UBAY"), 0)</f>
        <v>0</v>
      </c>
      <c r="V2" s="24">
        <f>IFERROR(SUMIFS(SUMMARY!D:D, SUMMARY!B:B, A2, SUMMARY!A:A, "CARMEN"), 0)</f>
        <v>1</v>
      </c>
      <c r="W2" s="24">
        <f>IFERROR(SUMIFS(SUMMARY!D:D, SUMMARY!B:B, A2, SUMMARY!A:A, "TUBIGON"), 0)</f>
        <v>0</v>
      </c>
      <c r="X2" s="24">
        <f>IFERROR(SUMIFS(SUMMARY!D:D, SUMMARY!B:B, A2, SUMMARY!A:A, "TALIBON"), 0)</f>
        <v>0</v>
      </c>
      <c r="Y2" s="24">
        <f>IFERROR(SUMIFS(SUMMARY!D:D, SUMMARY!B:B, A2, SUMMARY!A:A, "BOGO"), 0)</f>
        <v>1</v>
      </c>
      <c r="Z2" s="24">
        <f>IFERROR(SUMIFS(SUMMARY!D:D, SUMMARY!B:B, A2, SUMMARY!A:A, "BALAMBAN"), 0)</f>
        <v>0</v>
      </c>
      <c r="AA2" s="24">
        <f>IFERROR(SUMIFS(SUMMARY!D:D, SUMMARY!B:B, A2, SUMMARY!A:A, "Y3S BARILI"), 0)</f>
        <v>1</v>
      </c>
      <c r="AB2" s="24">
        <f>IFERROR(SUMIFS(SUMMARY!D:D, SUMMARY!B:B, A2, SUMMARY!A:A, "BARILI MB"), 0)</f>
        <v>1</v>
      </c>
      <c r="AC2" s="24">
        <f>IFERROR(SUMIFS(SUMMARY!D:D, SUMMARY!B:B, A2, SUMMARY!A:A, "SIERRA BULLONES"), 0)</f>
        <v>1</v>
      </c>
      <c r="AD2" s="24">
        <f>IFERROR(SUMIFS(SUMMARY!D:D, SUMMARY!B:B, A2, SUMMARY!A:A, "PITOGO"), 0)</f>
        <v>0</v>
      </c>
      <c r="AE2" s="24">
        <f>IFERROR(SUMIFS(SUMMARY!D:D, SUMMARY!B:B, A2, SUMMARY!A:A, "TAYUD CONSOLACION"), 0)</f>
        <v>0</v>
      </c>
      <c r="AF2" s="24">
        <f>IFERROR(SUMIFS(SUMMARY!D:D, SUMMARY!B:B, A2, SUMMARY!A:A, "PINAMUNGAJAN"), 0)</f>
        <v>0</v>
      </c>
      <c r="AG2" s="24">
        <f>IFERROR(SUMIFS(SUMMARY!D:D, SUMMARY!B:B, A2, SUMMARY!A:A, "CANDIJAY"), 0)</f>
        <v>1</v>
      </c>
      <c r="AH2" s="24">
        <f>IFERROR(SUMIFS(SUMMARY!D:D, SUMMARY!B:B, A2, SUMMARY!A:A, "YATI LILOAN"), 0)</f>
        <v>1</v>
      </c>
      <c r="AI2" s="27">
        <f>IFERROR(SUMIFS(SUMMARY!D:D, SUMMARY!B:B, A2, SUMMARY!A:A, "CAMOTES"), 0)</f>
        <v>0</v>
      </c>
      <c r="AJ2" s="28">
        <f t="shared" ref="AJ2:AJ106" si="1">SUM(D2:AH2)</f>
        <v>14</v>
      </c>
    </row>
    <row r="3" ht="15.75" customHeight="1">
      <c r="A3" s="23" t="s">
        <v>572</v>
      </c>
      <c r="B3" s="23" t="s">
        <v>573</v>
      </c>
      <c r="C3" s="24" t="s">
        <v>571</v>
      </c>
      <c r="D3" s="25">
        <f>IFERROR(SUMIFS(SUMMARY!D:D, SUMMARY!B:B, A3, SUMMARY!A:A, "ADMIN"), 0)</f>
        <v>2</v>
      </c>
      <c r="E3" s="25">
        <f>IFERROR(SUMIFS(SUMMARY!D:D, SUMMARY!B:B, A3, SUMMARY!A:A, "WAREHOUSE"), 0)</f>
        <v>1</v>
      </c>
      <c r="F3" s="24">
        <f>IFERROR(SUMIFS(SUMMARY!D:D, SUMMARY!B:B, A3, SUMMARY!A:A, "LAGTANG"), 0)</f>
        <v>1</v>
      </c>
      <c r="G3" s="26">
        <f>IFERROR(SUMIFS(SUMMARY!D:D, SUMMARY!B:B, A3, SUMMARY!A:A, "V-RAMA"), 0)</f>
        <v>0</v>
      </c>
      <c r="H3" s="24">
        <f>IFERROR(SUMIFS(SUMMARY!D:D, SUMMARY!B:B, A3, SUMMARY!A:A, "BULACAO"), 0)</f>
        <v>0</v>
      </c>
      <c r="I3" s="24">
        <f>IFERROR(SUMIFS(SUMMARY!D:D, SUMMARY!B:B, A3, SUMMARY!A:A, "Y3S TALISAY"), 0)</f>
        <v>2</v>
      </c>
      <c r="J3" s="24">
        <f>IFERROR(SUMIFS(SUMMARY!D:D, SUMMARY!B:B, A3, SUMMARY!A:A, "MINGLANILLA"), 0)</f>
        <v>1</v>
      </c>
      <c r="K3" s="24">
        <f>IFERROR(SUMIFS(SUMMARY!D:D, SUMMARY!B:B, A3, SUMMARY!A:A, "Y3S PARDO"), 0)</f>
        <v>0</v>
      </c>
      <c r="L3" s="24">
        <f>IFERROR(SUMIFS(SUMMARY!D:D, SUMMARY!B:B, A3, SUMMARY!A:A, "LAPU-LAPU"), 0)</f>
        <v>0</v>
      </c>
      <c r="M3" s="24">
        <f>IFERROR(SUMIFS(SUMMARY!D:D, SUMMARY!B:B, A3, SUMMARY!A:A, "BACAYAN"), 0)</f>
        <v>0</v>
      </c>
      <c r="N3" s="24">
        <f>IFERROR(SUMIFS(SUMMARY!D:D, SUMMARY!B:B, A3, SUMMARY!A:A, "SAN FERNANDO MB"), 0)</f>
        <v>1</v>
      </c>
      <c r="O3" s="24">
        <f>IFERROR(SUMIFS(SUMMARY!D:D, SUMMARY!B:B, A3, SUMMARY!A:A, "Y3S SAN FERNANDO"), 0)</f>
        <v>1</v>
      </c>
      <c r="P3" s="24">
        <f>IFERROR(SUMIFS(SUMMARY!D:D, SUMMARY!B:B, A3, SUMMARY!A:A, "LILOAN"), 0)</f>
        <v>1</v>
      </c>
      <c r="Q3" s="24">
        <f>IFERROR(SUMIFS(SUMMARY!D:D, SUMMARY!B:B, A3, SUMMARY!A:A, "CORDOVA MB"), 0)</f>
        <v>0</v>
      </c>
      <c r="R3" s="24">
        <f>IFERROR(SUMIFS(SUMMARY!D:D, SUMMARY!B:B, A3, SUMMARY!A:A, "Y3S CORDOVA"), 0)</f>
        <v>3</v>
      </c>
      <c r="S3" s="24">
        <f>IFERROR(SUMIFS(SUMMARY!D:D, SUMMARY!B:B, A3, SUMMARY!A:A, "CLARIN"), 0)</f>
        <v>0</v>
      </c>
      <c r="T3" s="24">
        <f>IFERROR(SUMIFS(SUMMARY!D:D, SUMMARY!B:B, A3, SUMMARY!A:A, "TOLEDO"), 0)</f>
        <v>0</v>
      </c>
      <c r="U3" s="24">
        <f>IFERROR(SUMIFS(SUMMARY!D:D, SUMMARY!B:B, A3, SUMMARY!A:A, "UBAY"), 0)</f>
        <v>1</v>
      </c>
      <c r="V3" s="24">
        <f>IFERROR(SUMIFS(SUMMARY!D:D, SUMMARY!B:B, A3, SUMMARY!A:A, "CARMEN"), 0)</f>
        <v>1</v>
      </c>
      <c r="W3" s="24">
        <f>IFERROR(SUMIFS(SUMMARY!D:D, SUMMARY!B:B, A3, SUMMARY!A:A, "TUBIGON"), 0)</f>
        <v>1</v>
      </c>
      <c r="X3" s="24">
        <f>IFERROR(SUMIFS(SUMMARY!D:D, SUMMARY!B:B, A3, SUMMARY!A:A, "TALIBON"), 0)</f>
        <v>1</v>
      </c>
      <c r="Y3" s="24">
        <f>IFERROR(SUMIFS(SUMMARY!D:D, SUMMARY!B:B, A3, SUMMARY!A:A, "BOGO"), 0)</f>
        <v>0</v>
      </c>
      <c r="Z3" s="24">
        <f>IFERROR(SUMIFS(SUMMARY!D:D, SUMMARY!B:B, A3, SUMMARY!A:A, "BALAMBAN"), 0)</f>
        <v>0</v>
      </c>
      <c r="AA3" s="24">
        <f>IFERROR(SUMIFS(SUMMARY!D:D, SUMMARY!B:B, A3, SUMMARY!A:A, "Y3S BARILI"), 0)</f>
        <v>1</v>
      </c>
      <c r="AB3" s="24">
        <f>IFERROR(SUMIFS(SUMMARY!D:D, SUMMARY!B:B, A3, SUMMARY!A:A, "BARILI MB"), 0)</f>
        <v>1</v>
      </c>
      <c r="AC3" s="24">
        <f>IFERROR(SUMIFS(SUMMARY!D:D, SUMMARY!B:B, A3, SUMMARY!A:A, "SIERRA BULLONES"), 0)</f>
        <v>1</v>
      </c>
      <c r="AD3" s="24">
        <f>IFERROR(SUMIFS(SUMMARY!D:D, SUMMARY!B:B, A3, SUMMARY!A:A, "PITOGO"), 0)</f>
        <v>1</v>
      </c>
      <c r="AE3" s="24">
        <f>IFERROR(SUMIFS(SUMMARY!D:D, SUMMARY!B:B, A3, SUMMARY!A:A, "TAYUD CONSOLACION"), 0)</f>
        <v>0</v>
      </c>
      <c r="AF3" s="24">
        <f>IFERROR(SUMIFS(SUMMARY!D:D, SUMMARY!B:B, A3, SUMMARY!A:A, "PINAMUNGAJAN"), 0)</f>
        <v>1</v>
      </c>
      <c r="AG3" s="24">
        <f>IFERROR(SUMIFS(SUMMARY!D:D, SUMMARY!B:B, A3, SUMMARY!A:A, "CANDIJAY"), 0)</f>
        <v>1</v>
      </c>
      <c r="AH3" s="24">
        <f>IFERROR(SUMIFS(SUMMARY!D:D, SUMMARY!B:B, A3, SUMMARY!A:A, "YATI LILOAN"), 0)</f>
        <v>1</v>
      </c>
      <c r="AI3" s="27">
        <f>IFERROR(SUMIFS(SUMMARY!D:D, SUMMARY!B:B, A3, SUMMARY!A:A, "CAMOTES"), 0)</f>
        <v>0</v>
      </c>
      <c r="AJ3" s="28">
        <f t="shared" si="1"/>
        <v>24</v>
      </c>
    </row>
    <row r="4" ht="15.75" customHeight="1">
      <c r="A4" s="23" t="s">
        <v>574</v>
      </c>
      <c r="B4" s="23" t="s">
        <v>575</v>
      </c>
      <c r="C4" s="24" t="s">
        <v>571</v>
      </c>
      <c r="D4" s="25">
        <f>IFERROR(SUMIFS(SUMMARY!D:D, SUMMARY!B:B, A4, SUMMARY!A:A, "ADMIN"), 0)</f>
        <v>1</v>
      </c>
      <c r="E4" s="25">
        <f>IFERROR(SUMIFS(SUMMARY!D:D, SUMMARY!B:B, A4, SUMMARY!A:A, "WAREHOUSE"), 0)</f>
        <v>0</v>
      </c>
      <c r="F4" s="24">
        <f>IFERROR(SUMIFS(SUMMARY!D:D, SUMMARY!B:B, A4, SUMMARY!A:A, "LAGTANG"), 0)</f>
        <v>1</v>
      </c>
      <c r="G4" s="26">
        <f>IFERROR(SUMIFS(SUMMARY!D:D, SUMMARY!B:B, A4, SUMMARY!A:A, "V-RAMA"), 0)</f>
        <v>1</v>
      </c>
      <c r="H4" s="24">
        <f>IFERROR(SUMIFS(SUMMARY!D:D, SUMMARY!B:B, A4, SUMMARY!A:A, "BULACAO"), 0)</f>
        <v>0</v>
      </c>
      <c r="I4" s="24">
        <f>IFERROR(SUMIFS(SUMMARY!D:D, SUMMARY!B:B, A4, SUMMARY!A:A, "Y3S TALISAY"), 0)</f>
        <v>1</v>
      </c>
      <c r="J4" s="24">
        <f>IFERROR(SUMIFS(SUMMARY!D:D, SUMMARY!B:B, A4, SUMMARY!A:A, "MINGLANILLA"), 0)</f>
        <v>0</v>
      </c>
      <c r="K4" s="24">
        <f>IFERROR(SUMIFS(SUMMARY!D:D, SUMMARY!B:B, A4, SUMMARY!A:A, "Y3S PARDO"), 0)</f>
        <v>1</v>
      </c>
      <c r="L4" s="24">
        <f>IFERROR(SUMIFS(SUMMARY!D:D, SUMMARY!B:B, A4, SUMMARY!A:A, "LAPU-LAPU"), 0)</f>
        <v>0</v>
      </c>
      <c r="M4" s="24">
        <f>IFERROR(SUMIFS(SUMMARY!D:D, SUMMARY!B:B, A4, SUMMARY!A:A, "BACAYAN"), 0)</f>
        <v>0</v>
      </c>
      <c r="N4" s="24">
        <f>IFERROR(SUMIFS(SUMMARY!D:D, SUMMARY!B:B, A4, SUMMARY!A:A, "SAN FERNANDO MB"), 0)</f>
        <v>0</v>
      </c>
      <c r="O4" s="24">
        <f>IFERROR(SUMIFS(SUMMARY!D:D, SUMMARY!B:B, A4, SUMMARY!A:A, "Y3S SAN FERNANDO"), 0)</f>
        <v>0</v>
      </c>
      <c r="P4" s="24">
        <f>IFERROR(SUMIFS(SUMMARY!D:D, SUMMARY!B:B, A4, SUMMARY!A:A, "LILOAN"), 0)</f>
        <v>0</v>
      </c>
      <c r="Q4" s="24">
        <f>IFERROR(SUMIFS(SUMMARY!D:D, SUMMARY!B:B, A4, SUMMARY!A:A, "CORDOVA MB"), 0)</f>
        <v>0</v>
      </c>
      <c r="R4" s="24">
        <f>IFERROR(SUMIFS(SUMMARY!D:D, SUMMARY!B:B, A4, SUMMARY!A:A, "Y3S CORDOVA"), 0)</f>
        <v>1</v>
      </c>
      <c r="S4" s="24">
        <f>IFERROR(SUMIFS(SUMMARY!D:D, SUMMARY!B:B, A4, SUMMARY!A:A, "CLARIN"), 0)</f>
        <v>1</v>
      </c>
      <c r="T4" s="24">
        <f>IFERROR(SUMIFS(SUMMARY!D:D, SUMMARY!B:B, A4, SUMMARY!A:A, "TOLEDO"), 0)</f>
        <v>0</v>
      </c>
      <c r="U4" s="24">
        <f>IFERROR(SUMIFS(SUMMARY!D:D, SUMMARY!B:B, A4, SUMMARY!A:A, "UBAY"), 0)</f>
        <v>0</v>
      </c>
      <c r="V4" s="24">
        <f>IFERROR(SUMIFS(SUMMARY!D:D, SUMMARY!B:B, A4, SUMMARY!A:A, "CARMEN"), 0)</f>
        <v>0</v>
      </c>
      <c r="W4" s="24">
        <f>IFERROR(SUMIFS(SUMMARY!D:D, SUMMARY!B:B, A4, SUMMARY!A:A, "TUBIGON"), 0)</f>
        <v>0</v>
      </c>
      <c r="X4" s="24">
        <f>IFERROR(SUMIFS(SUMMARY!D:D, SUMMARY!B:B, A4, SUMMARY!A:A, "TALIBON"), 0)</f>
        <v>0</v>
      </c>
      <c r="Y4" s="24">
        <f>IFERROR(SUMIFS(SUMMARY!D:D, SUMMARY!B:B, A4, SUMMARY!A:A, "BOGO"), 0)</f>
        <v>1</v>
      </c>
      <c r="Z4" s="24">
        <f>IFERROR(SUMIFS(SUMMARY!D:D, SUMMARY!B:B, A4, SUMMARY!A:A, "BALAMBAN"), 0)</f>
        <v>1</v>
      </c>
      <c r="AA4" s="24">
        <f>IFERROR(SUMIFS(SUMMARY!D:D, SUMMARY!B:B, A4, SUMMARY!A:A, "Y3S BARILI"), 0)</f>
        <v>0</v>
      </c>
      <c r="AB4" s="24">
        <f>IFERROR(SUMIFS(SUMMARY!D:D, SUMMARY!B:B, A4, SUMMARY!A:A, "BARILI MB"), 0)</f>
        <v>0</v>
      </c>
      <c r="AC4" s="24">
        <f>IFERROR(SUMIFS(SUMMARY!D:D, SUMMARY!B:B, A4, SUMMARY!A:A, "SIERRA BULLONES"), 0)</f>
        <v>0</v>
      </c>
      <c r="AD4" s="24">
        <f>IFERROR(SUMIFS(SUMMARY!D:D, SUMMARY!B:B, A4, SUMMARY!A:A, "PITOGO"), 0)</f>
        <v>0</v>
      </c>
      <c r="AE4" s="24">
        <f>IFERROR(SUMIFS(SUMMARY!D:D, SUMMARY!B:B, A4, SUMMARY!A:A, "TAYUD CONSOLACION"), 0)</f>
        <v>0</v>
      </c>
      <c r="AF4" s="24">
        <f>IFERROR(SUMIFS(SUMMARY!D:D, SUMMARY!B:B, A4, SUMMARY!A:A, "PINAMUNGAJAN"), 0)</f>
        <v>1</v>
      </c>
      <c r="AG4" s="24">
        <f>IFERROR(SUMIFS(SUMMARY!D:D, SUMMARY!B:B, A4, SUMMARY!A:A, "CANDIJAY"), 0)</f>
        <v>0</v>
      </c>
      <c r="AH4" s="24">
        <f>IFERROR(SUMIFS(SUMMARY!D:D, SUMMARY!B:B, A4, SUMMARY!A:A, "YATI LILOAN"), 0)</f>
        <v>0</v>
      </c>
      <c r="AI4" s="27">
        <f>IFERROR(SUMIFS(SUMMARY!D:D, SUMMARY!B:B, A4, SUMMARY!A:A, "CAMOTES"), 0)</f>
        <v>0</v>
      </c>
      <c r="AJ4" s="28">
        <f t="shared" si="1"/>
        <v>10</v>
      </c>
    </row>
    <row r="5" ht="15.75" customHeight="1">
      <c r="A5" s="23" t="s">
        <v>576</v>
      </c>
      <c r="B5" s="23" t="s">
        <v>577</v>
      </c>
      <c r="C5" s="24" t="s">
        <v>571</v>
      </c>
      <c r="D5" s="25">
        <v>0.0</v>
      </c>
      <c r="E5" s="25">
        <f>IFERROR(SUMIFS(SUMMARY!D:D, SUMMARY!B:B, A5, SUMMARY!A:A, "WAREHOUSE"), 0)</f>
        <v>0</v>
      </c>
      <c r="F5" s="24">
        <f>IFERROR(SUMIFS(SUMMARY!D:D, SUMMARY!B:B, A5, SUMMARY!A:A, "LAGTANG"), 0)</f>
        <v>0</v>
      </c>
      <c r="G5" s="26">
        <f>IFERROR(SUMIFS(SUMMARY!D:D, SUMMARY!B:B, A5, SUMMARY!A:A, "V-RAMA"), 0)</f>
        <v>0</v>
      </c>
      <c r="H5" s="24">
        <f>IFERROR(SUMIFS(SUMMARY!D:D, SUMMARY!B:B, A5, SUMMARY!A:A, "BULACAO"), 0)</f>
        <v>0</v>
      </c>
      <c r="I5" s="24">
        <f>IFERROR(SUMIFS(SUMMARY!D:D, SUMMARY!B:B, A5, SUMMARY!A:A, "Y3S TALISAY"), 0)</f>
        <v>1</v>
      </c>
      <c r="J5" s="24">
        <f>IFERROR(SUMIFS(SUMMARY!D:D, SUMMARY!B:B, A5, SUMMARY!A:A, "MINGLANILLA"), 0)</f>
        <v>0</v>
      </c>
      <c r="K5" s="24">
        <f>IFERROR(SUMIFS(SUMMARY!D:D, SUMMARY!B:B, A5, SUMMARY!A:A, "Y3S PARDO"), 0)</f>
        <v>2</v>
      </c>
      <c r="L5" s="24">
        <f>IFERROR(SUMIFS(SUMMARY!D:D, SUMMARY!B:B, A5, SUMMARY!A:A, "LAPU-LAPU"), 0)</f>
        <v>0</v>
      </c>
      <c r="M5" s="24">
        <f>IFERROR(SUMIFS(SUMMARY!D:D, SUMMARY!B:B, A5, SUMMARY!A:A, "BACAYAN"), 0)</f>
        <v>1</v>
      </c>
      <c r="N5" s="24">
        <f>IFERROR(SUMIFS(SUMMARY!D:D, SUMMARY!B:B, A5, SUMMARY!A:A, "SAN FERNANDO MB"), 0)</f>
        <v>0</v>
      </c>
      <c r="O5" s="24">
        <f>IFERROR(SUMIFS(SUMMARY!D:D, SUMMARY!B:B, A5, SUMMARY!A:A, "Y3S SAN FERNANDO"), 0)</f>
        <v>0</v>
      </c>
      <c r="P5" s="24">
        <f>IFERROR(SUMIFS(SUMMARY!D:D, SUMMARY!B:B, A5, SUMMARY!A:A, "LILOAN"), 0)</f>
        <v>1</v>
      </c>
      <c r="Q5" s="24">
        <f>IFERROR(SUMIFS(SUMMARY!D:D, SUMMARY!B:B, A5, SUMMARY!A:A, "CORDOVA MB"), 0)</f>
        <v>0</v>
      </c>
      <c r="R5" s="24">
        <f>IFERROR(SUMIFS(SUMMARY!D:D, SUMMARY!B:B, A5, SUMMARY!A:A, "Y3S CORDOVA"), 0)</f>
        <v>0</v>
      </c>
      <c r="S5" s="24">
        <f>IFERROR(SUMIFS(SUMMARY!D:D, SUMMARY!B:B, A5, SUMMARY!A:A, "CLARIN"), 0)</f>
        <v>1</v>
      </c>
      <c r="T5" s="24">
        <f>IFERROR(SUMIFS(SUMMARY!D:D, SUMMARY!B:B, A5, SUMMARY!A:A, "TOLEDO"), 0)</f>
        <v>0</v>
      </c>
      <c r="U5" s="24">
        <f>IFERROR(SUMIFS(SUMMARY!D:D, SUMMARY!B:B, A5, SUMMARY!A:A, "UBAY"), 0)</f>
        <v>0</v>
      </c>
      <c r="V5" s="24">
        <f>IFERROR(SUMIFS(SUMMARY!D:D, SUMMARY!B:B, A5, SUMMARY!A:A, "CARMEN"), 0)</f>
        <v>0</v>
      </c>
      <c r="W5" s="24">
        <f>IFERROR(SUMIFS(SUMMARY!D:D, SUMMARY!B:B, A5, SUMMARY!A:A, "TUBIGON"), 0)</f>
        <v>0</v>
      </c>
      <c r="X5" s="24">
        <f>IFERROR(SUMIFS(SUMMARY!D:D, SUMMARY!B:B, A5, SUMMARY!A:A, "TALIBON"), 0)</f>
        <v>0</v>
      </c>
      <c r="Y5" s="24">
        <f>IFERROR(SUMIFS(SUMMARY!D:D, SUMMARY!B:B, A5, SUMMARY!A:A, "BOGO"), 0)</f>
        <v>0</v>
      </c>
      <c r="Z5" s="24">
        <f>IFERROR(SUMIFS(SUMMARY!D:D, SUMMARY!B:B, A5, SUMMARY!A:A, "BALAMBAN"), 0)</f>
        <v>0</v>
      </c>
      <c r="AA5" s="24">
        <f>IFERROR(SUMIFS(SUMMARY!D:D, SUMMARY!B:B, A5, SUMMARY!A:A, "Y3S BARILI"), 0)</f>
        <v>0</v>
      </c>
      <c r="AB5" s="24">
        <f>IFERROR(SUMIFS(SUMMARY!D:D, SUMMARY!B:B, A5, SUMMARY!A:A, "BARILI MB"), 0)</f>
        <v>0</v>
      </c>
      <c r="AC5" s="24">
        <f>IFERROR(SUMIFS(SUMMARY!D:D, SUMMARY!B:B, A5, SUMMARY!A:A, "SIERRA BULLONES"), 0)</f>
        <v>0</v>
      </c>
      <c r="AD5" s="24">
        <f>IFERROR(SUMIFS(SUMMARY!D:D, SUMMARY!B:B, A5, SUMMARY!A:A, "PITOGO"), 0)</f>
        <v>0</v>
      </c>
      <c r="AE5" s="24">
        <f>IFERROR(SUMIFS(SUMMARY!D:D, SUMMARY!B:B, A5, SUMMARY!A:A, "TAYUD CONSOLACION"), 0)</f>
        <v>1</v>
      </c>
      <c r="AF5" s="24">
        <f>IFERROR(SUMIFS(SUMMARY!D:D, SUMMARY!B:B, A5, SUMMARY!A:A, "PINAMUNGAJAN"), 0)</f>
        <v>0</v>
      </c>
      <c r="AG5" s="24">
        <f>IFERROR(SUMIFS(SUMMARY!D:D, SUMMARY!B:B, A5, SUMMARY!A:A, "CANDIJAY"), 0)</f>
        <v>0</v>
      </c>
      <c r="AH5" s="25">
        <v>0.0</v>
      </c>
      <c r="AI5" s="27">
        <f>IFERROR(SUMIFS(SUMMARY!D:D, SUMMARY!B:B, A5, SUMMARY!A:A, "CAMOTES"), 0)</f>
        <v>0</v>
      </c>
      <c r="AJ5" s="28">
        <f t="shared" si="1"/>
        <v>7</v>
      </c>
    </row>
    <row r="6" ht="15.75" customHeight="1">
      <c r="A6" s="23" t="s">
        <v>578</v>
      </c>
      <c r="B6" s="23" t="s">
        <v>579</v>
      </c>
      <c r="C6" s="24" t="s">
        <v>571</v>
      </c>
      <c r="D6" s="25">
        <f>IFERROR(SUMIFS(SUMMARY!D:D, SUMMARY!B:B, A6, SUMMARY!A:A, "ADMIN"), 0)</f>
        <v>0</v>
      </c>
      <c r="E6" s="25">
        <f>IFERROR(SUMIFS(SUMMARY!D:D, SUMMARY!B:B, A6, SUMMARY!A:A, "WAREHOUSE"), 0)</f>
        <v>0</v>
      </c>
      <c r="F6" s="24">
        <f>IFERROR(SUMIFS(SUMMARY!D:D, SUMMARY!B:B, A6, SUMMARY!A:A, "LAGTANG"), 0)</f>
        <v>0</v>
      </c>
      <c r="G6" s="26">
        <f>IFERROR(SUMIFS(SUMMARY!D:D, SUMMARY!B:B, A6, SUMMARY!A:A, "V-RAMA"), 0)</f>
        <v>0</v>
      </c>
      <c r="H6" s="24">
        <f>IFERROR(SUMIFS(SUMMARY!D:D, SUMMARY!B:B, A6, SUMMARY!A:A, "BULACAO"), 0)</f>
        <v>0</v>
      </c>
      <c r="I6" s="24">
        <f>IFERROR(SUMIFS(SUMMARY!D:D, SUMMARY!B:B, A6, SUMMARY!A:A, "Y3S TALISAY"), 0)</f>
        <v>0</v>
      </c>
      <c r="J6" s="24">
        <f>IFERROR(SUMIFS(SUMMARY!D:D, SUMMARY!B:B, A6, SUMMARY!A:A, "MINGLANILLA"), 0)</f>
        <v>0</v>
      </c>
      <c r="K6" s="24">
        <f>IFERROR(SUMIFS(SUMMARY!D:D, SUMMARY!B:B, A6, SUMMARY!A:A, "Y3S PARDO"), 0)</f>
        <v>2</v>
      </c>
      <c r="L6" s="24">
        <f>IFERROR(SUMIFS(SUMMARY!D:D, SUMMARY!B:B, A6, SUMMARY!A:A, "LAPU-LAPU"), 0)</f>
        <v>0</v>
      </c>
      <c r="M6" s="24">
        <f>IFERROR(SUMIFS(SUMMARY!D:D, SUMMARY!B:B, A6, SUMMARY!A:A, "BACAYAN"), 0)</f>
        <v>0</v>
      </c>
      <c r="N6" s="24">
        <f>IFERROR(SUMIFS(SUMMARY!D:D, SUMMARY!B:B, A6, SUMMARY!A:A, "SAN FERNANDO MB"), 0)</f>
        <v>0</v>
      </c>
      <c r="O6" s="24">
        <f>IFERROR(SUMIFS(SUMMARY!D:D, SUMMARY!B:B, A6, SUMMARY!A:A, "Y3S SAN FERNANDO"), 0)</f>
        <v>0</v>
      </c>
      <c r="P6" s="24">
        <f>IFERROR(SUMIFS(SUMMARY!D:D, SUMMARY!B:B, A6, SUMMARY!A:A, "LILOAN"), 0)</f>
        <v>0</v>
      </c>
      <c r="Q6" s="24">
        <f>IFERROR(SUMIFS(SUMMARY!D:D, SUMMARY!B:B, A6, SUMMARY!A:A, "CORDOVA MB"), 0)</f>
        <v>0</v>
      </c>
      <c r="R6" s="24">
        <f>IFERROR(SUMIFS(SUMMARY!D:D, SUMMARY!B:B, A6, SUMMARY!A:A, "Y3S CORDOVA"), 0)</f>
        <v>0</v>
      </c>
      <c r="S6" s="24">
        <f>IFERROR(SUMIFS(SUMMARY!D:D, SUMMARY!B:B, A6, SUMMARY!A:A, "CLARIN"), 0)</f>
        <v>1</v>
      </c>
      <c r="T6" s="24">
        <f>IFERROR(SUMIFS(SUMMARY!D:D, SUMMARY!B:B, A6, SUMMARY!A:A, "TOLEDO"), 0)</f>
        <v>0</v>
      </c>
      <c r="U6" s="24">
        <f>IFERROR(SUMIFS(SUMMARY!D:D, SUMMARY!B:B, A6, SUMMARY!A:A, "UBAY"), 0)</f>
        <v>0</v>
      </c>
      <c r="V6" s="24">
        <f>IFERROR(SUMIFS(SUMMARY!D:D, SUMMARY!B:B, A6, SUMMARY!A:A, "CARMEN"), 0)</f>
        <v>0</v>
      </c>
      <c r="W6" s="24">
        <f>IFERROR(SUMIFS(SUMMARY!D:D, SUMMARY!B:B, A6, SUMMARY!A:A, "TUBIGON"), 0)</f>
        <v>0</v>
      </c>
      <c r="X6" s="24">
        <f>IFERROR(SUMIFS(SUMMARY!D:D, SUMMARY!B:B, A6, SUMMARY!A:A, "TALIBON"), 0)</f>
        <v>0</v>
      </c>
      <c r="Y6" s="24">
        <f>IFERROR(SUMIFS(SUMMARY!D:D, SUMMARY!B:B, A6, SUMMARY!A:A, "BOGO"), 0)</f>
        <v>0</v>
      </c>
      <c r="Z6" s="24">
        <f>IFERROR(SUMIFS(SUMMARY!D:D, SUMMARY!B:B, A6, SUMMARY!A:A, "BALAMBAN"), 0)</f>
        <v>1</v>
      </c>
      <c r="AA6" s="24">
        <f>IFERROR(SUMIFS(SUMMARY!D:D, SUMMARY!B:B, A6, SUMMARY!A:A, "Y3S BARILI"), 0)</f>
        <v>0</v>
      </c>
      <c r="AB6" s="24">
        <f>IFERROR(SUMIFS(SUMMARY!D:D, SUMMARY!B:B, A6, SUMMARY!A:A, "BARILI MB"), 0)</f>
        <v>0</v>
      </c>
      <c r="AC6" s="24">
        <f>IFERROR(SUMIFS(SUMMARY!D:D, SUMMARY!B:B, A6, SUMMARY!A:A, "SIERRA BULLONES"), 0)</f>
        <v>0</v>
      </c>
      <c r="AD6" s="24">
        <f>IFERROR(SUMIFS(SUMMARY!D:D, SUMMARY!B:B, A6, SUMMARY!A:A, "PITOGO"), 0)</f>
        <v>0</v>
      </c>
      <c r="AE6" s="24">
        <f>IFERROR(SUMIFS(SUMMARY!D:D, SUMMARY!B:B, A6, SUMMARY!A:A, "TAYUD CONSOLACION"), 0)</f>
        <v>0</v>
      </c>
      <c r="AF6" s="24">
        <f>IFERROR(SUMIFS(SUMMARY!D:D, SUMMARY!B:B, A6, SUMMARY!A:A, "PINAMUNGAJAN"), 0)</f>
        <v>0</v>
      </c>
      <c r="AG6" s="24">
        <f>IFERROR(SUMIFS(SUMMARY!D:D, SUMMARY!B:B, A6, SUMMARY!A:A, "CANDIJAY"), 0)</f>
        <v>0</v>
      </c>
      <c r="AH6" s="24">
        <f>IFERROR(SUMIFS(SUMMARY!D:D, SUMMARY!B:B, A6, SUMMARY!A:A, "YATI LILOAN"), 0)</f>
        <v>0</v>
      </c>
      <c r="AI6" s="27">
        <f>IFERROR(SUMIFS(SUMMARY!D:D, SUMMARY!B:B, A6, SUMMARY!A:A, "CAMOTES"), 0)</f>
        <v>0</v>
      </c>
      <c r="AJ6" s="28">
        <f t="shared" si="1"/>
        <v>4</v>
      </c>
    </row>
    <row r="7" ht="15.75" customHeight="1">
      <c r="A7" s="23" t="s">
        <v>580</v>
      </c>
      <c r="B7" s="29" t="s">
        <v>581</v>
      </c>
      <c r="C7" s="24" t="s">
        <v>21</v>
      </c>
      <c r="D7" s="25">
        <f>IFERROR(SUMIFS(SUMMARY!D:D, SUMMARY!B:B, A7, SUMMARY!A:A, "ADMIN"), 0)</f>
        <v>0</v>
      </c>
      <c r="E7" s="25">
        <f>IFERROR(SUMIFS(SUMMARY!D:D, SUMMARY!B:B, A7, SUMMARY!A:A, "WAREHOUSE"), 0)</f>
        <v>0</v>
      </c>
      <c r="F7" s="24">
        <f>IFERROR(SUMIFS(SUMMARY!D:D, SUMMARY!B:B, A7, SUMMARY!A:A, "LAGTANG"), 0)</f>
        <v>45</v>
      </c>
      <c r="G7" s="26">
        <f>IFERROR(SUMIFS(SUMMARY!D:D, SUMMARY!B:B, A7, SUMMARY!A:A, "V-RAMA"), 0)</f>
        <v>20</v>
      </c>
      <c r="H7" s="24">
        <f>IFERROR(SUMIFS(SUMMARY!D:D, SUMMARY!B:B, A7, SUMMARY!A:A, "BULACAO"), 0)</f>
        <v>0</v>
      </c>
      <c r="I7" s="24">
        <f>IFERROR(SUMIFS(SUMMARY!D:D, SUMMARY!B:B, A7, SUMMARY!A:A, "Y3S TALISAY"), 0)</f>
        <v>0</v>
      </c>
      <c r="J7" s="24">
        <f>IFERROR(SUMIFS(SUMMARY!D:D, SUMMARY!B:B, A7, SUMMARY!A:A, "MINGLANILLA"), 0)</f>
        <v>30</v>
      </c>
      <c r="K7" s="24">
        <f>IFERROR(SUMIFS(SUMMARY!D:D, SUMMARY!B:B, A7, SUMMARY!A:A, "Y3S PARDO"), 0)</f>
        <v>30</v>
      </c>
      <c r="L7" s="24">
        <f>IFERROR(SUMIFS(SUMMARY!D:D, SUMMARY!B:B, A7, SUMMARY!A:A, "LAPU-LAPU"), 0)</f>
        <v>0</v>
      </c>
      <c r="M7" s="24">
        <f>IFERROR(SUMIFS(SUMMARY!D:D, SUMMARY!B:B, A7, SUMMARY!A:A, "BACAYAN"), 0)</f>
        <v>20</v>
      </c>
      <c r="N7" s="24">
        <f>IFERROR(SUMIFS(SUMMARY!D:D, SUMMARY!B:B, A7, SUMMARY!A:A, "SAN FERNANDO MB"), 0)</f>
        <v>0</v>
      </c>
      <c r="O7" s="24">
        <f>IFERROR(SUMIFS(SUMMARY!D:D, SUMMARY!B:B, A7, SUMMARY!A:A, "Y3S SAN FERNANDO"), 0)</f>
        <v>0</v>
      </c>
      <c r="P7" s="24">
        <f>IFERROR(SUMIFS(SUMMARY!D:D, SUMMARY!B:B, A7, SUMMARY!A:A, "LILOAN"), 0)</f>
        <v>30</v>
      </c>
      <c r="Q7" s="24">
        <f>IFERROR(SUMIFS(SUMMARY!D:D, SUMMARY!B:B, A7, SUMMARY!A:A, "CORDOVA MB"), 0)</f>
        <v>10</v>
      </c>
      <c r="R7" s="24">
        <f>IFERROR(SUMIFS(SUMMARY!D:D, SUMMARY!B:B, A7, SUMMARY!A:A, "Y3S CORDOVA"), 0)</f>
        <v>70</v>
      </c>
      <c r="S7" s="24">
        <f>IFERROR(SUMIFS(SUMMARY!D:D, SUMMARY!B:B, A7, SUMMARY!A:A, "CLARIN"), 0)</f>
        <v>40</v>
      </c>
      <c r="T7" s="24">
        <f>IFERROR(SUMIFS(SUMMARY!D:D, SUMMARY!B:B, A7, SUMMARY!A:A, "TOLEDO"), 0)</f>
        <v>30</v>
      </c>
      <c r="U7" s="24">
        <f>IFERROR(SUMIFS(SUMMARY!D:D, SUMMARY!B:B, A7, SUMMARY!A:A, "UBAY"), 0)</f>
        <v>20</v>
      </c>
      <c r="V7" s="24">
        <f>IFERROR(SUMIFS(SUMMARY!D:D, SUMMARY!B:B, A7, SUMMARY!A:A, "CARMEN"), 0)</f>
        <v>30</v>
      </c>
      <c r="W7" s="24">
        <f>IFERROR(SUMIFS(SUMMARY!D:D, SUMMARY!B:B, A7, SUMMARY!A:A, "TUBIGON"), 0)</f>
        <v>30</v>
      </c>
      <c r="X7" s="24">
        <f>IFERROR(SUMIFS(SUMMARY!D:D, SUMMARY!B:B, A7, SUMMARY!A:A, "TALIBON"), 0)</f>
        <v>30</v>
      </c>
      <c r="Y7" s="24">
        <f>IFERROR(SUMIFS(SUMMARY!D:D, SUMMARY!B:B, A7, SUMMARY!A:A, "BOGO"), 0)</f>
        <v>30</v>
      </c>
      <c r="Z7" s="24">
        <f>IFERROR(SUMIFS(SUMMARY!D:D, SUMMARY!B:B, A7, SUMMARY!A:A, "BALAMBAN"), 0)</f>
        <v>15</v>
      </c>
      <c r="AA7" s="24">
        <f>IFERROR(SUMIFS(SUMMARY!D:D, SUMMARY!B:B, A7, SUMMARY!A:A, "Y3S BARILI"), 0)</f>
        <v>0</v>
      </c>
      <c r="AB7" s="24">
        <f>IFERROR(SUMIFS(SUMMARY!D:D, SUMMARY!B:B, A7, SUMMARY!A:A, "BARILI MB"), 0)</f>
        <v>20</v>
      </c>
      <c r="AC7" s="24">
        <f>IFERROR(SUMIFS(SUMMARY!D:D, SUMMARY!B:B, A7, SUMMARY!A:A, "SIERRA BULLONES"), 0)</f>
        <v>0</v>
      </c>
      <c r="AD7" s="24">
        <f>IFERROR(SUMIFS(SUMMARY!D:D, SUMMARY!B:B, A7, SUMMARY!A:A, "PITOGO"), 0)</f>
        <v>0</v>
      </c>
      <c r="AE7" s="24">
        <f>IFERROR(SUMIFS(SUMMARY!D:D, SUMMARY!B:B, A7, SUMMARY!A:A, "TAYUD CONSOLACION"), 0)</f>
        <v>0</v>
      </c>
      <c r="AF7" s="24">
        <f>IFERROR(SUMIFS(SUMMARY!D:D, SUMMARY!B:B, A7, SUMMARY!A:A, "PINAMUNGAJAN"), 0)</f>
        <v>20</v>
      </c>
      <c r="AG7" s="24">
        <f>IFERROR(SUMIFS(SUMMARY!D:D, SUMMARY!B:B, A7, SUMMARY!A:A, "CANDIJAY"), 0)</f>
        <v>20</v>
      </c>
      <c r="AH7" s="24">
        <f>IFERROR(SUMIFS(SUMMARY!D:D, SUMMARY!B:B, A7, SUMMARY!A:A, "YATI LILOAN"), 0)</f>
        <v>0</v>
      </c>
      <c r="AI7" s="27">
        <f>IFERROR(SUMIFS(SUMMARY!D:D, SUMMARY!B:B, A7, SUMMARY!A:A, "CAMOTES"), 0)</f>
        <v>0</v>
      </c>
      <c r="AJ7" s="28">
        <f t="shared" si="1"/>
        <v>540</v>
      </c>
    </row>
    <row r="8" ht="15.75" customHeight="1">
      <c r="A8" s="23" t="s">
        <v>582</v>
      </c>
      <c r="B8" s="23" t="s">
        <v>583</v>
      </c>
      <c r="C8" s="24" t="s">
        <v>21</v>
      </c>
      <c r="D8" s="25">
        <f>IFERROR(SUMIFS(SUMMARY!D:D, SUMMARY!B:B, A8, SUMMARY!A:A, "ADMIN"), 0)</f>
        <v>1</v>
      </c>
      <c r="E8" s="25">
        <f>IFERROR(SUMIFS(SUMMARY!D:D, SUMMARY!B:B, A8, SUMMARY!A:A, "WAREHOUSE"), 0)</f>
        <v>0</v>
      </c>
      <c r="F8" s="24">
        <f>IFERROR(SUMIFS(SUMMARY!D:D, SUMMARY!B:B, A8, SUMMARY!A:A, "LAGTANG"), 0)</f>
        <v>0</v>
      </c>
      <c r="G8" s="26">
        <f>IFERROR(SUMIFS(SUMMARY!D:D, SUMMARY!B:B, A8, SUMMARY!A:A, "V-RAMA"), 0)</f>
        <v>0</v>
      </c>
      <c r="H8" s="24">
        <f>IFERROR(SUMIFS(SUMMARY!D:D, SUMMARY!B:B, A8, SUMMARY!A:A, "BULACAO"), 0)</f>
        <v>0</v>
      </c>
      <c r="I8" s="24">
        <f>IFERROR(SUMIFS(SUMMARY!D:D, SUMMARY!B:B, A8, SUMMARY!A:A, "Y3S TALISAY"), 0)</f>
        <v>0</v>
      </c>
      <c r="J8" s="24">
        <f>IFERROR(SUMIFS(SUMMARY!D:D, SUMMARY!B:B, A8, SUMMARY!A:A, "MINGLANILLA"), 0)</f>
        <v>0</v>
      </c>
      <c r="K8" s="24">
        <f>IFERROR(SUMIFS(SUMMARY!D:D, SUMMARY!B:B, A8, SUMMARY!A:A, "Y3S PARDO"), 0)</f>
        <v>0</v>
      </c>
      <c r="L8" s="24">
        <f>IFERROR(SUMIFS(SUMMARY!D:D, SUMMARY!B:B, A8, SUMMARY!A:A, "LAPU-LAPU"), 0)</f>
        <v>0</v>
      </c>
      <c r="M8" s="24">
        <f>IFERROR(SUMIFS(SUMMARY!D:D, SUMMARY!B:B, A8, SUMMARY!A:A, "BACAYAN"), 0)</f>
        <v>0</v>
      </c>
      <c r="N8" s="24">
        <f>IFERROR(SUMIFS(SUMMARY!D:D, SUMMARY!B:B, A8, SUMMARY!A:A, "SAN FERNANDO MB"), 0)</f>
        <v>0</v>
      </c>
      <c r="O8" s="24">
        <f>IFERROR(SUMIFS(SUMMARY!D:D, SUMMARY!B:B, A8, SUMMARY!A:A, "Y3S SAN FERNANDO"), 0)</f>
        <v>0</v>
      </c>
      <c r="P8" s="24">
        <f>IFERROR(SUMIFS(SUMMARY!D:D, SUMMARY!B:B, A8, SUMMARY!A:A, "LILOAN"), 0)</f>
        <v>1</v>
      </c>
      <c r="Q8" s="24">
        <f>IFERROR(SUMIFS(SUMMARY!D:D, SUMMARY!B:B, A8, SUMMARY!A:A, "CORDOVA MB"), 0)</f>
        <v>0</v>
      </c>
      <c r="R8" s="24">
        <f>IFERROR(SUMIFS(SUMMARY!D:D, SUMMARY!B:B, A8, SUMMARY!A:A, "Y3S CORDOVA"), 0)</f>
        <v>0</v>
      </c>
      <c r="S8" s="24">
        <f>IFERROR(SUMIFS(SUMMARY!D:D, SUMMARY!B:B, A8, SUMMARY!A:A, "CLARIN"), 0)</f>
        <v>0</v>
      </c>
      <c r="T8" s="24">
        <f>IFERROR(SUMIFS(SUMMARY!D:D, SUMMARY!B:B, A8, SUMMARY!A:A, "TOLEDO"), 0)</f>
        <v>0</v>
      </c>
      <c r="U8" s="24">
        <f>IFERROR(SUMIFS(SUMMARY!D:D, SUMMARY!B:B, A8, SUMMARY!A:A, "UBAY"), 0)</f>
        <v>0</v>
      </c>
      <c r="V8" s="24">
        <f>IFERROR(SUMIFS(SUMMARY!D:D, SUMMARY!B:B, A8, SUMMARY!A:A, "CARMEN"), 0)</f>
        <v>0</v>
      </c>
      <c r="W8" s="24">
        <f>IFERROR(SUMIFS(SUMMARY!D:D, SUMMARY!B:B, A8, SUMMARY!A:A, "TUBIGON"), 0)</f>
        <v>0</v>
      </c>
      <c r="X8" s="24">
        <f>IFERROR(SUMIFS(SUMMARY!D:D, SUMMARY!B:B, A8, SUMMARY!A:A, "TALIBON"), 0)</f>
        <v>0</v>
      </c>
      <c r="Y8" s="24">
        <f>IFERROR(SUMIFS(SUMMARY!D:D, SUMMARY!B:B, A8, SUMMARY!A:A, "BOGO"), 0)</f>
        <v>0</v>
      </c>
      <c r="Z8" s="24">
        <f>IFERROR(SUMIFS(SUMMARY!D:D, SUMMARY!B:B, A8, SUMMARY!A:A, "BALAMBAN"), 0)</f>
        <v>0</v>
      </c>
      <c r="AA8" s="24">
        <f>IFERROR(SUMIFS(SUMMARY!D:D, SUMMARY!B:B, A8, SUMMARY!A:A, "Y3S BARILI"), 0)</f>
        <v>1</v>
      </c>
      <c r="AB8" s="24">
        <f>IFERROR(SUMIFS(SUMMARY!D:D, SUMMARY!B:B, A8, SUMMARY!A:A, "BARILI MB"), 0)</f>
        <v>0</v>
      </c>
      <c r="AC8" s="24">
        <f>IFERROR(SUMIFS(SUMMARY!D:D, SUMMARY!B:B, A8, SUMMARY!A:A, "SIERRA BULLONES"), 0)</f>
        <v>0</v>
      </c>
      <c r="AD8" s="24">
        <f>IFERROR(SUMIFS(SUMMARY!D:D, SUMMARY!B:B, A8, SUMMARY!A:A, "PITOGO"), 0)</f>
        <v>0</v>
      </c>
      <c r="AE8" s="24">
        <f>IFERROR(SUMIFS(SUMMARY!D:D, SUMMARY!B:B, A8, SUMMARY!A:A, "TAYUD CONSOLACION"), 0)</f>
        <v>0</v>
      </c>
      <c r="AF8" s="24">
        <f>IFERROR(SUMIFS(SUMMARY!D:D, SUMMARY!B:B, A8, SUMMARY!A:A, "PINAMUNGAJAN"), 0)</f>
        <v>0</v>
      </c>
      <c r="AG8" s="24">
        <f>IFERROR(SUMIFS(SUMMARY!D:D, SUMMARY!B:B, A8, SUMMARY!A:A, "CANDIJAY"), 0)</f>
        <v>0</v>
      </c>
      <c r="AH8" s="24">
        <f>IFERROR(SUMIFS(SUMMARY!D:D, SUMMARY!B:B, A8, SUMMARY!A:A, "YATI LILOAN"), 0)</f>
        <v>0</v>
      </c>
      <c r="AI8" s="27">
        <f>IFERROR(SUMIFS(SUMMARY!D:D, SUMMARY!B:B, A8, SUMMARY!A:A, "CAMOTES"), 0)</f>
        <v>0</v>
      </c>
      <c r="AJ8" s="28">
        <f t="shared" si="1"/>
        <v>3</v>
      </c>
    </row>
    <row r="9" ht="15.75" customHeight="1">
      <c r="A9" s="23" t="s">
        <v>584</v>
      </c>
      <c r="B9" s="23" t="s">
        <v>585</v>
      </c>
      <c r="C9" s="24" t="s">
        <v>21</v>
      </c>
      <c r="D9" s="25">
        <f>IFERROR(SUMIFS(SUMMARY!D:D, SUMMARY!B:B, A9, SUMMARY!A:A, "ADMIN"), 0)</f>
        <v>0</v>
      </c>
      <c r="E9" s="25">
        <f>IFERROR(SUMIFS(SUMMARY!D:D, SUMMARY!B:B, A9, SUMMARY!A:A, "WAREHOUSE"), 0)</f>
        <v>0</v>
      </c>
      <c r="F9" s="24">
        <f>IFERROR(SUMIFS(SUMMARY!D:D, SUMMARY!B:B, A9, SUMMARY!A:A, "LAGTANG"), 0)</f>
        <v>0</v>
      </c>
      <c r="G9" s="26">
        <f>IFERROR(SUMIFS(SUMMARY!D:D, SUMMARY!B:B, A9, SUMMARY!A:A, "V-RAMA"), 0)</f>
        <v>0</v>
      </c>
      <c r="H9" s="24">
        <f>IFERROR(SUMIFS(SUMMARY!D:D, SUMMARY!B:B, A9, SUMMARY!A:A, "BULACAO"), 0)</f>
        <v>0</v>
      </c>
      <c r="I9" s="24">
        <f>IFERROR(SUMIFS(SUMMARY!D:D, SUMMARY!B:B, A9, SUMMARY!A:A, "Y3S TALISAY"), 0)</f>
        <v>0</v>
      </c>
      <c r="J9" s="24">
        <f>IFERROR(SUMIFS(SUMMARY!D:D, SUMMARY!B:B, A9, SUMMARY!A:A, "MINGLANILLA"), 0)</f>
        <v>0</v>
      </c>
      <c r="K9" s="24">
        <f>IFERROR(SUMIFS(SUMMARY!D:D, SUMMARY!B:B, A9, SUMMARY!A:A, "Y3S PARDO"), 0)</f>
        <v>0</v>
      </c>
      <c r="L9" s="24">
        <f>IFERROR(SUMIFS(SUMMARY!D:D, SUMMARY!B:B, A9, SUMMARY!A:A, "LAPU-LAPU"), 0)</f>
        <v>0</v>
      </c>
      <c r="M9" s="24">
        <f>IFERROR(SUMIFS(SUMMARY!D:D, SUMMARY!B:B, A9, SUMMARY!A:A, "BACAYAN"), 0)</f>
        <v>0</v>
      </c>
      <c r="N9" s="24">
        <f>IFERROR(SUMIFS(SUMMARY!D:D, SUMMARY!B:B, A9, SUMMARY!A:A, "SAN FERNANDO MB"), 0)</f>
        <v>0</v>
      </c>
      <c r="O9" s="24">
        <f>IFERROR(SUMIFS(SUMMARY!D:D, SUMMARY!B:B, A9, SUMMARY!A:A, "Y3S SAN FERNANDO"), 0)</f>
        <v>0</v>
      </c>
      <c r="P9" s="24">
        <f>IFERROR(SUMIFS(SUMMARY!D:D, SUMMARY!B:B, A9, SUMMARY!A:A, "LILOAN"), 0)</f>
        <v>0</v>
      </c>
      <c r="Q9" s="24">
        <f>IFERROR(SUMIFS(SUMMARY!D:D, SUMMARY!B:B, A9, SUMMARY!A:A, "CORDOVA MB"), 0)</f>
        <v>0</v>
      </c>
      <c r="R9" s="24">
        <f>IFERROR(SUMIFS(SUMMARY!D:D, SUMMARY!B:B, A9, SUMMARY!A:A, "Y3S CORDOVA"), 0)</f>
        <v>0</v>
      </c>
      <c r="S9" s="24">
        <f>IFERROR(SUMIFS(SUMMARY!D:D, SUMMARY!B:B, A9, SUMMARY!A:A, "CLARIN"), 0)</f>
        <v>0</v>
      </c>
      <c r="T9" s="24">
        <f>IFERROR(SUMIFS(SUMMARY!D:D, SUMMARY!B:B, A9, SUMMARY!A:A, "TOLEDO"), 0)</f>
        <v>1</v>
      </c>
      <c r="U9" s="24">
        <f>IFERROR(SUMIFS(SUMMARY!D:D, SUMMARY!B:B, A9, SUMMARY!A:A, "UBAY"), 0)</f>
        <v>0</v>
      </c>
      <c r="V9" s="24">
        <f>IFERROR(SUMIFS(SUMMARY!D:D, SUMMARY!B:B, A9, SUMMARY!A:A, "CARMEN"), 0)</f>
        <v>0</v>
      </c>
      <c r="W9" s="24">
        <f>IFERROR(SUMIFS(SUMMARY!D:D, SUMMARY!B:B, A9, SUMMARY!A:A, "TUBIGON"), 0)</f>
        <v>1</v>
      </c>
      <c r="X9" s="24">
        <f>IFERROR(SUMIFS(SUMMARY!D:D, SUMMARY!B:B, A9, SUMMARY!A:A, "TALIBON"), 0)</f>
        <v>0</v>
      </c>
      <c r="Y9" s="24">
        <f>IFERROR(SUMIFS(SUMMARY!D:D, SUMMARY!B:B, A9, SUMMARY!A:A, "BOGO"), 0)</f>
        <v>0</v>
      </c>
      <c r="Z9" s="24">
        <f>IFERROR(SUMIFS(SUMMARY!D:D, SUMMARY!B:B, A9, SUMMARY!A:A, "BALAMBAN"), 0)</f>
        <v>0</v>
      </c>
      <c r="AA9" s="24">
        <f>IFERROR(SUMIFS(SUMMARY!D:D, SUMMARY!B:B, A9, SUMMARY!A:A, "Y3S BARILI"), 0)</f>
        <v>0</v>
      </c>
      <c r="AB9" s="24">
        <f>IFERROR(SUMIFS(SUMMARY!D:D, SUMMARY!B:B, A9, SUMMARY!A:A, "BARILI MB"), 0)</f>
        <v>0</v>
      </c>
      <c r="AC9" s="24">
        <f>IFERROR(SUMIFS(SUMMARY!D:D, SUMMARY!B:B, A9, SUMMARY!A:A, "SIERRA BULLONES"), 0)</f>
        <v>0</v>
      </c>
      <c r="AD9" s="24">
        <f>IFERROR(SUMIFS(SUMMARY!D:D, SUMMARY!B:B, A9, SUMMARY!A:A, "PITOGO"), 0)</f>
        <v>0</v>
      </c>
      <c r="AE9" s="24">
        <f>IFERROR(SUMIFS(SUMMARY!D:D, SUMMARY!B:B, A9, SUMMARY!A:A, "TAYUD CONSOLACION"), 0)</f>
        <v>0</v>
      </c>
      <c r="AF9" s="24">
        <f>IFERROR(SUMIFS(SUMMARY!D:D, SUMMARY!B:B, A9, SUMMARY!A:A, "PINAMUNGAJAN"), 0)</f>
        <v>0</v>
      </c>
      <c r="AG9" s="24">
        <f>IFERROR(SUMIFS(SUMMARY!D:D, SUMMARY!B:B, A9, SUMMARY!A:A, "CANDIJAY"), 0)</f>
        <v>0</v>
      </c>
      <c r="AH9" s="24">
        <f>IFERROR(SUMIFS(SUMMARY!D:D, SUMMARY!B:B, A9, SUMMARY!A:A, "YATI LILOAN"), 0)</f>
        <v>0</v>
      </c>
      <c r="AI9" s="27">
        <f>IFERROR(SUMIFS(SUMMARY!D:D, SUMMARY!B:B, A9, SUMMARY!A:A, "CAMOTES"), 0)</f>
        <v>0</v>
      </c>
      <c r="AJ9" s="28">
        <f t="shared" si="1"/>
        <v>2</v>
      </c>
    </row>
    <row r="10" ht="15.75" customHeight="1">
      <c r="A10" s="23" t="s">
        <v>586</v>
      </c>
      <c r="B10" s="23" t="s">
        <v>587</v>
      </c>
      <c r="C10" s="24" t="s">
        <v>21</v>
      </c>
      <c r="D10" s="25">
        <f>IFERROR(SUMIFS(SUMMARY!D:D, SUMMARY!B:B, A10, SUMMARY!A:A, "ADMIN"), 0)</f>
        <v>0</v>
      </c>
      <c r="E10" s="25">
        <f>IFERROR(SUMIFS(SUMMARY!D:D, SUMMARY!B:B, A10, SUMMARY!A:A, "WAREHOUSE"), 0)</f>
        <v>0</v>
      </c>
      <c r="F10" s="24">
        <f>IFERROR(SUMIFS(SUMMARY!D:D, SUMMARY!B:B, A10, SUMMARY!A:A, "LAGTANG"), 0)</f>
        <v>0</v>
      </c>
      <c r="G10" s="26">
        <f>IFERROR(SUMIFS(SUMMARY!D:D, SUMMARY!B:B, A10, SUMMARY!A:A, "V-RAMA"), 0)</f>
        <v>11</v>
      </c>
      <c r="H10" s="24">
        <f>IFERROR(SUMIFS(SUMMARY!D:D, SUMMARY!B:B, A10, SUMMARY!A:A, "BULACAO"), 0)</f>
        <v>0</v>
      </c>
      <c r="I10" s="24">
        <f>IFERROR(SUMIFS(SUMMARY!D:D, SUMMARY!B:B, A10, SUMMARY!A:A, "Y3S TALISAY"), 0)</f>
        <v>10</v>
      </c>
      <c r="J10" s="24">
        <f>IFERROR(SUMIFS(SUMMARY!D:D, SUMMARY!B:B, A10, SUMMARY!A:A, "MINGLANILLA"), 0)</f>
        <v>10</v>
      </c>
      <c r="K10" s="24">
        <f>IFERROR(SUMIFS(SUMMARY!D:D, SUMMARY!B:B, A10, SUMMARY!A:A, "Y3S PARDO"), 0)</f>
        <v>0</v>
      </c>
      <c r="L10" s="24">
        <f>IFERROR(SUMIFS(SUMMARY!D:D, SUMMARY!B:B, A10, SUMMARY!A:A, "LAPU-LAPU"), 0)</f>
        <v>0</v>
      </c>
      <c r="M10" s="24">
        <f>IFERROR(SUMIFS(SUMMARY!D:D, SUMMARY!B:B, A10, SUMMARY!A:A, "BACAYAN"), 0)</f>
        <v>0</v>
      </c>
      <c r="N10" s="24">
        <f>IFERROR(SUMIFS(SUMMARY!D:D, SUMMARY!B:B, A10, SUMMARY!A:A, "SAN FERNANDO MB"), 0)</f>
        <v>0</v>
      </c>
      <c r="O10" s="24">
        <f>IFERROR(SUMIFS(SUMMARY!D:D, SUMMARY!B:B, A10, SUMMARY!A:A, "Y3S SAN FERNANDO"), 0)</f>
        <v>0</v>
      </c>
      <c r="P10" s="24">
        <f>IFERROR(SUMIFS(SUMMARY!D:D, SUMMARY!B:B, A10, SUMMARY!A:A, "LILOAN"), 0)</f>
        <v>10</v>
      </c>
      <c r="Q10" s="24">
        <f>IFERROR(SUMIFS(SUMMARY!D:D, SUMMARY!B:B, A10, SUMMARY!A:A, "CORDOVA MB"), 0)</f>
        <v>5</v>
      </c>
      <c r="R10" s="24">
        <f>IFERROR(SUMIFS(SUMMARY!D:D, SUMMARY!B:B, A10, SUMMARY!A:A, "Y3S CORDOVA"), 0)</f>
        <v>10</v>
      </c>
      <c r="S10" s="24">
        <f>IFERROR(SUMIFS(SUMMARY!D:D, SUMMARY!B:B, A10, SUMMARY!A:A, "CLARIN"), 0)</f>
        <v>10</v>
      </c>
      <c r="T10" s="24">
        <f>IFERROR(SUMIFS(SUMMARY!D:D, SUMMARY!B:B, A10, SUMMARY!A:A, "TOLEDO"), 0)</f>
        <v>0</v>
      </c>
      <c r="U10" s="24">
        <f>IFERROR(SUMIFS(SUMMARY!D:D, SUMMARY!B:B, A10, SUMMARY!A:A, "UBAY"), 0)</f>
        <v>10</v>
      </c>
      <c r="V10" s="24">
        <f>IFERROR(SUMIFS(SUMMARY!D:D, SUMMARY!B:B, A10, SUMMARY!A:A, "CARMEN"), 0)</f>
        <v>0</v>
      </c>
      <c r="W10" s="24">
        <f>IFERROR(SUMIFS(SUMMARY!D:D, SUMMARY!B:B, A10, SUMMARY!A:A, "TUBIGON"), 0)</f>
        <v>10</v>
      </c>
      <c r="X10" s="24">
        <f>IFERROR(SUMIFS(SUMMARY!D:D, SUMMARY!B:B, A10, SUMMARY!A:A, "TALIBON"), 0)</f>
        <v>0</v>
      </c>
      <c r="Y10" s="24">
        <f>IFERROR(SUMIFS(SUMMARY!D:D, SUMMARY!B:B, A10, SUMMARY!A:A, "BOGO"), 0)</f>
        <v>0</v>
      </c>
      <c r="Z10" s="24">
        <f>IFERROR(SUMIFS(SUMMARY!D:D, SUMMARY!B:B, A10, SUMMARY!A:A, "BALAMBAN"), 0)</f>
        <v>0</v>
      </c>
      <c r="AA10" s="24">
        <f>IFERROR(SUMIFS(SUMMARY!D:D, SUMMARY!B:B, A10, SUMMARY!A:A, "Y3S BARILI"), 0)</f>
        <v>10</v>
      </c>
      <c r="AB10" s="24">
        <f>IFERROR(SUMIFS(SUMMARY!D:D, SUMMARY!B:B, A10, SUMMARY!A:A, "BARILI MB"), 0)</f>
        <v>0</v>
      </c>
      <c r="AC10" s="24">
        <f>IFERROR(SUMIFS(SUMMARY!D:D, SUMMARY!B:B, A10, SUMMARY!A:A, "SIERRA BULLONES"), 0)</f>
        <v>0</v>
      </c>
      <c r="AD10" s="24">
        <f>IFERROR(SUMIFS(SUMMARY!D:D, SUMMARY!B:B, A10, SUMMARY!A:A, "PITOGO"), 0)</f>
        <v>5</v>
      </c>
      <c r="AE10" s="24">
        <f>IFERROR(SUMIFS(SUMMARY!D:D, SUMMARY!B:B, A10, SUMMARY!A:A, "TAYUD CONSOLACION"), 0)</f>
        <v>0</v>
      </c>
      <c r="AF10" s="25">
        <v>0.0</v>
      </c>
      <c r="AG10" s="24">
        <f>IFERROR(SUMIFS(SUMMARY!D:D, SUMMARY!B:B, A10, SUMMARY!A:A, "CANDIJAY"), 0)</f>
        <v>0</v>
      </c>
      <c r="AH10" s="24">
        <f>IFERROR(SUMIFS(SUMMARY!D:D, SUMMARY!B:B, A10, SUMMARY!A:A, "YATI LILOAN"), 0)</f>
        <v>10</v>
      </c>
      <c r="AI10" s="27">
        <f>IFERROR(SUMIFS(SUMMARY!D:D, SUMMARY!B:B, A10, SUMMARY!A:A, "CAMOTES"), 0)</f>
        <v>0</v>
      </c>
      <c r="AJ10" s="28">
        <f t="shared" si="1"/>
        <v>111</v>
      </c>
    </row>
    <row r="11" ht="15.75" customHeight="1">
      <c r="A11" s="23" t="s">
        <v>588</v>
      </c>
      <c r="B11" s="23" t="s">
        <v>589</v>
      </c>
      <c r="C11" s="24" t="s">
        <v>21</v>
      </c>
      <c r="D11" s="25">
        <f>IFERROR(SUMIFS(SUMMARY!D:D, SUMMARY!B:B, A11, SUMMARY!A:A, "ADMIN"), 0)</f>
        <v>0</v>
      </c>
      <c r="E11" s="25">
        <f>IFERROR(SUMIFS(SUMMARY!D:D, SUMMARY!B:B, A11, SUMMARY!A:A, "WAREHOUSE"), 0)</f>
        <v>0</v>
      </c>
      <c r="F11" s="24">
        <f>IFERROR(SUMIFS(SUMMARY!D:D, SUMMARY!B:B, A11, SUMMARY!A:A, "LAGTANG"), 0)</f>
        <v>5</v>
      </c>
      <c r="G11" s="26">
        <f>IFERROR(SUMIFS(SUMMARY!D:D, SUMMARY!B:B, A11, SUMMARY!A:A, "V-RAMA"), 0)</f>
        <v>0</v>
      </c>
      <c r="H11" s="24">
        <f>IFERROR(SUMIFS(SUMMARY!D:D, SUMMARY!B:B, A11, SUMMARY!A:A, "BULACAO"), 0)</f>
        <v>0</v>
      </c>
      <c r="I11" s="24">
        <f>IFERROR(SUMIFS(SUMMARY!D:D, SUMMARY!B:B, A11, SUMMARY!A:A, "Y3S TALISAY"), 0)</f>
        <v>15</v>
      </c>
      <c r="J11" s="24">
        <f>IFERROR(SUMIFS(SUMMARY!D:D, SUMMARY!B:B, A11, SUMMARY!A:A, "MINGLANILLA"), 0)</f>
        <v>0</v>
      </c>
      <c r="K11" s="24">
        <f>IFERROR(SUMIFS(SUMMARY!D:D, SUMMARY!B:B, A11, SUMMARY!A:A, "Y3S PARDO"), 0)</f>
        <v>0</v>
      </c>
      <c r="L11" s="24">
        <f>IFERROR(SUMIFS(SUMMARY!D:D, SUMMARY!B:B, A11, SUMMARY!A:A, "LAPU-LAPU"), 0)</f>
        <v>0</v>
      </c>
      <c r="M11" s="24">
        <f>IFERROR(SUMIFS(SUMMARY!D:D, SUMMARY!B:B, A11, SUMMARY!A:A, "BACAYAN"), 0)</f>
        <v>0</v>
      </c>
      <c r="N11" s="24">
        <f>IFERROR(SUMIFS(SUMMARY!D:D, SUMMARY!B:B, A11, SUMMARY!A:A, "SAN FERNANDO MB"), 0)</f>
        <v>20</v>
      </c>
      <c r="O11" s="24">
        <f>IFERROR(SUMIFS(SUMMARY!D:D, SUMMARY!B:B, A11, SUMMARY!A:A, "Y3S SAN FERNANDO"), 0)</f>
        <v>15</v>
      </c>
      <c r="P11" s="24">
        <f>IFERROR(SUMIFS(SUMMARY!D:D, SUMMARY!B:B, A11, SUMMARY!A:A, "LILOAN"), 0)</f>
        <v>0</v>
      </c>
      <c r="Q11" s="24">
        <f>IFERROR(SUMIFS(SUMMARY!D:D, SUMMARY!B:B, A11, SUMMARY!A:A, "CORDOVA MB"), 0)</f>
        <v>0</v>
      </c>
      <c r="R11" s="24">
        <f>IFERROR(SUMIFS(SUMMARY!D:D, SUMMARY!B:B, A11, SUMMARY!A:A, "Y3S CORDOVA"), 0)</f>
        <v>0</v>
      </c>
      <c r="S11" s="24">
        <f>IFERROR(SUMIFS(SUMMARY!D:D, SUMMARY!B:B, A11, SUMMARY!A:A, "CLARIN"), 0)</f>
        <v>0</v>
      </c>
      <c r="T11" s="24">
        <f>IFERROR(SUMIFS(SUMMARY!D:D, SUMMARY!B:B, A11, SUMMARY!A:A, "TOLEDO"), 0)</f>
        <v>0</v>
      </c>
      <c r="U11" s="24">
        <f>IFERROR(SUMIFS(SUMMARY!D:D, SUMMARY!B:B, A11, SUMMARY!A:A, "UBAY"), 0)</f>
        <v>0</v>
      </c>
      <c r="V11" s="24">
        <f>IFERROR(SUMIFS(SUMMARY!D:D, SUMMARY!B:B, A11, SUMMARY!A:A, "CARMEN"), 0)</f>
        <v>0</v>
      </c>
      <c r="W11" s="24">
        <f>IFERROR(SUMIFS(SUMMARY!D:D, SUMMARY!B:B, A11, SUMMARY!A:A, "TUBIGON"), 0)</f>
        <v>30</v>
      </c>
      <c r="X11" s="24">
        <f>IFERROR(SUMIFS(SUMMARY!D:D, SUMMARY!B:B, A11, SUMMARY!A:A, "TALIBON"), 0)</f>
        <v>0</v>
      </c>
      <c r="Y11" s="24">
        <f>IFERROR(SUMIFS(SUMMARY!D:D, SUMMARY!B:B, A11, SUMMARY!A:A, "BOGO"), 0)</f>
        <v>0</v>
      </c>
      <c r="Z11" s="24">
        <f>IFERROR(SUMIFS(SUMMARY!D:D, SUMMARY!B:B, A11, SUMMARY!A:A, "BALAMBAN"), 0)</f>
        <v>0</v>
      </c>
      <c r="AA11" s="24">
        <f>IFERROR(SUMIFS(SUMMARY!D:D, SUMMARY!B:B, A11, SUMMARY!A:A, "Y3S BARILI"), 0)</f>
        <v>0</v>
      </c>
      <c r="AB11" s="24">
        <f>IFERROR(SUMIFS(SUMMARY!D:D, SUMMARY!B:B, A11, SUMMARY!A:A, "BARILI MB"), 0)</f>
        <v>0</v>
      </c>
      <c r="AC11" s="24">
        <f>IFERROR(SUMIFS(SUMMARY!D:D, SUMMARY!B:B, A11, SUMMARY!A:A, "SIERRA BULLONES"), 0)</f>
        <v>0</v>
      </c>
      <c r="AD11" s="24">
        <f>IFERROR(SUMIFS(SUMMARY!D:D, SUMMARY!B:B, A11, SUMMARY!A:A, "PITOGO"), 0)</f>
        <v>0</v>
      </c>
      <c r="AE11" s="24">
        <f>IFERROR(SUMIFS(SUMMARY!D:D, SUMMARY!B:B, A11, SUMMARY!A:A, "TAYUD CONSOLACION"), 0)</f>
        <v>0</v>
      </c>
      <c r="AF11" s="24">
        <f>IFERROR(SUMIFS(SUMMARY!D:D, SUMMARY!B:B, A11, SUMMARY!A:A, "PINAMUNGAJAN"), 0)</f>
        <v>0</v>
      </c>
      <c r="AG11" s="24">
        <f>IFERROR(SUMIFS(SUMMARY!D:D, SUMMARY!B:B, A11, SUMMARY!A:A, "CANDIJAY"), 0)</f>
        <v>0</v>
      </c>
      <c r="AH11" s="24">
        <f>IFERROR(SUMIFS(SUMMARY!D:D, SUMMARY!B:B, A11, SUMMARY!A:A, "YATI LILOAN"), 0)</f>
        <v>0</v>
      </c>
      <c r="AI11" s="27">
        <f>IFERROR(SUMIFS(SUMMARY!D:D, SUMMARY!B:B, A11, SUMMARY!A:A, "CAMOTES"), 0)</f>
        <v>0</v>
      </c>
      <c r="AJ11" s="28">
        <f t="shared" si="1"/>
        <v>85</v>
      </c>
    </row>
    <row r="12" ht="15.75" customHeight="1">
      <c r="A12" s="23" t="s">
        <v>590</v>
      </c>
      <c r="B12" s="23" t="s">
        <v>591</v>
      </c>
      <c r="C12" s="24" t="s">
        <v>21</v>
      </c>
      <c r="D12" s="25">
        <f>IFERROR(SUMIFS(SUMMARY!D:D, SUMMARY!B:B, A12, SUMMARY!A:A, "ADMIN"), 0)</f>
        <v>0</v>
      </c>
      <c r="E12" s="25">
        <f>IFERROR(SUMIFS(SUMMARY!D:D, SUMMARY!B:B, A12, SUMMARY!A:A, "WAREHOUSE"), 0)</f>
        <v>0</v>
      </c>
      <c r="F12" s="24">
        <f>IFERROR(SUMIFS(SUMMARY!D:D, SUMMARY!B:B, A12, SUMMARY!A:A, "LAGTANG"), 0)</f>
        <v>5</v>
      </c>
      <c r="G12" s="26">
        <f>IFERROR(SUMIFS(SUMMARY!D:D, SUMMARY!B:B, A12, SUMMARY!A:A, "V-RAMA"), 0)</f>
        <v>0</v>
      </c>
      <c r="H12" s="24">
        <f>IFERROR(SUMIFS(SUMMARY!D:D, SUMMARY!B:B, A12, SUMMARY!A:A, "BULACAO"), 0)</f>
        <v>0</v>
      </c>
      <c r="I12" s="24">
        <f>IFERROR(SUMIFS(SUMMARY!D:D, SUMMARY!B:B, A12, SUMMARY!A:A, "Y3S TALISAY"), 0)</f>
        <v>20</v>
      </c>
      <c r="J12" s="24">
        <f>IFERROR(SUMIFS(SUMMARY!D:D, SUMMARY!B:B, A12, SUMMARY!A:A, "MINGLANILLA"), 0)</f>
        <v>10</v>
      </c>
      <c r="K12" s="24">
        <f>IFERROR(SUMIFS(SUMMARY!D:D, SUMMARY!B:B, A12, SUMMARY!A:A, "Y3S PARDO"), 0)</f>
        <v>20</v>
      </c>
      <c r="L12" s="24">
        <f>IFERROR(SUMIFS(SUMMARY!D:D, SUMMARY!B:B, A12, SUMMARY!A:A, "LAPU-LAPU"), 0)</f>
        <v>0</v>
      </c>
      <c r="M12" s="24">
        <f>IFERROR(SUMIFS(SUMMARY!D:D, SUMMARY!B:B, A12, SUMMARY!A:A, "BACAYAN"), 0)</f>
        <v>10</v>
      </c>
      <c r="N12" s="24">
        <f>IFERROR(SUMIFS(SUMMARY!D:D, SUMMARY!B:B, A12, SUMMARY!A:A, "SAN FERNANDO MB"), 0)</f>
        <v>0</v>
      </c>
      <c r="O12" s="24">
        <f>IFERROR(SUMIFS(SUMMARY!D:D, SUMMARY!B:B, A12, SUMMARY!A:A, "Y3S SAN FERNANDO"), 0)</f>
        <v>0</v>
      </c>
      <c r="P12" s="24">
        <f>IFERROR(SUMIFS(SUMMARY!D:D, SUMMARY!B:B, A12, SUMMARY!A:A, "LILOAN"), 0)</f>
        <v>0</v>
      </c>
      <c r="Q12" s="24">
        <f>IFERROR(SUMIFS(SUMMARY!D:D, SUMMARY!B:B, A12, SUMMARY!A:A, "CORDOVA MB"), 0)</f>
        <v>0</v>
      </c>
      <c r="R12" s="24">
        <f>IFERROR(SUMIFS(SUMMARY!D:D, SUMMARY!B:B, A12, SUMMARY!A:A, "Y3S CORDOVA"), 0)</f>
        <v>30</v>
      </c>
      <c r="S12" s="24">
        <f>IFERROR(SUMIFS(SUMMARY!D:D, SUMMARY!B:B, A12, SUMMARY!A:A, "CLARIN"), 0)</f>
        <v>10</v>
      </c>
      <c r="T12" s="24">
        <f>IFERROR(SUMIFS(SUMMARY!D:D, SUMMARY!B:B, A12, SUMMARY!A:A, "TOLEDO"), 0)</f>
        <v>0</v>
      </c>
      <c r="U12" s="24">
        <f>IFERROR(SUMIFS(SUMMARY!D:D, SUMMARY!B:B, A12, SUMMARY!A:A, "UBAY"), 0)</f>
        <v>0</v>
      </c>
      <c r="V12" s="24">
        <f>IFERROR(SUMIFS(SUMMARY!D:D, SUMMARY!B:B, A12, SUMMARY!A:A, "CARMEN"), 0)</f>
        <v>0</v>
      </c>
      <c r="W12" s="24">
        <f>IFERROR(SUMIFS(SUMMARY!D:D, SUMMARY!B:B, A12, SUMMARY!A:A, "TUBIGON"), 0)</f>
        <v>0</v>
      </c>
      <c r="X12" s="24">
        <f>IFERROR(SUMIFS(SUMMARY!D:D, SUMMARY!B:B, A12, SUMMARY!A:A, "TALIBON"), 0)</f>
        <v>0</v>
      </c>
      <c r="Y12" s="24">
        <f>IFERROR(SUMIFS(SUMMARY!D:D, SUMMARY!B:B, A12, SUMMARY!A:A, "BOGO"), 0)</f>
        <v>10</v>
      </c>
      <c r="Z12" s="24">
        <f>IFERROR(SUMIFS(SUMMARY!D:D, SUMMARY!B:B, A12, SUMMARY!A:A, "BALAMBAN"), 0)</f>
        <v>0</v>
      </c>
      <c r="AA12" s="24">
        <f>IFERROR(SUMIFS(SUMMARY!D:D, SUMMARY!B:B, A12, SUMMARY!A:A, "Y3S BARILI"), 0)</f>
        <v>0</v>
      </c>
      <c r="AB12" s="24">
        <f>IFERROR(SUMIFS(SUMMARY!D:D, SUMMARY!B:B, A12, SUMMARY!A:A, "BARILI MB"), 0)</f>
        <v>0</v>
      </c>
      <c r="AC12" s="24">
        <f>IFERROR(SUMIFS(SUMMARY!D:D, SUMMARY!B:B, A12, SUMMARY!A:A, "SIERRA BULLONES"), 0)</f>
        <v>0</v>
      </c>
      <c r="AD12" s="24">
        <f>IFERROR(SUMIFS(SUMMARY!D:D, SUMMARY!B:B, A12, SUMMARY!A:A, "PITOGO"), 0)</f>
        <v>0</v>
      </c>
      <c r="AE12" s="24">
        <f>IFERROR(SUMIFS(SUMMARY!D:D, SUMMARY!B:B, A12, SUMMARY!A:A, "TAYUD CONSOLACION"), 0)</f>
        <v>0</v>
      </c>
      <c r="AF12" s="24">
        <f>IFERROR(SUMIFS(SUMMARY!D:D, SUMMARY!B:B, A12, SUMMARY!A:A, "PINAMUNGAJAN"), 0)</f>
        <v>0</v>
      </c>
      <c r="AG12" s="24">
        <f>IFERROR(SUMIFS(SUMMARY!D:D, SUMMARY!B:B, A12, SUMMARY!A:A, "CANDIJAY"), 0)</f>
        <v>0</v>
      </c>
      <c r="AH12" s="24">
        <f>IFERROR(SUMIFS(SUMMARY!D:D, SUMMARY!B:B, A12, SUMMARY!A:A, "YATI LILOAN"), 0)</f>
        <v>0</v>
      </c>
      <c r="AI12" s="27">
        <f>IFERROR(SUMIFS(SUMMARY!D:D, SUMMARY!B:B, A12, SUMMARY!A:A, "CAMOTES"), 0)</f>
        <v>0</v>
      </c>
      <c r="AJ12" s="28">
        <f t="shared" si="1"/>
        <v>115</v>
      </c>
    </row>
    <row r="13" ht="15.75" customHeight="1">
      <c r="A13" s="23" t="s">
        <v>592</v>
      </c>
      <c r="B13" s="23" t="s">
        <v>593</v>
      </c>
      <c r="C13" s="24" t="s">
        <v>21</v>
      </c>
      <c r="D13" s="25">
        <f>IFERROR(SUMIFS(SUMMARY!D:D, SUMMARY!B:B, A13, SUMMARY!A:A, "ADMIN"), 0)</f>
        <v>0</v>
      </c>
      <c r="E13" s="25">
        <f>IFERROR(SUMIFS(SUMMARY!D:D, SUMMARY!B:B, A13, SUMMARY!A:A, "WAREHOUSE"), 0)</f>
        <v>0</v>
      </c>
      <c r="F13" s="24">
        <f>IFERROR(SUMIFS(SUMMARY!D:D, SUMMARY!B:B, A13, SUMMARY!A:A, "LAGTANG"), 0)</f>
        <v>20</v>
      </c>
      <c r="G13" s="26">
        <f>IFERROR(SUMIFS(SUMMARY!D:D, SUMMARY!B:B, A13, SUMMARY!A:A, "V-RAMA"), 0)</f>
        <v>20</v>
      </c>
      <c r="H13" s="24">
        <f>IFERROR(SUMIFS(SUMMARY!D:D, SUMMARY!B:B, A13, SUMMARY!A:A, "BULACAO"), 0)</f>
        <v>30</v>
      </c>
      <c r="I13" s="24">
        <f>IFERROR(SUMIFS(SUMMARY!D:D, SUMMARY!B:B, A13, SUMMARY!A:A, "Y3S TALISAY"), 0)</f>
        <v>40</v>
      </c>
      <c r="J13" s="24">
        <f>IFERROR(SUMIFS(SUMMARY!D:D, SUMMARY!B:B, A13, SUMMARY!A:A, "MINGLANILLA"), 0)</f>
        <v>10</v>
      </c>
      <c r="K13" s="24">
        <f>IFERROR(SUMIFS(SUMMARY!D:D, SUMMARY!B:B, A13, SUMMARY!A:A, "Y3S PARDO"), 0)</f>
        <v>20</v>
      </c>
      <c r="L13" s="24">
        <f>IFERROR(SUMIFS(SUMMARY!D:D, SUMMARY!B:B, A13, SUMMARY!A:A, "LAPU-LAPU"), 0)</f>
        <v>0</v>
      </c>
      <c r="M13" s="24">
        <f>IFERROR(SUMIFS(SUMMARY!D:D, SUMMARY!B:B, A13, SUMMARY!A:A, "BACAYAN"), 0)</f>
        <v>30</v>
      </c>
      <c r="N13" s="24">
        <f>IFERROR(SUMIFS(SUMMARY!D:D, SUMMARY!B:B, A13, SUMMARY!A:A, "SAN FERNANDO MB"), 0)</f>
        <v>20</v>
      </c>
      <c r="O13" s="24">
        <f>IFERROR(SUMIFS(SUMMARY!D:D, SUMMARY!B:B, A13, SUMMARY!A:A, "Y3S SAN FERNANDO"), 0)</f>
        <v>40</v>
      </c>
      <c r="P13" s="24">
        <f>IFERROR(SUMIFS(SUMMARY!D:D, SUMMARY!B:B, A13, SUMMARY!A:A, "LILOAN"), 0)</f>
        <v>30</v>
      </c>
      <c r="Q13" s="24">
        <f>IFERROR(SUMIFS(SUMMARY!D:D, SUMMARY!B:B, A13, SUMMARY!A:A, "CORDOVA MB"), 0)</f>
        <v>30</v>
      </c>
      <c r="R13" s="24">
        <f>IFERROR(SUMIFS(SUMMARY!D:D, SUMMARY!B:B, A13, SUMMARY!A:A, "Y3S CORDOVA"), 0)</f>
        <v>60</v>
      </c>
      <c r="S13" s="24">
        <f>IFERROR(SUMIFS(SUMMARY!D:D, SUMMARY!B:B, A13, SUMMARY!A:A, "CLARIN"), 0)</f>
        <v>40</v>
      </c>
      <c r="T13" s="24">
        <f>IFERROR(SUMIFS(SUMMARY!D:D, SUMMARY!B:B, A13, SUMMARY!A:A, "TOLEDO"), 0)</f>
        <v>0</v>
      </c>
      <c r="U13" s="24">
        <f>IFERROR(SUMIFS(SUMMARY!D:D, SUMMARY!B:B, A13, SUMMARY!A:A, "UBAY"), 0)</f>
        <v>30</v>
      </c>
      <c r="V13" s="24">
        <f>IFERROR(SUMIFS(SUMMARY!D:D, SUMMARY!B:B, A13, SUMMARY!A:A, "CARMEN"), 0)</f>
        <v>30</v>
      </c>
      <c r="W13" s="24">
        <f>IFERROR(SUMIFS(SUMMARY!D:D, SUMMARY!B:B, A13, SUMMARY!A:A, "TUBIGON"), 0)</f>
        <v>30</v>
      </c>
      <c r="X13" s="24">
        <f>IFERROR(SUMIFS(SUMMARY!D:D, SUMMARY!B:B, A13, SUMMARY!A:A, "TALIBON"), 0)</f>
        <v>30</v>
      </c>
      <c r="Y13" s="24">
        <f>IFERROR(SUMIFS(SUMMARY!D:D, SUMMARY!B:B, A13, SUMMARY!A:A, "BOGO"), 0)</f>
        <v>30</v>
      </c>
      <c r="Z13" s="24">
        <f>IFERROR(SUMIFS(SUMMARY!D:D, SUMMARY!B:B, A13, SUMMARY!A:A, "BALAMBAN"), 0)</f>
        <v>10</v>
      </c>
      <c r="AA13" s="24">
        <f>IFERROR(SUMIFS(SUMMARY!D:D, SUMMARY!B:B, A13, SUMMARY!A:A, "Y3S BARILI"), 0)</f>
        <v>20</v>
      </c>
      <c r="AB13" s="24">
        <f>IFERROR(SUMIFS(SUMMARY!D:D, SUMMARY!B:B, A13, SUMMARY!A:A, "BARILI MB"), 0)</f>
        <v>20</v>
      </c>
      <c r="AC13" s="24">
        <f>IFERROR(SUMIFS(SUMMARY!D:D, SUMMARY!B:B, A13, SUMMARY!A:A, "SIERRA BULLONES"), 0)</f>
        <v>30</v>
      </c>
      <c r="AD13" s="24">
        <f>IFERROR(SUMIFS(SUMMARY!D:D, SUMMARY!B:B, A13, SUMMARY!A:A, "PITOGO"), 0)</f>
        <v>20</v>
      </c>
      <c r="AE13" s="24">
        <f>IFERROR(SUMIFS(SUMMARY!D:D, SUMMARY!B:B, A13, SUMMARY!A:A, "TAYUD CONSOLACION"), 0)</f>
        <v>20</v>
      </c>
      <c r="AF13" s="24">
        <f>IFERROR(SUMIFS(SUMMARY!D:D, SUMMARY!B:B, A13, SUMMARY!A:A, "PINAMUNGAJAN"), 0)</f>
        <v>20</v>
      </c>
      <c r="AG13" s="24">
        <f>IFERROR(SUMIFS(SUMMARY!D:D, SUMMARY!B:B, A13, SUMMARY!A:A, "CANDIJAY"), 0)</f>
        <v>30</v>
      </c>
      <c r="AH13" s="24">
        <f>IFERROR(SUMIFS(SUMMARY!D:D, SUMMARY!B:B, A13, SUMMARY!A:A, "YATI LILOAN"), 0)</f>
        <v>20</v>
      </c>
      <c r="AI13" s="27">
        <f>IFERROR(SUMIFS(SUMMARY!D:D, SUMMARY!B:B, A13, SUMMARY!A:A, "CAMOTES"), 0)</f>
        <v>0</v>
      </c>
      <c r="AJ13" s="28">
        <f t="shared" si="1"/>
        <v>730</v>
      </c>
    </row>
    <row r="14" ht="15.75" customHeight="1">
      <c r="A14" s="23" t="s">
        <v>594</v>
      </c>
      <c r="B14" s="23" t="s">
        <v>595</v>
      </c>
      <c r="C14" s="24" t="s">
        <v>21</v>
      </c>
      <c r="D14" s="25">
        <f>IFERROR(SUMIFS(SUMMARY!D:D, SUMMARY!B:B, A14, SUMMARY!A:A, "ADMIN"), 0)</f>
        <v>0</v>
      </c>
      <c r="E14" s="25">
        <f>IFERROR(SUMIFS(SUMMARY!D:D, SUMMARY!B:B, A14, SUMMARY!A:A, "WAREHOUSE"), 0)</f>
        <v>0</v>
      </c>
      <c r="F14" s="24">
        <f>IFERROR(SUMIFS(SUMMARY!D:D, SUMMARY!B:B, A14, SUMMARY!A:A, "LAGTANG"), 0)</f>
        <v>0</v>
      </c>
      <c r="G14" s="26">
        <f>IFERROR(SUMIFS(SUMMARY!D:D, SUMMARY!B:B, A14, SUMMARY!A:A, "V-RAMA"), 0)</f>
        <v>0</v>
      </c>
      <c r="H14" s="24">
        <f>IFERROR(SUMIFS(SUMMARY!D:D, SUMMARY!B:B, A14, SUMMARY!A:A, "BULACAO"), 0)</f>
        <v>0</v>
      </c>
      <c r="I14" s="24">
        <f>IFERROR(SUMIFS(SUMMARY!D:D, SUMMARY!B:B, A14, SUMMARY!A:A, "Y3S TALISAY"), 0)</f>
        <v>0</v>
      </c>
      <c r="J14" s="24">
        <f>IFERROR(SUMIFS(SUMMARY!D:D, SUMMARY!B:B, A14, SUMMARY!A:A, "MINGLANILLA"), 0)</f>
        <v>0</v>
      </c>
      <c r="K14" s="24">
        <f>IFERROR(SUMIFS(SUMMARY!D:D, SUMMARY!B:B, A14, SUMMARY!A:A, "Y3S PARDO"), 0)</f>
        <v>0</v>
      </c>
      <c r="L14" s="24">
        <f>IFERROR(SUMIFS(SUMMARY!D:D, SUMMARY!B:B, A14, SUMMARY!A:A, "LAPU-LAPU"), 0)</f>
        <v>0</v>
      </c>
      <c r="M14" s="24">
        <f>IFERROR(SUMIFS(SUMMARY!D:D, SUMMARY!B:B, A14, SUMMARY!A:A, "BACAYAN"), 0)</f>
        <v>0</v>
      </c>
      <c r="N14" s="24">
        <f>IFERROR(SUMIFS(SUMMARY!D:D, SUMMARY!B:B, A14, SUMMARY!A:A, "SAN FERNANDO MB"), 0)</f>
        <v>0</v>
      </c>
      <c r="O14" s="24">
        <f>IFERROR(SUMIFS(SUMMARY!D:D, SUMMARY!B:B, A14, SUMMARY!A:A, "Y3S SAN FERNANDO"), 0)</f>
        <v>0</v>
      </c>
      <c r="P14" s="24">
        <f>IFERROR(SUMIFS(SUMMARY!D:D, SUMMARY!B:B, A14, SUMMARY!A:A, "LILOAN"), 0)</f>
        <v>0</v>
      </c>
      <c r="Q14" s="24">
        <f>IFERROR(SUMIFS(SUMMARY!D:D, SUMMARY!B:B, A14, SUMMARY!A:A, "CORDOVA MB"), 0)</f>
        <v>0</v>
      </c>
      <c r="R14" s="24">
        <f>IFERROR(SUMIFS(SUMMARY!D:D, SUMMARY!B:B, A14, SUMMARY!A:A, "Y3S CORDOVA"), 0)</f>
        <v>0</v>
      </c>
      <c r="S14" s="24">
        <f>IFERROR(SUMIFS(SUMMARY!D:D, SUMMARY!B:B, A14, SUMMARY!A:A, "CLARIN"), 0)</f>
        <v>0</v>
      </c>
      <c r="T14" s="24">
        <f>IFERROR(SUMIFS(SUMMARY!D:D, SUMMARY!B:B, A14, SUMMARY!A:A, "TOLEDO"), 0)</f>
        <v>0</v>
      </c>
      <c r="U14" s="24">
        <f>IFERROR(SUMIFS(SUMMARY!D:D, SUMMARY!B:B, A14, SUMMARY!A:A, "UBAY"), 0)</f>
        <v>0</v>
      </c>
      <c r="V14" s="24">
        <f>IFERROR(SUMIFS(SUMMARY!D:D, SUMMARY!B:B, A14, SUMMARY!A:A, "CARMEN"), 0)</f>
        <v>0</v>
      </c>
      <c r="W14" s="24">
        <f>IFERROR(SUMIFS(SUMMARY!D:D, SUMMARY!B:B, A14, SUMMARY!A:A, "TUBIGON"), 0)</f>
        <v>0</v>
      </c>
      <c r="X14" s="24">
        <f>IFERROR(SUMIFS(SUMMARY!D:D, SUMMARY!B:B, A14, SUMMARY!A:A, "TALIBON"), 0)</f>
        <v>0</v>
      </c>
      <c r="Y14" s="24">
        <f>IFERROR(SUMIFS(SUMMARY!D:D, SUMMARY!B:B, A14, SUMMARY!A:A, "BOGO"), 0)</f>
        <v>0</v>
      </c>
      <c r="Z14" s="24">
        <f>IFERROR(SUMIFS(SUMMARY!D:D, SUMMARY!B:B, A14, SUMMARY!A:A, "BALAMBAN"), 0)</f>
        <v>0</v>
      </c>
      <c r="AA14" s="24">
        <f>IFERROR(SUMIFS(SUMMARY!D:D, SUMMARY!B:B, A14, SUMMARY!A:A, "Y3S BARILI"), 0)</f>
        <v>0</v>
      </c>
      <c r="AB14" s="24">
        <f>IFERROR(SUMIFS(SUMMARY!D:D, SUMMARY!B:B, A14, SUMMARY!A:A, "BARILI MB"), 0)</f>
        <v>0</v>
      </c>
      <c r="AC14" s="24">
        <f>IFERROR(SUMIFS(SUMMARY!D:D, SUMMARY!B:B, A14, SUMMARY!A:A, "SIERRA BULLONES"), 0)</f>
        <v>0</v>
      </c>
      <c r="AD14" s="24">
        <f>IFERROR(SUMIFS(SUMMARY!D:D, SUMMARY!B:B, A14, SUMMARY!A:A, "PITOGO"), 0)</f>
        <v>0</v>
      </c>
      <c r="AE14" s="24">
        <f>IFERROR(SUMIFS(SUMMARY!D:D, SUMMARY!B:B, A14, SUMMARY!A:A, "TAYUD CONSOLACION"), 0)</f>
        <v>0</v>
      </c>
      <c r="AF14" s="24">
        <f>IFERROR(SUMIFS(SUMMARY!D:D, SUMMARY!B:B, A14, SUMMARY!A:A, "PINAMUNGAJAN"), 0)</f>
        <v>0</v>
      </c>
      <c r="AG14" s="24">
        <f>IFERROR(SUMIFS(SUMMARY!D:D, SUMMARY!B:B, A14, SUMMARY!A:A, "CANDIJAY"), 0)</f>
        <v>0</v>
      </c>
      <c r="AH14" s="24">
        <f>IFERROR(SUMIFS(SUMMARY!D:D, SUMMARY!B:B, A14, SUMMARY!A:A, "YATI LILOAN"), 0)</f>
        <v>0</v>
      </c>
      <c r="AI14" s="27">
        <f>IFERROR(SUMIFS(SUMMARY!D:D, SUMMARY!B:B, A14, SUMMARY!A:A, "CAMOTES"), 0)</f>
        <v>0</v>
      </c>
      <c r="AJ14" s="28">
        <f t="shared" si="1"/>
        <v>0</v>
      </c>
    </row>
    <row r="15" ht="15.75" customHeight="1">
      <c r="A15" s="23" t="s">
        <v>596</v>
      </c>
      <c r="B15" s="23" t="s">
        <v>597</v>
      </c>
      <c r="C15" s="24" t="s">
        <v>21</v>
      </c>
      <c r="D15" s="25">
        <f>IFERROR(SUMIFS(SUMMARY!D:D, SUMMARY!B:B, A15, SUMMARY!A:A, "ADMIN"), 0)</f>
        <v>0</v>
      </c>
      <c r="E15" s="25">
        <f>IFERROR(SUMIFS(SUMMARY!D:D, SUMMARY!B:B, A15, SUMMARY!A:A, "WAREHOUSE"), 0)</f>
        <v>0</v>
      </c>
      <c r="F15" s="24">
        <f>IFERROR(SUMIFS(SUMMARY!D:D, SUMMARY!B:B, A15, SUMMARY!A:A, "LAGTANG"), 0)</f>
        <v>0</v>
      </c>
      <c r="G15" s="26">
        <f>IFERROR(SUMIFS(SUMMARY!D:D, SUMMARY!B:B, A15, SUMMARY!A:A, "V-RAMA"), 0)</f>
        <v>0</v>
      </c>
      <c r="H15" s="24">
        <f>IFERROR(SUMIFS(SUMMARY!D:D, SUMMARY!B:B, A15, SUMMARY!A:A, "BULACAO"), 0)</f>
        <v>0</v>
      </c>
      <c r="I15" s="24">
        <f>IFERROR(SUMIFS(SUMMARY!D:D, SUMMARY!B:B, A15, SUMMARY!A:A, "Y3S TALISAY"), 0)</f>
        <v>0</v>
      </c>
      <c r="J15" s="24">
        <f>IFERROR(SUMIFS(SUMMARY!D:D, SUMMARY!B:B, A15, SUMMARY!A:A, "MINGLANILLA"), 0)</f>
        <v>0</v>
      </c>
      <c r="K15" s="24">
        <f>IFERROR(SUMIFS(SUMMARY!D:D, SUMMARY!B:B, A15, SUMMARY!A:A, "Y3S PARDO"), 0)</f>
        <v>0</v>
      </c>
      <c r="L15" s="24">
        <f>IFERROR(SUMIFS(SUMMARY!D:D, SUMMARY!B:B, A15, SUMMARY!A:A, "LAPU-LAPU"), 0)</f>
        <v>0</v>
      </c>
      <c r="M15" s="24">
        <f>IFERROR(SUMIFS(SUMMARY!D:D, SUMMARY!B:B, A15, SUMMARY!A:A, "BACAYAN"), 0)</f>
        <v>0</v>
      </c>
      <c r="N15" s="24">
        <f>IFERROR(SUMIFS(SUMMARY!D:D, SUMMARY!B:B, A15, SUMMARY!A:A, "SAN FERNANDO MB"), 0)</f>
        <v>0</v>
      </c>
      <c r="O15" s="24">
        <f>IFERROR(SUMIFS(SUMMARY!D:D, SUMMARY!B:B, A15, SUMMARY!A:A, "Y3S SAN FERNANDO"), 0)</f>
        <v>0</v>
      </c>
      <c r="P15" s="24">
        <f>IFERROR(SUMIFS(SUMMARY!D:D, SUMMARY!B:B, A15, SUMMARY!A:A, "LILOAN"), 0)</f>
        <v>0</v>
      </c>
      <c r="Q15" s="24">
        <f>IFERROR(SUMIFS(SUMMARY!D:D, SUMMARY!B:B, A15, SUMMARY!A:A, "CORDOVA MB"), 0)</f>
        <v>0</v>
      </c>
      <c r="R15" s="24">
        <f>IFERROR(SUMIFS(SUMMARY!D:D, SUMMARY!B:B, A15, SUMMARY!A:A, "Y3S CORDOVA"), 0)</f>
        <v>0</v>
      </c>
      <c r="S15" s="24">
        <f>IFERROR(SUMIFS(SUMMARY!D:D, SUMMARY!B:B, A15, SUMMARY!A:A, "CLARIN"), 0)</f>
        <v>0</v>
      </c>
      <c r="T15" s="24">
        <f>IFERROR(SUMIFS(SUMMARY!D:D, SUMMARY!B:B, A15, SUMMARY!A:A, "TOLEDO"), 0)</f>
        <v>0</v>
      </c>
      <c r="U15" s="24">
        <f>IFERROR(SUMIFS(SUMMARY!D:D, SUMMARY!B:B, A15, SUMMARY!A:A, "UBAY"), 0)</f>
        <v>0</v>
      </c>
      <c r="V15" s="24">
        <f>IFERROR(SUMIFS(SUMMARY!D:D, SUMMARY!B:B, A15, SUMMARY!A:A, "CARMEN"), 0)</f>
        <v>0</v>
      </c>
      <c r="W15" s="24">
        <f>IFERROR(SUMIFS(SUMMARY!D:D, SUMMARY!B:B, A15, SUMMARY!A:A, "TUBIGON"), 0)</f>
        <v>10</v>
      </c>
      <c r="X15" s="24">
        <f>IFERROR(SUMIFS(SUMMARY!D:D, SUMMARY!B:B, A15, SUMMARY!A:A, "TALIBON"), 0)</f>
        <v>0</v>
      </c>
      <c r="Y15" s="24">
        <f>IFERROR(SUMIFS(SUMMARY!D:D, SUMMARY!B:B, A15, SUMMARY!A:A, "BOGO"), 0)</f>
        <v>15</v>
      </c>
      <c r="Z15" s="24">
        <f>IFERROR(SUMIFS(SUMMARY!D:D, SUMMARY!B:B, A15, SUMMARY!A:A, "BALAMBAN"), 0)</f>
        <v>0</v>
      </c>
      <c r="AA15" s="24">
        <f>IFERROR(SUMIFS(SUMMARY!D:D, SUMMARY!B:B, A15, SUMMARY!A:A, "Y3S BARILI"), 0)</f>
        <v>5</v>
      </c>
      <c r="AB15" s="24">
        <f>IFERROR(SUMIFS(SUMMARY!D:D, SUMMARY!B:B, A15, SUMMARY!A:A, "BARILI MB"), 0)</f>
        <v>0</v>
      </c>
      <c r="AC15" s="24">
        <f>IFERROR(SUMIFS(SUMMARY!D:D, SUMMARY!B:B, A15, SUMMARY!A:A, "SIERRA BULLONES"), 0)</f>
        <v>0</v>
      </c>
      <c r="AD15" s="24">
        <f>IFERROR(SUMIFS(SUMMARY!D:D, SUMMARY!B:B, A15, SUMMARY!A:A, "PITOGO"), 0)</f>
        <v>0</v>
      </c>
      <c r="AE15" s="24">
        <f>IFERROR(SUMIFS(SUMMARY!D:D, SUMMARY!B:B, A15, SUMMARY!A:A, "TAYUD CONSOLACION"), 0)</f>
        <v>0</v>
      </c>
      <c r="AF15" s="24">
        <f>IFERROR(SUMIFS(SUMMARY!D:D, SUMMARY!B:B, A15, SUMMARY!A:A, "PINAMUNGAJAN"), 0)</f>
        <v>10</v>
      </c>
      <c r="AG15" s="24">
        <f>IFERROR(SUMIFS(SUMMARY!D:D, SUMMARY!B:B, A15, SUMMARY!A:A, "CANDIJAY"), 0)</f>
        <v>0</v>
      </c>
      <c r="AH15" s="24">
        <f>IFERROR(SUMIFS(SUMMARY!D:D, SUMMARY!B:B, A15, SUMMARY!A:A, "YATI LILOAN"), 0)</f>
        <v>0</v>
      </c>
      <c r="AI15" s="27">
        <f>IFERROR(SUMIFS(SUMMARY!D:D, SUMMARY!B:B, A15, SUMMARY!A:A, "CAMOTES"), 0)</f>
        <v>0</v>
      </c>
      <c r="AJ15" s="28">
        <f t="shared" si="1"/>
        <v>40</v>
      </c>
    </row>
    <row r="16" ht="15.75" customHeight="1">
      <c r="A16" s="23" t="s">
        <v>598</v>
      </c>
      <c r="B16" s="23" t="s">
        <v>599</v>
      </c>
      <c r="C16" s="24" t="s">
        <v>21</v>
      </c>
      <c r="D16" s="25">
        <f>IFERROR(SUMIFS(SUMMARY!D:D, SUMMARY!B:B, A16, SUMMARY!A:A, "ADMIN"), 0)</f>
        <v>0</v>
      </c>
      <c r="E16" s="25">
        <f>IFERROR(SUMIFS(SUMMARY!D:D, SUMMARY!B:B, A16, SUMMARY!A:A, "WAREHOUSE"), 0)</f>
        <v>0</v>
      </c>
      <c r="F16" s="24">
        <f>IFERROR(SUMIFS(SUMMARY!D:D, SUMMARY!B:B, A16, SUMMARY!A:A, "LAGTANG"), 0)</f>
        <v>5</v>
      </c>
      <c r="G16" s="26">
        <f>IFERROR(SUMIFS(SUMMARY!D:D, SUMMARY!B:B, A16, SUMMARY!A:A, "V-RAMA"), 0)</f>
        <v>0</v>
      </c>
      <c r="H16" s="24">
        <f>IFERROR(SUMIFS(SUMMARY!D:D, SUMMARY!B:B, A16, SUMMARY!A:A, "BULACAO"), 0)</f>
        <v>0</v>
      </c>
      <c r="I16" s="24">
        <f>IFERROR(SUMIFS(SUMMARY!D:D, SUMMARY!B:B, A16, SUMMARY!A:A, "Y3S TALISAY"), 0)</f>
        <v>5</v>
      </c>
      <c r="J16" s="24">
        <f>IFERROR(SUMIFS(SUMMARY!D:D, SUMMARY!B:B, A16, SUMMARY!A:A, "MINGLANILLA"), 0)</f>
        <v>0</v>
      </c>
      <c r="K16" s="24">
        <f>IFERROR(SUMIFS(SUMMARY!D:D, SUMMARY!B:B, A16, SUMMARY!A:A, "Y3S PARDO"), 0)</f>
        <v>0</v>
      </c>
      <c r="L16" s="24">
        <f>IFERROR(SUMIFS(SUMMARY!D:D, SUMMARY!B:B, A16, SUMMARY!A:A, "LAPU-LAPU"), 0)</f>
        <v>0</v>
      </c>
      <c r="M16" s="24">
        <f>IFERROR(SUMIFS(SUMMARY!D:D, SUMMARY!B:B, A16, SUMMARY!A:A, "BACAYAN"), 0)</f>
        <v>0</v>
      </c>
      <c r="N16" s="24">
        <f>IFERROR(SUMIFS(SUMMARY!D:D, SUMMARY!B:B, A16, SUMMARY!A:A, "SAN FERNANDO MB"), 0)</f>
        <v>0</v>
      </c>
      <c r="O16" s="24">
        <f>IFERROR(SUMIFS(SUMMARY!D:D, SUMMARY!B:B, A16, SUMMARY!A:A, "Y3S SAN FERNANDO"), 0)</f>
        <v>15</v>
      </c>
      <c r="P16" s="24">
        <f>IFERROR(SUMIFS(SUMMARY!D:D, SUMMARY!B:B, A16, SUMMARY!A:A, "LILOAN"), 0)</f>
        <v>0</v>
      </c>
      <c r="Q16" s="24">
        <f>IFERROR(SUMIFS(SUMMARY!D:D, SUMMARY!B:B, A16, SUMMARY!A:A, "CORDOVA MB"), 0)</f>
        <v>0</v>
      </c>
      <c r="R16" s="24">
        <f>IFERROR(SUMIFS(SUMMARY!D:D, SUMMARY!B:B, A16, SUMMARY!A:A, "Y3S CORDOVA"), 0)</f>
        <v>0</v>
      </c>
      <c r="S16" s="24">
        <f>IFERROR(SUMIFS(SUMMARY!D:D, SUMMARY!B:B, A16, SUMMARY!A:A, "CLARIN"), 0)</f>
        <v>0</v>
      </c>
      <c r="T16" s="24">
        <f>IFERROR(SUMIFS(SUMMARY!D:D, SUMMARY!B:B, A16, SUMMARY!A:A, "TOLEDO"), 0)</f>
        <v>0</v>
      </c>
      <c r="U16" s="24">
        <f>IFERROR(SUMIFS(SUMMARY!D:D, SUMMARY!B:B, A16, SUMMARY!A:A, "UBAY"), 0)</f>
        <v>0</v>
      </c>
      <c r="V16" s="24">
        <f>IFERROR(SUMIFS(SUMMARY!D:D, SUMMARY!B:B, A16, SUMMARY!A:A, "CARMEN"), 0)</f>
        <v>0</v>
      </c>
      <c r="W16" s="24">
        <f>IFERROR(SUMIFS(SUMMARY!D:D, SUMMARY!B:B, A16, SUMMARY!A:A, "TUBIGON"), 0)</f>
        <v>10</v>
      </c>
      <c r="X16" s="24">
        <f>IFERROR(SUMIFS(SUMMARY!D:D, SUMMARY!B:B, A16, SUMMARY!A:A, "TALIBON"), 0)</f>
        <v>0</v>
      </c>
      <c r="Y16" s="24">
        <f>IFERROR(SUMIFS(SUMMARY!D:D, SUMMARY!B:B, A16, SUMMARY!A:A, "BOGO"), 0)</f>
        <v>0</v>
      </c>
      <c r="Z16" s="24">
        <f>IFERROR(SUMIFS(SUMMARY!D:D, SUMMARY!B:B, A16, SUMMARY!A:A, "BALAMBAN"), 0)</f>
        <v>0</v>
      </c>
      <c r="AA16" s="24">
        <f>IFERROR(SUMIFS(SUMMARY!D:D, SUMMARY!B:B, A16, SUMMARY!A:A, "Y3S BARILI"), 0)</f>
        <v>0</v>
      </c>
      <c r="AB16" s="24">
        <f>IFERROR(SUMIFS(SUMMARY!D:D, SUMMARY!B:B, A16, SUMMARY!A:A, "BARILI MB"), 0)</f>
        <v>0</v>
      </c>
      <c r="AC16" s="24">
        <f>IFERROR(SUMIFS(SUMMARY!D:D, SUMMARY!B:B, A16, SUMMARY!A:A, "SIERRA BULLONES"), 0)</f>
        <v>0</v>
      </c>
      <c r="AD16" s="24">
        <f>IFERROR(SUMIFS(SUMMARY!D:D, SUMMARY!B:B, A16, SUMMARY!A:A, "PITOGO"), 0)</f>
        <v>0</v>
      </c>
      <c r="AE16" s="24">
        <f>IFERROR(SUMIFS(SUMMARY!D:D, SUMMARY!B:B, A16, SUMMARY!A:A, "TAYUD CONSOLACION"), 0)</f>
        <v>0</v>
      </c>
      <c r="AF16" s="24">
        <f>IFERROR(SUMIFS(SUMMARY!D:D, SUMMARY!B:B, A16, SUMMARY!A:A, "PINAMUNGAJAN"), 0)</f>
        <v>10</v>
      </c>
      <c r="AG16" s="24">
        <f>IFERROR(SUMIFS(SUMMARY!D:D, SUMMARY!B:B, A16, SUMMARY!A:A, "CANDIJAY"), 0)</f>
        <v>0</v>
      </c>
      <c r="AH16" s="24">
        <f>IFERROR(SUMIFS(SUMMARY!D:D, SUMMARY!B:B, A16, SUMMARY!A:A, "YATI LILOAN"), 0)</f>
        <v>0</v>
      </c>
      <c r="AI16" s="27">
        <f>IFERROR(SUMIFS(SUMMARY!D:D, SUMMARY!B:B, A16, SUMMARY!A:A, "CAMOTES"), 0)</f>
        <v>0</v>
      </c>
      <c r="AJ16" s="28">
        <f t="shared" si="1"/>
        <v>45</v>
      </c>
    </row>
    <row r="17" ht="15.75" customHeight="1">
      <c r="A17" s="23" t="s">
        <v>600</v>
      </c>
      <c r="B17" s="29" t="s">
        <v>601</v>
      </c>
      <c r="C17" s="24" t="s">
        <v>21</v>
      </c>
      <c r="D17" s="25">
        <f>IFERROR(SUMIFS(SUMMARY!D:D, SUMMARY!B:B, A17, SUMMARY!A:A, "ADMIN"), 0)</f>
        <v>0</v>
      </c>
      <c r="E17" s="25">
        <f>IFERROR(SUMIFS(SUMMARY!D:D, SUMMARY!B:B, A17, SUMMARY!A:A, "WAREHOUSE"), 0)</f>
        <v>0</v>
      </c>
      <c r="F17" s="24">
        <f>IFERROR(SUMIFS(SUMMARY!D:D, SUMMARY!B:B, A17, SUMMARY!A:A, "LAGTANG"), 0)</f>
        <v>0</v>
      </c>
      <c r="G17" s="26">
        <f>IFERROR(SUMIFS(SUMMARY!D:D, SUMMARY!B:B, A17, SUMMARY!A:A, "V-RAMA"), 0)</f>
        <v>0</v>
      </c>
      <c r="H17" s="24">
        <f>IFERROR(SUMIFS(SUMMARY!D:D, SUMMARY!B:B, A17, SUMMARY!A:A, "BULACAO"), 0)</f>
        <v>0</v>
      </c>
      <c r="I17" s="24">
        <f>IFERROR(SUMIFS(SUMMARY!D:D, SUMMARY!B:B, A17, SUMMARY!A:A, "Y3S TALISAY"), 0)</f>
        <v>0</v>
      </c>
      <c r="J17" s="24">
        <f>IFERROR(SUMIFS(SUMMARY!D:D, SUMMARY!B:B, A17, SUMMARY!A:A, "MINGLANILLA"), 0)</f>
        <v>0</v>
      </c>
      <c r="K17" s="24">
        <f>IFERROR(SUMIFS(SUMMARY!D:D, SUMMARY!B:B, A17, SUMMARY!A:A, "Y3S PARDO"), 0)</f>
        <v>0</v>
      </c>
      <c r="L17" s="24">
        <f>IFERROR(SUMIFS(SUMMARY!D:D, SUMMARY!B:B, A17, SUMMARY!A:A, "LAPU-LAPU"), 0)</f>
        <v>0</v>
      </c>
      <c r="M17" s="24">
        <f>IFERROR(SUMIFS(SUMMARY!D:D, SUMMARY!B:B, A17, SUMMARY!A:A, "BACAYAN"), 0)</f>
        <v>0</v>
      </c>
      <c r="N17" s="24">
        <f>IFERROR(SUMIFS(SUMMARY!D:D, SUMMARY!B:B, A17, SUMMARY!A:A, "SAN FERNANDO MB"), 0)</f>
        <v>0</v>
      </c>
      <c r="O17" s="24">
        <f>IFERROR(SUMIFS(SUMMARY!D:D, SUMMARY!B:B, A17, SUMMARY!A:A, "Y3S SAN FERNANDO"), 0)</f>
        <v>0</v>
      </c>
      <c r="P17" s="24">
        <f>IFERROR(SUMIFS(SUMMARY!D:D, SUMMARY!B:B, A17, SUMMARY!A:A, "LILOAN"), 0)</f>
        <v>10</v>
      </c>
      <c r="Q17" s="24">
        <f>IFERROR(SUMIFS(SUMMARY!D:D, SUMMARY!B:B, A17, SUMMARY!A:A, "CORDOVA MB"), 0)</f>
        <v>0</v>
      </c>
      <c r="R17" s="24">
        <f>IFERROR(SUMIFS(SUMMARY!D:D, SUMMARY!B:B, A17, SUMMARY!A:A, "Y3S CORDOVA"), 0)</f>
        <v>0</v>
      </c>
      <c r="S17" s="24">
        <f>IFERROR(SUMIFS(SUMMARY!D:D, SUMMARY!B:B, A17, SUMMARY!A:A, "CLARIN"), 0)</f>
        <v>0</v>
      </c>
      <c r="T17" s="24">
        <f>IFERROR(SUMIFS(SUMMARY!D:D, SUMMARY!B:B, A17, SUMMARY!A:A, "TOLEDO"), 0)</f>
        <v>0</v>
      </c>
      <c r="U17" s="24">
        <f>IFERROR(SUMIFS(SUMMARY!D:D, SUMMARY!B:B, A17, SUMMARY!A:A, "UBAY"), 0)</f>
        <v>0</v>
      </c>
      <c r="V17" s="24">
        <f>IFERROR(SUMIFS(SUMMARY!D:D, SUMMARY!B:B, A17, SUMMARY!A:A, "CARMEN"), 0)</f>
        <v>0</v>
      </c>
      <c r="W17" s="24">
        <f>IFERROR(SUMIFS(SUMMARY!D:D, SUMMARY!B:B, A17, SUMMARY!A:A, "TUBIGON"), 0)</f>
        <v>0</v>
      </c>
      <c r="X17" s="24">
        <f>IFERROR(SUMIFS(SUMMARY!D:D, SUMMARY!B:B, A17, SUMMARY!A:A, "TALIBON"), 0)</f>
        <v>0</v>
      </c>
      <c r="Y17" s="24">
        <f>IFERROR(SUMIFS(SUMMARY!D:D, SUMMARY!B:B, A17, SUMMARY!A:A, "BOGO"), 0)</f>
        <v>0</v>
      </c>
      <c r="Z17" s="24">
        <f>IFERROR(SUMIFS(SUMMARY!D:D, SUMMARY!B:B, A17, SUMMARY!A:A, "BALAMBAN"), 0)</f>
        <v>0</v>
      </c>
      <c r="AA17" s="24">
        <f>IFERROR(SUMIFS(SUMMARY!D:D, SUMMARY!B:B, A17, SUMMARY!A:A, "Y3S BARILI"), 0)</f>
        <v>0</v>
      </c>
      <c r="AB17" s="24">
        <f>IFERROR(SUMIFS(SUMMARY!D:D, SUMMARY!B:B, A17, SUMMARY!A:A, "BARILI MB"), 0)</f>
        <v>0</v>
      </c>
      <c r="AC17" s="24">
        <f>IFERROR(SUMIFS(SUMMARY!D:D, SUMMARY!B:B, A17, SUMMARY!A:A, "SIERRA BULLONES"), 0)</f>
        <v>0</v>
      </c>
      <c r="AD17" s="24">
        <f>IFERROR(SUMIFS(SUMMARY!D:D, SUMMARY!B:B, A17, SUMMARY!A:A, "PITOGO"), 0)</f>
        <v>0</v>
      </c>
      <c r="AE17" s="24">
        <f>IFERROR(SUMIFS(SUMMARY!D:D, SUMMARY!B:B, A17, SUMMARY!A:A, "TAYUD CONSOLACION"), 0)</f>
        <v>0</v>
      </c>
      <c r="AF17" s="24">
        <f>IFERROR(SUMIFS(SUMMARY!D:D, SUMMARY!B:B, A17, SUMMARY!A:A, "PINAMUNGAJAN"), 0)</f>
        <v>0</v>
      </c>
      <c r="AG17" s="24">
        <f>IFERROR(SUMIFS(SUMMARY!D:D, SUMMARY!B:B, A17, SUMMARY!A:A, "CANDIJAY"), 0)</f>
        <v>0</v>
      </c>
      <c r="AH17" s="24">
        <f>IFERROR(SUMIFS(SUMMARY!D:D, SUMMARY!B:B, A17, SUMMARY!A:A, "YATI LILOAN"), 0)</f>
        <v>0</v>
      </c>
      <c r="AI17" s="27">
        <f>IFERROR(SUMIFS(SUMMARY!D:D, SUMMARY!B:B, A17, SUMMARY!A:A, "CAMOTES"), 0)</f>
        <v>0</v>
      </c>
      <c r="AJ17" s="28">
        <f t="shared" si="1"/>
        <v>10</v>
      </c>
    </row>
    <row r="18" ht="15.75" customHeight="1">
      <c r="A18" s="23" t="s">
        <v>602</v>
      </c>
      <c r="B18" s="29" t="s">
        <v>603</v>
      </c>
      <c r="C18" s="24" t="s">
        <v>21</v>
      </c>
      <c r="D18" s="25">
        <f>IFERROR(SUMIFS(SUMMARY!D:D, SUMMARY!B:B, A18, SUMMARY!A:A, "ADMIN"), 0)</f>
        <v>0</v>
      </c>
      <c r="E18" s="25">
        <f>IFERROR(SUMIFS(SUMMARY!D:D, SUMMARY!B:B, A18, SUMMARY!A:A, "WAREHOUSE"), 0)</f>
        <v>0</v>
      </c>
      <c r="F18" s="24">
        <f>IFERROR(SUMIFS(SUMMARY!D:D, SUMMARY!B:B, A18, SUMMARY!A:A, "LAGTANG"), 0)</f>
        <v>0</v>
      </c>
      <c r="G18" s="26">
        <f>IFERROR(SUMIFS(SUMMARY!D:D, SUMMARY!B:B, A18, SUMMARY!A:A, "V-RAMA"), 0)</f>
        <v>0</v>
      </c>
      <c r="H18" s="24">
        <f>IFERROR(SUMIFS(SUMMARY!D:D, SUMMARY!B:B, A18, SUMMARY!A:A, "BULACAO"), 0)</f>
        <v>0</v>
      </c>
      <c r="I18" s="24">
        <f>IFERROR(SUMIFS(SUMMARY!D:D, SUMMARY!B:B, A18, SUMMARY!A:A, "Y3S TALISAY"), 0)</f>
        <v>0</v>
      </c>
      <c r="J18" s="24">
        <f>IFERROR(SUMIFS(SUMMARY!D:D, SUMMARY!B:B, A18, SUMMARY!A:A, "MINGLANILLA"), 0)</f>
        <v>0</v>
      </c>
      <c r="K18" s="24">
        <f>IFERROR(SUMIFS(SUMMARY!D:D, SUMMARY!B:B, A18, SUMMARY!A:A, "Y3S PARDO"), 0)</f>
        <v>0</v>
      </c>
      <c r="L18" s="24">
        <f>IFERROR(SUMIFS(SUMMARY!D:D, SUMMARY!B:B, A18, SUMMARY!A:A, "LAPU-LAPU"), 0)</f>
        <v>0</v>
      </c>
      <c r="M18" s="24">
        <f>IFERROR(SUMIFS(SUMMARY!D:D, SUMMARY!B:B, A18, SUMMARY!A:A, "BACAYAN"), 0)</f>
        <v>0</v>
      </c>
      <c r="N18" s="24">
        <f>IFERROR(SUMIFS(SUMMARY!D:D, SUMMARY!B:B, A18, SUMMARY!A:A, "SAN FERNANDO MB"), 0)</f>
        <v>0</v>
      </c>
      <c r="O18" s="24">
        <f>IFERROR(SUMIFS(SUMMARY!D:D, SUMMARY!B:B, A18, SUMMARY!A:A, "Y3S SAN FERNANDO"), 0)</f>
        <v>10</v>
      </c>
      <c r="P18" s="24">
        <f>IFERROR(SUMIFS(SUMMARY!D:D, SUMMARY!B:B, A18, SUMMARY!A:A, "LILOAN"), 0)</f>
        <v>10</v>
      </c>
      <c r="Q18" s="24">
        <f>IFERROR(SUMIFS(SUMMARY!D:D, SUMMARY!B:B, A18, SUMMARY!A:A, "CORDOVA MB"), 0)</f>
        <v>0</v>
      </c>
      <c r="R18" s="24">
        <f>IFERROR(SUMIFS(SUMMARY!D:D, SUMMARY!B:B, A18, SUMMARY!A:A, "Y3S CORDOVA"), 0)</f>
        <v>0</v>
      </c>
      <c r="S18" s="24">
        <f>IFERROR(SUMIFS(SUMMARY!D:D, SUMMARY!B:B, A18, SUMMARY!A:A, "CLARIN"), 0)</f>
        <v>0</v>
      </c>
      <c r="T18" s="24">
        <f>IFERROR(SUMIFS(SUMMARY!D:D, SUMMARY!B:B, A18, SUMMARY!A:A, "TOLEDO"), 0)</f>
        <v>0</v>
      </c>
      <c r="U18" s="24">
        <f>IFERROR(SUMIFS(SUMMARY!D:D, SUMMARY!B:B, A18, SUMMARY!A:A, "UBAY"), 0)</f>
        <v>0</v>
      </c>
      <c r="V18" s="24">
        <f>IFERROR(SUMIFS(SUMMARY!D:D, SUMMARY!B:B, A18, SUMMARY!A:A, "CARMEN"), 0)</f>
        <v>0</v>
      </c>
      <c r="W18" s="24">
        <f>IFERROR(SUMIFS(SUMMARY!D:D, SUMMARY!B:B, A18, SUMMARY!A:A, "TUBIGON"), 0)</f>
        <v>0</v>
      </c>
      <c r="X18" s="24">
        <f>IFERROR(SUMIFS(SUMMARY!D:D, SUMMARY!B:B, A18, SUMMARY!A:A, "TALIBON"), 0)</f>
        <v>0</v>
      </c>
      <c r="Y18" s="24">
        <f>IFERROR(SUMIFS(SUMMARY!D:D, SUMMARY!B:B, A18, SUMMARY!A:A, "BOGO"), 0)</f>
        <v>0</v>
      </c>
      <c r="Z18" s="24">
        <f>IFERROR(SUMIFS(SUMMARY!D:D, SUMMARY!B:B, A18, SUMMARY!A:A, "BALAMBAN"), 0)</f>
        <v>0</v>
      </c>
      <c r="AA18" s="24">
        <f>IFERROR(SUMIFS(SUMMARY!D:D, SUMMARY!B:B, A18, SUMMARY!A:A, "Y3S BARILI"), 0)</f>
        <v>0</v>
      </c>
      <c r="AB18" s="24">
        <f>IFERROR(SUMIFS(SUMMARY!D:D, SUMMARY!B:B, A18, SUMMARY!A:A, "BARILI MB"), 0)</f>
        <v>0</v>
      </c>
      <c r="AC18" s="24">
        <f>IFERROR(SUMIFS(SUMMARY!D:D, SUMMARY!B:B, A18, SUMMARY!A:A, "SIERRA BULLONES"), 0)</f>
        <v>0</v>
      </c>
      <c r="AD18" s="24">
        <f>IFERROR(SUMIFS(SUMMARY!D:D, SUMMARY!B:B, A18, SUMMARY!A:A, "PITOGO"), 0)</f>
        <v>0</v>
      </c>
      <c r="AE18" s="24">
        <f>IFERROR(SUMIFS(SUMMARY!D:D, SUMMARY!B:B, A18, SUMMARY!A:A, "TAYUD CONSOLACION"), 0)</f>
        <v>0</v>
      </c>
      <c r="AF18" s="24">
        <f>IFERROR(SUMIFS(SUMMARY!D:D, SUMMARY!B:B, A18, SUMMARY!A:A, "PINAMUNGAJAN"), 0)</f>
        <v>0</v>
      </c>
      <c r="AG18" s="24">
        <f>IFERROR(SUMIFS(SUMMARY!D:D, SUMMARY!B:B, A18, SUMMARY!A:A, "CANDIJAY"), 0)</f>
        <v>0</v>
      </c>
      <c r="AH18" s="24">
        <f>IFERROR(SUMIFS(SUMMARY!D:D, SUMMARY!B:B, A18, SUMMARY!A:A, "YATI LILOAN"), 0)</f>
        <v>0</v>
      </c>
      <c r="AI18" s="27">
        <f>IFERROR(SUMIFS(SUMMARY!D:D, SUMMARY!B:B, A18, SUMMARY!A:A, "CAMOTES"), 0)</f>
        <v>0</v>
      </c>
      <c r="AJ18" s="28">
        <f t="shared" si="1"/>
        <v>20</v>
      </c>
    </row>
    <row r="19" ht="15.75" customHeight="1">
      <c r="A19" s="23" t="s">
        <v>604</v>
      </c>
      <c r="B19" s="29" t="s">
        <v>605</v>
      </c>
      <c r="C19" s="24" t="s">
        <v>21</v>
      </c>
      <c r="D19" s="25">
        <f>IFERROR(SUMIFS(SUMMARY!D:D, SUMMARY!B:B, A19, SUMMARY!A:A, "ADMIN"), 0)</f>
        <v>0</v>
      </c>
      <c r="E19" s="25">
        <f>IFERROR(SUMIFS(SUMMARY!D:D, SUMMARY!B:B, A19, SUMMARY!A:A, "WAREHOUSE"), 0)</f>
        <v>0</v>
      </c>
      <c r="F19" s="24">
        <f>IFERROR(SUMIFS(SUMMARY!D:D, SUMMARY!B:B, A19, SUMMARY!A:A, "LAGTANG"), 0)</f>
        <v>0</v>
      </c>
      <c r="G19" s="26">
        <f>IFERROR(SUMIFS(SUMMARY!D:D, SUMMARY!B:B, A19, SUMMARY!A:A, "V-RAMA"), 0)</f>
        <v>0</v>
      </c>
      <c r="H19" s="24">
        <f>IFERROR(SUMIFS(SUMMARY!D:D, SUMMARY!B:B, A19, SUMMARY!A:A, "BULACAO"), 0)</f>
        <v>0</v>
      </c>
      <c r="I19" s="24">
        <f>IFERROR(SUMIFS(SUMMARY!D:D, SUMMARY!B:B, A19, SUMMARY!A:A, "Y3S TALISAY"), 0)</f>
        <v>0</v>
      </c>
      <c r="J19" s="24">
        <f>IFERROR(SUMIFS(SUMMARY!D:D, SUMMARY!B:B, A19, SUMMARY!A:A, "MINGLANILLA"), 0)</f>
        <v>0</v>
      </c>
      <c r="K19" s="24">
        <f>IFERROR(SUMIFS(SUMMARY!D:D, SUMMARY!B:B, A19, SUMMARY!A:A, "Y3S PARDO"), 0)</f>
        <v>0</v>
      </c>
      <c r="L19" s="24">
        <f>IFERROR(SUMIFS(SUMMARY!D:D, SUMMARY!B:B, A19, SUMMARY!A:A, "LAPU-LAPU"), 0)</f>
        <v>0</v>
      </c>
      <c r="M19" s="24">
        <f>IFERROR(SUMIFS(SUMMARY!D:D, SUMMARY!B:B, A19, SUMMARY!A:A, "BACAYAN"), 0)</f>
        <v>0</v>
      </c>
      <c r="N19" s="24">
        <f>IFERROR(SUMIFS(SUMMARY!D:D, SUMMARY!B:B, A19, SUMMARY!A:A, "SAN FERNANDO MB"), 0)</f>
        <v>0</v>
      </c>
      <c r="O19" s="24">
        <f>IFERROR(SUMIFS(SUMMARY!D:D, SUMMARY!B:B, A19, SUMMARY!A:A, "Y3S SAN FERNANDO"), 0)</f>
        <v>0</v>
      </c>
      <c r="P19" s="24">
        <f>IFERROR(SUMIFS(SUMMARY!D:D, SUMMARY!B:B, A19, SUMMARY!A:A, "LILOAN"), 0)</f>
        <v>0</v>
      </c>
      <c r="Q19" s="24">
        <f>IFERROR(SUMIFS(SUMMARY!D:D, SUMMARY!B:B, A19, SUMMARY!A:A, "CORDOVA MB"), 0)</f>
        <v>0</v>
      </c>
      <c r="R19" s="24">
        <f>IFERROR(SUMIFS(SUMMARY!D:D, SUMMARY!B:B, A19, SUMMARY!A:A, "Y3S CORDOVA"), 0)</f>
        <v>0</v>
      </c>
      <c r="S19" s="24">
        <f>IFERROR(SUMIFS(SUMMARY!D:D, SUMMARY!B:B, A19, SUMMARY!A:A, "CLARIN"), 0)</f>
        <v>0</v>
      </c>
      <c r="T19" s="24">
        <f>IFERROR(SUMIFS(SUMMARY!D:D, SUMMARY!B:B, A19, SUMMARY!A:A, "TOLEDO"), 0)</f>
        <v>0</v>
      </c>
      <c r="U19" s="24">
        <f>IFERROR(SUMIFS(SUMMARY!D:D, SUMMARY!B:B, A19, SUMMARY!A:A, "UBAY"), 0)</f>
        <v>0</v>
      </c>
      <c r="V19" s="24">
        <f>IFERROR(SUMIFS(SUMMARY!D:D, SUMMARY!B:B, A19, SUMMARY!A:A, "CARMEN"), 0)</f>
        <v>0</v>
      </c>
      <c r="W19" s="24">
        <f>IFERROR(SUMIFS(SUMMARY!D:D, SUMMARY!B:B, A19, SUMMARY!A:A, "TUBIGON"), 0)</f>
        <v>0</v>
      </c>
      <c r="X19" s="24">
        <f>IFERROR(SUMIFS(SUMMARY!D:D, SUMMARY!B:B, A19, SUMMARY!A:A, "TALIBON"), 0)</f>
        <v>0</v>
      </c>
      <c r="Y19" s="24">
        <f>IFERROR(SUMIFS(SUMMARY!D:D, SUMMARY!B:B, A19, SUMMARY!A:A, "BOGO"), 0)</f>
        <v>0</v>
      </c>
      <c r="Z19" s="24">
        <f>IFERROR(SUMIFS(SUMMARY!D:D, SUMMARY!B:B, A19, SUMMARY!A:A, "BALAMBAN"), 0)</f>
        <v>0</v>
      </c>
      <c r="AA19" s="24">
        <f>IFERROR(SUMIFS(SUMMARY!D:D, SUMMARY!B:B, A19, SUMMARY!A:A, "Y3S BARILI"), 0)</f>
        <v>0</v>
      </c>
      <c r="AB19" s="24">
        <f>IFERROR(SUMIFS(SUMMARY!D:D, SUMMARY!B:B, A19, SUMMARY!A:A, "BARILI MB"), 0)</f>
        <v>0</v>
      </c>
      <c r="AC19" s="24">
        <f>IFERROR(SUMIFS(SUMMARY!D:D, SUMMARY!B:B, A19, SUMMARY!A:A, "SIERRA BULLONES"), 0)</f>
        <v>0</v>
      </c>
      <c r="AD19" s="24">
        <f>IFERROR(SUMIFS(SUMMARY!D:D, SUMMARY!B:B, A19, SUMMARY!A:A, "PITOGO"), 0)</f>
        <v>0</v>
      </c>
      <c r="AE19" s="24">
        <f>IFERROR(SUMIFS(SUMMARY!D:D, SUMMARY!B:B, A19, SUMMARY!A:A, "TAYUD CONSOLACION"), 0)</f>
        <v>0</v>
      </c>
      <c r="AF19" s="24">
        <f>IFERROR(SUMIFS(SUMMARY!D:D, SUMMARY!B:B, A19, SUMMARY!A:A, "PINAMUNGAJAN"), 0)</f>
        <v>0</v>
      </c>
      <c r="AG19" s="24">
        <f>IFERROR(SUMIFS(SUMMARY!D:D, SUMMARY!B:B, A19, SUMMARY!A:A, "CANDIJAY"), 0)</f>
        <v>0</v>
      </c>
      <c r="AH19" s="24">
        <f>IFERROR(SUMIFS(SUMMARY!D:D, SUMMARY!B:B, A19, SUMMARY!A:A, "YATI LILOAN"), 0)</f>
        <v>0</v>
      </c>
      <c r="AI19" s="27">
        <f>IFERROR(SUMIFS(SUMMARY!D:D, SUMMARY!B:B, A19, SUMMARY!A:A, "CAMOTES"), 0)</f>
        <v>0</v>
      </c>
      <c r="AJ19" s="28">
        <f t="shared" si="1"/>
        <v>0</v>
      </c>
    </row>
    <row r="20" ht="15.75" customHeight="1">
      <c r="A20" s="23" t="s">
        <v>606</v>
      </c>
      <c r="B20" s="23" t="s">
        <v>607</v>
      </c>
      <c r="C20" s="24" t="s">
        <v>21</v>
      </c>
      <c r="D20" s="25">
        <f>IFERROR(SUMIFS(SUMMARY!D:D, SUMMARY!B:B, A20, SUMMARY!A:A, "ADMIN"), 0)</f>
        <v>1</v>
      </c>
      <c r="E20" s="25">
        <f>IFERROR(SUMIFS(SUMMARY!D:D, SUMMARY!B:B, A20, SUMMARY!A:A, "WAREHOUSE"), 0)</f>
        <v>0</v>
      </c>
      <c r="F20" s="24">
        <f>IFERROR(SUMIFS(SUMMARY!D:D, SUMMARY!B:B, A20, SUMMARY!A:A, "LAGTANG"), 0)</f>
        <v>6</v>
      </c>
      <c r="G20" s="26">
        <f>IFERROR(SUMIFS(SUMMARY!D:D, SUMMARY!B:B, A20, SUMMARY!A:A, "V-RAMA"), 0)</f>
        <v>6</v>
      </c>
      <c r="H20" s="24">
        <f>IFERROR(SUMIFS(SUMMARY!D:D, SUMMARY!B:B, A20, SUMMARY!A:A, "BULACAO"), 0)</f>
        <v>5</v>
      </c>
      <c r="I20" s="24">
        <f>IFERROR(SUMIFS(SUMMARY!D:D, SUMMARY!B:B, A20, SUMMARY!A:A, "Y3S TALISAY"), 0)</f>
        <v>0</v>
      </c>
      <c r="J20" s="24">
        <f>IFERROR(SUMIFS(SUMMARY!D:D, SUMMARY!B:B, A20, SUMMARY!A:A, "MINGLANILLA"), 0)</f>
        <v>6</v>
      </c>
      <c r="K20" s="24">
        <f>IFERROR(SUMIFS(SUMMARY!D:D, SUMMARY!B:B, A20, SUMMARY!A:A, "Y3S PARDO"), 0)</f>
        <v>9</v>
      </c>
      <c r="L20" s="24">
        <f>IFERROR(SUMIFS(SUMMARY!D:D, SUMMARY!B:B, A20, SUMMARY!A:A, "LAPU-LAPU"), 0)</f>
        <v>0</v>
      </c>
      <c r="M20" s="24">
        <f>IFERROR(SUMIFS(SUMMARY!D:D, SUMMARY!B:B, A20, SUMMARY!A:A, "BACAYAN"), 0)</f>
        <v>5</v>
      </c>
      <c r="N20" s="24">
        <f>IFERROR(SUMIFS(SUMMARY!D:D, SUMMARY!B:B, A20, SUMMARY!A:A, "SAN FERNANDO MB"), 0)</f>
        <v>3</v>
      </c>
      <c r="O20" s="24">
        <f>IFERROR(SUMIFS(SUMMARY!D:D, SUMMARY!B:B, A20, SUMMARY!A:A, "Y3S SAN FERNANDO"), 0)</f>
        <v>5</v>
      </c>
      <c r="P20" s="24">
        <f>IFERROR(SUMIFS(SUMMARY!D:D, SUMMARY!B:B, A20, SUMMARY!A:A, "LILOAN"), 0)</f>
        <v>6</v>
      </c>
      <c r="Q20" s="24">
        <f>IFERROR(SUMIFS(SUMMARY!D:D, SUMMARY!B:B, A20, SUMMARY!A:A, "CORDOVA MB"), 0)</f>
        <v>0</v>
      </c>
      <c r="R20" s="24">
        <f>IFERROR(SUMIFS(SUMMARY!D:D, SUMMARY!B:B, A20, SUMMARY!A:A, "Y3S CORDOVA"), 0)</f>
        <v>13</v>
      </c>
      <c r="S20" s="24">
        <f>IFERROR(SUMIFS(SUMMARY!D:D, SUMMARY!B:B, A20, SUMMARY!A:A, "CLARIN"), 0)</f>
        <v>12</v>
      </c>
      <c r="T20" s="24">
        <f>IFERROR(SUMIFS(SUMMARY!D:D, SUMMARY!B:B, A20, SUMMARY!A:A, "TOLEDO"), 0)</f>
        <v>0</v>
      </c>
      <c r="U20" s="24">
        <f>IFERROR(SUMIFS(SUMMARY!D:D, SUMMARY!B:B, A20, SUMMARY!A:A, "UBAY"), 0)</f>
        <v>12</v>
      </c>
      <c r="V20" s="24">
        <f>IFERROR(SUMIFS(SUMMARY!D:D, SUMMARY!B:B, A20, SUMMARY!A:A, "CARMEN"), 0)</f>
        <v>20</v>
      </c>
      <c r="W20" s="24">
        <f>IFERROR(SUMIFS(SUMMARY!D:D, SUMMARY!B:B, A20, SUMMARY!A:A, "TUBIGON"), 0)</f>
        <v>12</v>
      </c>
      <c r="X20" s="24">
        <f>IFERROR(SUMIFS(SUMMARY!D:D, SUMMARY!B:B, A20, SUMMARY!A:A, "TALIBON"), 0)</f>
        <v>6</v>
      </c>
      <c r="Y20" s="24">
        <f>IFERROR(SUMIFS(SUMMARY!D:D, SUMMARY!B:B, A20, SUMMARY!A:A, "BOGO"), 0)</f>
        <v>0</v>
      </c>
      <c r="Z20" s="24">
        <f>IFERROR(SUMIFS(SUMMARY!D:D, SUMMARY!B:B, A20, SUMMARY!A:A, "BALAMBAN"), 0)</f>
        <v>7</v>
      </c>
      <c r="AA20" s="24">
        <f>IFERROR(SUMIFS(SUMMARY!D:D, SUMMARY!B:B, A20, SUMMARY!A:A, "Y3S BARILI"), 0)</f>
        <v>0</v>
      </c>
      <c r="AB20" s="24">
        <f>IFERROR(SUMIFS(SUMMARY!D:D, SUMMARY!B:B, A20, SUMMARY!A:A, "BARILI MB"), 0)</f>
        <v>6</v>
      </c>
      <c r="AC20" s="24">
        <f>IFERROR(SUMIFS(SUMMARY!D:D, SUMMARY!B:B, A20, SUMMARY!A:A, "SIERRA BULLONES"), 0)</f>
        <v>6</v>
      </c>
      <c r="AD20" s="24">
        <f>IFERROR(SUMIFS(SUMMARY!D:D, SUMMARY!B:B, A20, SUMMARY!A:A, "PITOGO"), 0)</f>
        <v>5</v>
      </c>
      <c r="AE20" s="24">
        <f>IFERROR(SUMIFS(SUMMARY!D:D, SUMMARY!B:B, A20, SUMMARY!A:A, "TAYUD CONSOLACION"), 0)</f>
        <v>0</v>
      </c>
      <c r="AF20" s="24">
        <f>IFERROR(SUMIFS(SUMMARY!D:D, SUMMARY!B:B, A20, SUMMARY!A:A, "PINAMUNGAJAN"), 0)</f>
        <v>6</v>
      </c>
      <c r="AG20" s="24">
        <f>IFERROR(SUMIFS(SUMMARY!D:D, SUMMARY!B:B, A20, SUMMARY!A:A, "CANDIJAY"), 0)</f>
        <v>8</v>
      </c>
      <c r="AH20" s="24">
        <f>IFERROR(SUMIFS(SUMMARY!D:D, SUMMARY!B:B, A20, SUMMARY!A:A, "YATI LILOAN"), 0)</f>
        <v>0</v>
      </c>
      <c r="AI20" s="27">
        <f>IFERROR(SUMIFS(SUMMARY!D:D, SUMMARY!B:B, A20, SUMMARY!A:A, "CAMOTES"), 0)</f>
        <v>0</v>
      </c>
      <c r="AJ20" s="28">
        <f t="shared" si="1"/>
        <v>165</v>
      </c>
    </row>
    <row r="21" ht="15.75" customHeight="1">
      <c r="A21" s="23" t="s">
        <v>608</v>
      </c>
      <c r="B21" s="23" t="s">
        <v>609</v>
      </c>
      <c r="C21" s="24" t="s">
        <v>21</v>
      </c>
      <c r="D21" s="25">
        <f>IFERROR(SUMIFS(SUMMARY!D:D, SUMMARY!B:B, A21, SUMMARY!A:A, "ADMIN"), 0)</f>
        <v>1</v>
      </c>
      <c r="E21" s="25">
        <f>IFERROR(SUMIFS(SUMMARY!D:D, SUMMARY!B:B, A21, SUMMARY!A:A, "WAREHOUSE"), 0)</f>
        <v>0</v>
      </c>
      <c r="F21" s="24">
        <f>IFERROR(SUMIFS(SUMMARY!D:D, SUMMARY!B:B, A21, SUMMARY!A:A, "LAGTANG"), 0)</f>
        <v>5</v>
      </c>
      <c r="G21" s="26">
        <f>IFERROR(SUMIFS(SUMMARY!D:D, SUMMARY!B:B, A21, SUMMARY!A:A, "V-RAMA"), 0)</f>
        <v>0</v>
      </c>
      <c r="H21" s="24">
        <f>IFERROR(SUMIFS(SUMMARY!D:D, SUMMARY!B:B, A21, SUMMARY!A:A, "BULACAO"), 0)</f>
        <v>0</v>
      </c>
      <c r="I21" s="24">
        <f>IFERROR(SUMIFS(SUMMARY!D:D, SUMMARY!B:B, A21, SUMMARY!A:A, "Y3S TALISAY"), 0)</f>
        <v>2</v>
      </c>
      <c r="J21" s="24">
        <f>IFERROR(SUMIFS(SUMMARY!D:D, SUMMARY!B:B, A21, SUMMARY!A:A, "MINGLANILLA"), 0)</f>
        <v>0</v>
      </c>
      <c r="K21" s="24">
        <f>IFERROR(SUMIFS(SUMMARY!D:D, SUMMARY!B:B, A21, SUMMARY!A:A, "Y3S PARDO"), 0)</f>
        <v>2</v>
      </c>
      <c r="L21" s="24">
        <f>IFERROR(SUMIFS(SUMMARY!D:D, SUMMARY!B:B, A21, SUMMARY!A:A, "LAPU-LAPU"), 0)</f>
        <v>0</v>
      </c>
      <c r="M21" s="24">
        <f>IFERROR(SUMIFS(SUMMARY!D:D, SUMMARY!B:B, A21, SUMMARY!A:A, "BACAYAN"), 0)</f>
        <v>5</v>
      </c>
      <c r="N21" s="24">
        <f>IFERROR(SUMIFS(SUMMARY!D:D, SUMMARY!B:B, A21, SUMMARY!A:A, "SAN FERNANDO MB"), 0)</f>
        <v>0</v>
      </c>
      <c r="O21" s="24">
        <f>IFERROR(SUMIFS(SUMMARY!D:D, SUMMARY!B:B, A21, SUMMARY!A:A, "Y3S SAN FERNANDO"), 0)</f>
        <v>2</v>
      </c>
      <c r="P21" s="24">
        <f>IFERROR(SUMIFS(SUMMARY!D:D, SUMMARY!B:B, A21, SUMMARY!A:A, "LILOAN"), 0)</f>
        <v>0</v>
      </c>
      <c r="Q21" s="24">
        <f>IFERROR(SUMIFS(SUMMARY!D:D, SUMMARY!B:B, A21, SUMMARY!A:A, "CORDOVA MB"), 0)</f>
        <v>0</v>
      </c>
      <c r="R21" s="24">
        <f>IFERROR(SUMIFS(SUMMARY!D:D, SUMMARY!B:B, A21, SUMMARY!A:A, "Y3S CORDOVA"), 0)</f>
        <v>0</v>
      </c>
      <c r="S21" s="24">
        <f>IFERROR(SUMIFS(SUMMARY!D:D, SUMMARY!B:B, A21, SUMMARY!A:A, "CLARIN"), 0)</f>
        <v>0</v>
      </c>
      <c r="T21" s="24">
        <f>IFERROR(SUMIFS(SUMMARY!D:D, SUMMARY!B:B, A21, SUMMARY!A:A, "TOLEDO"), 0)</f>
        <v>0</v>
      </c>
      <c r="U21" s="24">
        <f>IFERROR(SUMIFS(SUMMARY!D:D, SUMMARY!B:B, A21, SUMMARY!A:A, "UBAY"), 0)</f>
        <v>0</v>
      </c>
      <c r="V21" s="24">
        <f>IFERROR(SUMIFS(SUMMARY!D:D, SUMMARY!B:B, A21, SUMMARY!A:A, "CARMEN"), 0)</f>
        <v>0</v>
      </c>
      <c r="W21" s="24">
        <f>IFERROR(SUMIFS(SUMMARY!D:D, SUMMARY!B:B, A21, SUMMARY!A:A, "TUBIGON"), 0)</f>
        <v>0</v>
      </c>
      <c r="X21" s="24">
        <f>IFERROR(SUMIFS(SUMMARY!D:D, SUMMARY!B:B, A21, SUMMARY!A:A, "TALIBON"), 0)</f>
        <v>0</v>
      </c>
      <c r="Y21" s="24">
        <f>IFERROR(SUMIFS(SUMMARY!D:D, SUMMARY!B:B, A21, SUMMARY!A:A, "BOGO"), 0)</f>
        <v>0</v>
      </c>
      <c r="Z21" s="24">
        <f>IFERROR(SUMIFS(SUMMARY!D:D, SUMMARY!B:B, A21, SUMMARY!A:A, "BALAMBAN"), 0)</f>
        <v>0</v>
      </c>
      <c r="AA21" s="24">
        <f>IFERROR(SUMIFS(SUMMARY!D:D, SUMMARY!B:B, A21, SUMMARY!A:A, "Y3S BARILI"), 0)</f>
        <v>0</v>
      </c>
      <c r="AB21" s="24">
        <f>IFERROR(SUMIFS(SUMMARY!D:D, SUMMARY!B:B, A21, SUMMARY!A:A, "BARILI MB"), 0)</f>
        <v>3</v>
      </c>
      <c r="AC21" s="24">
        <f>IFERROR(SUMIFS(SUMMARY!D:D, SUMMARY!B:B, A21, SUMMARY!A:A, "SIERRA BULLONES"), 0)</f>
        <v>2</v>
      </c>
      <c r="AD21" s="24">
        <f>IFERROR(SUMIFS(SUMMARY!D:D, SUMMARY!B:B, A21, SUMMARY!A:A, "PITOGO"), 0)</f>
        <v>0</v>
      </c>
      <c r="AE21" s="24">
        <f>IFERROR(SUMIFS(SUMMARY!D:D, SUMMARY!B:B, A21, SUMMARY!A:A, "TAYUD CONSOLACION"), 0)</f>
        <v>0</v>
      </c>
      <c r="AF21" s="24">
        <f>IFERROR(SUMIFS(SUMMARY!D:D, SUMMARY!B:B, A21, SUMMARY!A:A, "PINAMUNGAJAN"), 0)</f>
        <v>0</v>
      </c>
      <c r="AG21" s="24">
        <f>IFERROR(SUMIFS(SUMMARY!D:D, SUMMARY!B:B, A21, SUMMARY!A:A, "CANDIJAY"), 0)</f>
        <v>8</v>
      </c>
      <c r="AH21" s="24">
        <f>IFERROR(SUMIFS(SUMMARY!D:D, SUMMARY!B:B, A21, SUMMARY!A:A, "YATI LILOAN"), 0)</f>
        <v>0</v>
      </c>
      <c r="AI21" s="27">
        <f>IFERROR(SUMIFS(SUMMARY!D:D, SUMMARY!B:B, A21, SUMMARY!A:A, "CAMOTES"), 0)</f>
        <v>0</v>
      </c>
      <c r="AJ21" s="28">
        <f t="shared" si="1"/>
        <v>30</v>
      </c>
    </row>
    <row r="22" ht="15.75" customHeight="1">
      <c r="A22" s="23" t="s">
        <v>610</v>
      </c>
      <c r="B22" s="23" t="s">
        <v>611</v>
      </c>
      <c r="C22" s="24" t="s">
        <v>21</v>
      </c>
      <c r="D22" s="25">
        <f>IFERROR(SUMIFS(SUMMARY!D:D, SUMMARY!B:B, A22, SUMMARY!A:A, "ADMIN"), 0)</f>
        <v>0</v>
      </c>
      <c r="E22" s="25">
        <f>IFERROR(SUMIFS(SUMMARY!D:D, SUMMARY!B:B, A22, SUMMARY!A:A, "WAREHOUSE"), 0)</f>
        <v>0</v>
      </c>
      <c r="F22" s="24">
        <f>IFERROR(SUMIFS(SUMMARY!D:D, SUMMARY!B:B, A22, SUMMARY!A:A, "LAGTANG"), 0)</f>
        <v>0</v>
      </c>
      <c r="G22" s="26">
        <f>IFERROR(SUMIFS(SUMMARY!D:D, SUMMARY!B:B, A22, SUMMARY!A:A, "V-RAMA"), 0)</f>
        <v>1</v>
      </c>
      <c r="H22" s="24">
        <f>IFERROR(SUMIFS(SUMMARY!D:D, SUMMARY!B:B, A22, SUMMARY!A:A, "BULACAO"), 0)</f>
        <v>0</v>
      </c>
      <c r="I22" s="24">
        <f>IFERROR(SUMIFS(SUMMARY!D:D, SUMMARY!B:B, A22, SUMMARY!A:A, "Y3S TALISAY"), 0)</f>
        <v>0</v>
      </c>
      <c r="J22" s="24">
        <f>IFERROR(SUMIFS(SUMMARY!D:D, SUMMARY!B:B, A22, SUMMARY!A:A, "MINGLANILLA"), 0)</f>
        <v>0</v>
      </c>
      <c r="K22" s="24">
        <f>IFERROR(SUMIFS(SUMMARY!D:D, SUMMARY!B:B, A22, SUMMARY!A:A, "Y3S PARDO"), 0)</f>
        <v>0</v>
      </c>
      <c r="L22" s="24">
        <f>IFERROR(SUMIFS(SUMMARY!D:D, SUMMARY!B:B, A22, SUMMARY!A:A, "LAPU-LAPU"), 0)</f>
        <v>0</v>
      </c>
      <c r="M22" s="24">
        <f>IFERROR(SUMIFS(SUMMARY!D:D, SUMMARY!B:B, A22, SUMMARY!A:A, "BACAYAN"), 0)</f>
        <v>0</v>
      </c>
      <c r="N22" s="24">
        <f>IFERROR(SUMIFS(SUMMARY!D:D, SUMMARY!B:B, A22, SUMMARY!A:A, "SAN FERNANDO MB"), 0)</f>
        <v>0</v>
      </c>
      <c r="O22" s="24">
        <f>IFERROR(SUMIFS(SUMMARY!D:D, SUMMARY!B:B, A22, SUMMARY!A:A, "Y3S SAN FERNANDO"), 0)</f>
        <v>1</v>
      </c>
      <c r="P22" s="24">
        <f>IFERROR(SUMIFS(SUMMARY!D:D, SUMMARY!B:B, A22, SUMMARY!A:A, "LILOAN"), 0)</f>
        <v>0</v>
      </c>
      <c r="Q22" s="24">
        <f>IFERROR(SUMIFS(SUMMARY!D:D, SUMMARY!B:B, A22, SUMMARY!A:A, "CORDOVA MB"), 0)</f>
        <v>0</v>
      </c>
      <c r="R22" s="24">
        <f>IFERROR(SUMIFS(SUMMARY!D:D, SUMMARY!B:B, A22, SUMMARY!A:A, "Y3S CORDOVA"), 0)</f>
        <v>0</v>
      </c>
      <c r="S22" s="24">
        <f>IFERROR(SUMIFS(SUMMARY!D:D, SUMMARY!B:B, A22, SUMMARY!A:A, "CLARIN"), 0)</f>
        <v>0</v>
      </c>
      <c r="T22" s="24">
        <f>IFERROR(SUMIFS(SUMMARY!D:D, SUMMARY!B:B, A22, SUMMARY!A:A, "TOLEDO"), 0)</f>
        <v>0</v>
      </c>
      <c r="U22" s="24">
        <f>IFERROR(SUMIFS(SUMMARY!D:D, SUMMARY!B:B, A22, SUMMARY!A:A, "UBAY"), 0)</f>
        <v>1</v>
      </c>
      <c r="V22" s="24">
        <f>IFERROR(SUMIFS(SUMMARY!D:D, SUMMARY!B:B, A22, SUMMARY!A:A, "CARMEN"), 0)</f>
        <v>1</v>
      </c>
      <c r="W22" s="24">
        <f>IFERROR(SUMIFS(SUMMARY!D:D, SUMMARY!B:B, A22, SUMMARY!A:A, "TUBIGON"), 0)</f>
        <v>0</v>
      </c>
      <c r="X22" s="24">
        <f>IFERROR(SUMIFS(SUMMARY!D:D, SUMMARY!B:B, A22, SUMMARY!A:A, "TALIBON"), 0)</f>
        <v>0</v>
      </c>
      <c r="Y22" s="24">
        <f>IFERROR(SUMIFS(SUMMARY!D:D, SUMMARY!B:B, A22, SUMMARY!A:A, "BOGO"), 0)</f>
        <v>0</v>
      </c>
      <c r="Z22" s="24">
        <f>IFERROR(SUMIFS(SUMMARY!D:D, SUMMARY!B:B, A22, SUMMARY!A:A, "BALAMBAN"), 0)</f>
        <v>0</v>
      </c>
      <c r="AA22" s="24">
        <f>IFERROR(SUMIFS(SUMMARY!D:D, SUMMARY!B:B, A22, SUMMARY!A:A, "Y3S BARILI"), 0)</f>
        <v>1</v>
      </c>
      <c r="AB22" s="24">
        <f>IFERROR(SUMIFS(SUMMARY!D:D, SUMMARY!B:B, A22, SUMMARY!A:A, "BARILI MB"), 0)</f>
        <v>0</v>
      </c>
      <c r="AC22" s="24">
        <f>IFERROR(SUMIFS(SUMMARY!D:D, SUMMARY!B:B, A22, SUMMARY!A:A, "SIERRA BULLONES"), 0)</f>
        <v>0</v>
      </c>
      <c r="AD22" s="24">
        <f>IFERROR(SUMIFS(SUMMARY!D:D, SUMMARY!B:B, A22, SUMMARY!A:A, "PITOGO"), 0)</f>
        <v>0</v>
      </c>
      <c r="AE22" s="24">
        <f>IFERROR(SUMIFS(SUMMARY!D:D, SUMMARY!B:B, A22, SUMMARY!A:A, "TAYUD CONSOLACION"), 0)</f>
        <v>0</v>
      </c>
      <c r="AF22" s="24">
        <f>IFERROR(SUMIFS(SUMMARY!D:D, SUMMARY!B:B, A22, SUMMARY!A:A, "PINAMUNGAJAN"), 0)</f>
        <v>0</v>
      </c>
      <c r="AG22" s="24">
        <f>IFERROR(SUMIFS(SUMMARY!D:D, SUMMARY!B:B, A22, SUMMARY!A:A, "CANDIJAY"), 0)</f>
        <v>0</v>
      </c>
      <c r="AH22" s="24">
        <f>IFERROR(SUMIFS(SUMMARY!D:D, SUMMARY!B:B, A22, SUMMARY!A:A, "YATI LILOAN"), 0)</f>
        <v>0</v>
      </c>
      <c r="AI22" s="27">
        <f>IFERROR(SUMIFS(SUMMARY!D:D, SUMMARY!B:B, A22, SUMMARY!A:A, "CAMOTES"), 0)</f>
        <v>0</v>
      </c>
      <c r="AJ22" s="28">
        <f t="shared" si="1"/>
        <v>5</v>
      </c>
    </row>
    <row r="23" ht="15.75" customHeight="1">
      <c r="A23" s="23" t="s">
        <v>612</v>
      </c>
      <c r="B23" s="23" t="s">
        <v>613</v>
      </c>
      <c r="C23" s="24" t="s">
        <v>21</v>
      </c>
      <c r="D23" s="25">
        <f>IFERROR(SUMIFS(SUMMARY!D:D, SUMMARY!B:B, A23, SUMMARY!A:A, "ADMIN"), 0)</f>
        <v>0</v>
      </c>
      <c r="E23" s="25">
        <f>IFERROR(SUMIFS(SUMMARY!D:D, SUMMARY!B:B, A23, SUMMARY!A:A, "WAREHOUSE"), 0)</f>
        <v>0</v>
      </c>
      <c r="F23" s="24">
        <f>IFERROR(SUMIFS(SUMMARY!D:D, SUMMARY!B:B, A23, SUMMARY!A:A, "LAGTANG"), 0)</f>
        <v>0</v>
      </c>
      <c r="G23" s="26">
        <f>IFERROR(SUMIFS(SUMMARY!D:D, SUMMARY!B:B, A23, SUMMARY!A:A, "V-RAMA"), 0)</f>
        <v>0</v>
      </c>
      <c r="H23" s="24">
        <f>IFERROR(SUMIFS(SUMMARY!D:D, SUMMARY!B:B, A23, SUMMARY!A:A, "BULACAO"), 0)</f>
        <v>0</v>
      </c>
      <c r="I23" s="24">
        <f>IFERROR(SUMIFS(SUMMARY!D:D, SUMMARY!B:B, A23, SUMMARY!A:A, "Y3S TALISAY"), 0)</f>
        <v>0</v>
      </c>
      <c r="J23" s="24">
        <f>IFERROR(SUMIFS(SUMMARY!D:D, SUMMARY!B:B, A23, SUMMARY!A:A, "MINGLANILLA"), 0)</f>
        <v>0</v>
      </c>
      <c r="K23" s="24">
        <f>IFERROR(SUMIFS(SUMMARY!D:D, SUMMARY!B:B, A23, SUMMARY!A:A, "Y3S PARDO"), 0)</f>
        <v>0</v>
      </c>
      <c r="L23" s="24">
        <f>IFERROR(SUMIFS(SUMMARY!D:D, SUMMARY!B:B, A23, SUMMARY!A:A, "LAPU-LAPU"), 0)</f>
        <v>0</v>
      </c>
      <c r="M23" s="24">
        <f>IFERROR(SUMIFS(SUMMARY!D:D, SUMMARY!B:B, A23, SUMMARY!A:A, "BACAYAN"), 0)</f>
        <v>0</v>
      </c>
      <c r="N23" s="24">
        <f>IFERROR(SUMIFS(SUMMARY!D:D, SUMMARY!B:B, A23, SUMMARY!A:A, "SAN FERNANDO MB"), 0)</f>
        <v>0</v>
      </c>
      <c r="O23" s="24">
        <f>IFERROR(SUMIFS(SUMMARY!D:D, SUMMARY!B:B, A23, SUMMARY!A:A, "Y3S SAN FERNANDO"), 0)</f>
        <v>0</v>
      </c>
      <c r="P23" s="24">
        <f>IFERROR(SUMIFS(SUMMARY!D:D, SUMMARY!B:B, A23, SUMMARY!A:A, "LILOAN"), 0)</f>
        <v>0</v>
      </c>
      <c r="Q23" s="24">
        <f>IFERROR(SUMIFS(SUMMARY!D:D, SUMMARY!B:B, A23, SUMMARY!A:A, "CORDOVA MB"), 0)</f>
        <v>0</v>
      </c>
      <c r="R23" s="24">
        <f>IFERROR(SUMIFS(SUMMARY!D:D, SUMMARY!B:B, A23, SUMMARY!A:A, "Y3S CORDOVA"), 0)</f>
        <v>0</v>
      </c>
      <c r="S23" s="24">
        <f>IFERROR(SUMIFS(SUMMARY!D:D, SUMMARY!B:B, A23, SUMMARY!A:A, "CLARIN"), 0)</f>
        <v>0</v>
      </c>
      <c r="T23" s="24">
        <f>IFERROR(SUMIFS(SUMMARY!D:D, SUMMARY!B:B, A23, SUMMARY!A:A, "TOLEDO"), 0)</f>
        <v>0</v>
      </c>
      <c r="U23" s="24">
        <f>IFERROR(SUMIFS(SUMMARY!D:D, SUMMARY!B:B, A23, SUMMARY!A:A, "UBAY"), 0)</f>
        <v>0</v>
      </c>
      <c r="V23" s="24">
        <f>IFERROR(SUMIFS(SUMMARY!D:D, SUMMARY!B:B, A23, SUMMARY!A:A, "CARMEN"), 0)</f>
        <v>0</v>
      </c>
      <c r="W23" s="24">
        <f>IFERROR(SUMIFS(SUMMARY!D:D, SUMMARY!B:B, A23, SUMMARY!A:A, "TUBIGON"), 0)</f>
        <v>1</v>
      </c>
      <c r="X23" s="24">
        <f>IFERROR(SUMIFS(SUMMARY!D:D, SUMMARY!B:B, A23, SUMMARY!A:A, "TALIBON"), 0)</f>
        <v>0</v>
      </c>
      <c r="Y23" s="24">
        <f>IFERROR(SUMIFS(SUMMARY!D:D, SUMMARY!B:B, A23, SUMMARY!A:A, "BOGO"), 0)</f>
        <v>0</v>
      </c>
      <c r="Z23" s="24">
        <f>IFERROR(SUMIFS(SUMMARY!D:D, SUMMARY!B:B, A23, SUMMARY!A:A, "BALAMBAN"), 0)</f>
        <v>0</v>
      </c>
      <c r="AA23" s="24">
        <f>IFERROR(SUMIFS(SUMMARY!D:D, SUMMARY!B:B, A23, SUMMARY!A:A, "Y3S BARILI"), 0)</f>
        <v>0</v>
      </c>
      <c r="AB23" s="24">
        <f>IFERROR(SUMIFS(SUMMARY!D:D, SUMMARY!B:B, A23, SUMMARY!A:A, "BARILI MB"), 0)</f>
        <v>0</v>
      </c>
      <c r="AC23" s="24">
        <f>IFERROR(SUMIFS(SUMMARY!D:D, SUMMARY!B:B, A23, SUMMARY!A:A, "SIERRA BULLONES"), 0)</f>
        <v>0</v>
      </c>
      <c r="AD23" s="24">
        <f>IFERROR(SUMIFS(SUMMARY!D:D, SUMMARY!B:B, A23, SUMMARY!A:A, "PITOGO"), 0)</f>
        <v>0</v>
      </c>
      <c r="AE23" s="24">
        <f>IFERROR(SUMIFS(SUMMARY!D:D, SUMMARY!B:B, A23, SUMMARY!A:A, "TAYUD CONSOLACION"), 0)</f>
        <v>0</v>
      </c>
      <c r="AF23" s="24">
        <f>IFERROR(SUMIFS(SUMMARY!D:D, SUMMARY!B:B, A23, SUMMARY!A:A, "PINAMUNGAJAN"), 0)</f>
        <v>0</v>
      </c>
      <c r="AG23" s="24">
        <f>IFERROR(SUMIFS(SUMMARY!D:D, SUMMARY!B:B, A23, SUMMARY!A:A, "CANDIJAY"), 0)</f>
        <v>0</v>
      </c>
      <c r="AH23" s="24">
        <f>IFERROR(SUMIFS(SUMMARY!D:D, SUMMARY!B:B, A23, SUMMARY!A:A, "YATI LILOAN"), 0)</f>
        <v>0</v>
      </c>
      <c r="AI23" s="27">
        <f>IFERROR(SUMIFS(SUMMARY!D:D, SUMMARY!B:B, A23, SUMMARY!A:A, "CAMOTES"), 0)</f>
        <v>0</v>
      </c>
      <c r="AJ23" s="28">
        <f t="shared" si="1"/>
        <v>1</v>
      </c>
    </row>
    <row r="24" ht="15.75" customHeight="1">
      <c r="A24" s="23" t="s">
        <v>614</v>
      </c>
      <c r="B24" s="23" t="s">
        <v>615</v>
      </c>
      <c r="C24" s="24" t="s">
        <v>21</v>
      </c>
      <c r="D24" s="25">
        <f>IFERROR(SUMIFS(SUMMARY!D:D, SUMMARY!B:B, A24, SUMMARY!A:A, "ADMIN"), 0)</f>
        <v>1</v>
      </c>
      <c r="E24" s="25">
        <f>IFERROR(SUMIFS(SUMMARY!D:D, SUMMARY!B:B, A24, SUMMARY!A:A, "WAREHOUSE"), 0)</f>
        <v>0</v>
      </c>
      <c r="F24" s="24">
        <f>IFERROR(SUMIFS(SUMMARY!D:D, SUMMARY!B:B, A24, SUMMARY!A:A, "LAGTANG"), 0)</f>
        <v>1</v>
      </c>
      <c r="G24" s="26">
        <f>IFERROR(SUMIFS(SUMMARY!D:D, SUMMARY!B:B, A24, SUMMARY!A:A, "V-RAMA"), 0)</f>
        <v>2</v>
      </c>
      <c r="H24" s="24">
        <f>IFERROR(SUMIFS(SUMMARY!D:D, SUMMARY!B:B, A24, SUMMARY!A:A, "BULACAO"), 0)</f>
        <v>0</v>
      </c>
      <c r="I24" s="24">
        <f>IFERROR(SUMIFS(SUMMARY!D:D, SUMMARY!B:B, A24, SUMMARY!A:A, "Y3S TALISAY"), 0)</f>
        <v>0</v>
      </c>
      <c r="J24" s="24">
        <f>IFERROR(SUMIFS(SUMMARY!D:D, SUMMARY!B:B, A24, SUMMARY!A:A, "MINGLANILLA"), 0)</f>
        <v>0</v>
      </c>
      <c r="K24" s="24">
        <f>IFERROR(SUMIFS(SUMMARY!D:D, SUMMARY!B:B, A24, SUMMARY!A:A, "Y3S PARDO"), 0)</f>
        <v>0</v>
      </c>
      <c r="L24" s="24">
        <f>IFERROR(SUMIFS(SUMMARY!D:D, SUMMARY!B:B, A24, SUMMARY!A:A, "LAPU-LAPU"), 0)</f>
        <v>0</v>
      </c>
      <c r="M24" s="24">
        <f>IFERROR(SUMIFS(SUMMARY!D:D, SUMMARY!B:B, A24, SUMMARY!A:A, "BACAYAN"), 0)</f>
        <v>2</v>
      </c>
      <c r="N24" s="24">
        <f>IFERROR(SUMIFS(SUMMARY!D:D, SUMMARY!B:B, A24, SUMMARY!A:A, "SAN FERNANDO MB"), 0)</f>
        <v>0</v>
      </c>
      <c r="O24" s="24">
        <f>IFERROR(SUMIFS(SUMMARY!D:D, SUMMARY!B:B, A24, SUMMARY!A:A, "Y3S SAN FERNANDO"), 0)</f>
        <v>3</v>
      </c>
      <c r="P24" s="24">
        <f>IFERROR(SUMIFS(SUMMARY!D:D, SUMMARY!B:B, A24, SUMMARY!A:A, "LILOAN"), 0)</f>
        <v>1</v>
      </c>
      <c r="Q24" s="24">
        <f>IFERROR(SUMIFS(SUMMARY!D:D, SUMMARY!B:B, A24, SUMMARY!A:A, "CORDOVA MB"), 0)</f>
        <v>0</v>
      </c>
      <c r="R24" s="24">
        <f>IFERROR(SUMIFS(SUMMARY!D:D, SUMMARY!B:B, A24, SUMMARY!A:A, "Y3S CORDOVA"), 0)</f>
        <v>3</v>
      </c>
      <c r="S24" s="24">
        <f>IFERROR(SUMIFS(SUMMARY!D:D, SUMMARY!B:B, A24, SUMMARY!A:A, "CLARIN"), 0)</f>
        <v>4</v>
      </c>
      <c r="T24" s="24">
        <f>IFERROR(SUMIFS(SUMMARY!D:D, SUMMARY!B:B, A24, SUMMARY!A:A, "TOLEDO"), 0)</f>
        <v>0</v>
      </c>
      <c r="U24" s="24">
        <f>IFERROR(SUMIFS(SUMMARY!D:D, SUMMARY!B:B, A24, SUMMARY!A:A, "UBAY"), 0)</f>
        <v>2</v>
      </c>
      <c r="V24" s="24">
        <f>IFERROR(SUMIFS(SUMMARY!D:D, SUMMARY!B:B, A24, SUMMARY!A:A, "CARMEN"), 0)</f>
        <v>4</v>
      </c>
      <c r="W24" s="24">
        <f>IFERROR(SUMIFS(SUMMARY!D:D, SUMMARY!B:B, A24, SUMMARY!A:A, "TUBIGON"), 0)</f>
        <v>0</v>
      </c>
      <c r="X24" s="24">
        <f>IFERROR(SUMIFS(SUMMARY!D:D, SUMMARY!B:B, A24, SUMMARY!A:A, "TALIBON"), 0)</f>
        <v>3</v>
      </c>
      <c r="Y24" s="24">
        <f>IFERROR(SUMIFS(SUMMARY!D:D, SUMMARY!B:B, A24, SUMMARY!A:A, "BOGO"), 0)</f>
        <v>0</v>
      </c>
      <c r="Z24" s="24">
        <f>IFERROR(SUMIFS(SUMMARY!D:D, SUMMARY!B:B, A24, SUMMARY!A:A, "BALAMBAN"), 0)</f>
        <v>0</v>
      </c>
      <c r="AA24" s="24">
        <f>IFERROR(SUMIFS(SUMMARY!D:D, SUMMARY!B:B, A24, SUMMARY!A:A, "Y3S BARILI"), 0)</f>
        <v>0</v>
      </c>
      <c r="AB24" s="24">
        <f>IFERROR(SUMIFS(SUMMARY!D:D, SUMMARY!B:B, A24, SUMMARY!A:A, "BARILI MB"), 0)</f>
        <v>1</v>
      </c>
      <c r="AC24" s="24">
        <f>IFERROR(SUMIFS(SUMMARY!D:D, SUMMARY!B:B, A24, SUMMARY!A:A, "SIERRA BULLONES"), 0)</f>
        <v>2</v>
      </c>
      <c r="AD24" s="24">
        <f>IFERROR(SUMIFS(SUMMARY!D:D, SUMMARY!B:B, A24, SUMMARY!A:A, "PITOGO"), 0)</f>
        <v>0</v>
      </c>
      <c r="AE24" s="24">
        <f>IFERROR(SUMIFS(SUMMARY!D:D, SUMMARY!B:B, A24, SUMMARY!A:A, "TAYUD CONSOLACION"), 0)</f>
        <v>0</v>
      </c>
      <c r="AF24" s="24">
        <f>IFERROR(SUMIFS(SUMMARY!D:D, SUMMARY!B:B, A24, SUMMARY!A:A, "PINAMUNGAJAN"), 0)</f>
        <v>2</v>
      </c>
      <c r="AG24" s="24">
        <f>IFERROR(SUMIFS(SUMMARY!D:D, SUMMARY!B:B, A24, SUMMARY!A:A, "CANDIJAY"), 0)</f>
        <v>0</v>
      </c>
      <c r="AH24" s="24">
        <f>IFERROR(SUMIFS(SUMMARY!D:D, SUMMARY!B:B, A24, SUMMARY!A:A, "YATI LILOAN"), 0)</f>
        <v>1</v>
      </c>
      <c r="AI24" s="27">
        <f>IFERROR(SUMIFS(SUMMARY!D:D, SUMMARY!B:B, A24, SUMMARY!A:A, "CAMOTES"), 0)</f>
        <v>0</v>
      </c>
      <c r="AJ24" s="28">
        <f t="shared" si="1"/>
        <v>32</v>
      </c>
    </row>
    <row r="25" ht="15.75" customHeight="1">
      <c r="A25" s="23" t="s">
        <v>616</v>
      </c>
      <c r="B25" s="23" t="s">
        <v>617</v>
      </c>
      <c r="C25" s="24" t="s">
        <v>21</v>
      </c>
      <c r="D25" s="25">
        <f>IFERROR(SUMIFS(SUMMARY!D:D, SUMMARY!B:B, A25, SUMMARY!A:A, "ADMIN"), 0)</f>
        <v>0</v>
      </c>
      <c r="E25" s="25">
        <f>IFERROR(SUMIFS(SUMMARY!D:D, SUMMARY!B:B, A25, SUMMARY!A:A, "WAREHOUSE"), 0)</f>
        <v>0</v>
      </c>
      <c r="F25" s="24">
        <f>IFERROR(SUMIFS(SUMMARY!D:D, SUMMARY!B:B, A25, SUMMARY!A:A, "LAGTANG"), 0)</f>
        <v>0</v>
      </c>
      <c r="G25" s="26">
        <f>IFERROR(SUMIFS(SUMMARY!D:D, SUMMARY!B:B, A25, SUMMARY!A:A, "V-RAMA"), 0)</f>
        <v>0</v>
      </c>
      <c r="H25" s="24">
        <f>IFERROR(SUMIFS(SUMMARY!D:D, SUMMARY!B:B, A25, SUMMARY!A:A, "BULACAO"), 0)</f>
        <v>0</v>
      </c>
      <c r="I25" s="24">
        <f>IFERROR(SUMIFS(SUMMARY!D:D, SUMMARY!B:B, A25, SUMMARY!A:A, "Y3S TALISAY"), 0)</f>
        <v>0</v>
      </c>
      <c r="J25" s="24">
        <f>IFERROR(SUMIFS(SUMMARY!D:D, SUMMARY!B:B, A25, SUMMARY!A:A, "MINGLANILLA"), 0)</f>
        <v>0</v>
      </c>
      <c r="K25" s="24">
        <f>IFERROR(SUMIFS(SUMMARY!D:D, SUMMARY!B:B, A25, SUMMARY!A:A, "Y3S PARDO"), 0)</f>
        <v>0</v>
      </c>
      <c r="L25" s="24">
        <f>IFERROR(SUMIFS(SUMMARY!D:D, SUMMARY!B:B, A25, SUMMARY!A:A, "LAPU-LAPU"), 0)</f>
        <v>0</v>
      </c>
      <c r="M25" s="24">
        <f>IFERROR(SUMIFS(SUMMARY!D:D, SUMMARY!B:B, A25, SUMMARY!A:A, "BACAYAN"), 0)</f>
        <v>0</v>
      </c>
      <c r="N25" s="24">
        <f>IFERROR(SUMIFS(SUMMARY!D:D, SUMMARY!B:B, A25, SUMMARY!A:A, "SAN FERNANDO MB"), 0)</f>
        <v>0</v>
      </c>
      <c r="O25" s="24">
        <f>IFERROR(SUMIFS(SUMMARY!D:D, SUMMARY!B:B, A25, SUMMARY!A:A, "Y3S SAN FERNANDO"), 0)</f>
        <v>0</v>
      </c>
      <c r="P25" s="24">
        <f>IFERROR(SUMIFS(SUMMARY!D:D, SUMMARY!B:B, A25, SUMMARY!A:A, "LILOAN"), 0)</f>
        <v>2</v>
      </c>
      <c r="Q25" s="24">
        <f>IFERROR(SUMIFS(SUMMARY!D:D, SUMMARY!B:B, A25, SUMMARY!A:A, "CORDOVA MB"), 0)</f>
        <v>0</v>
      </c>
      <c r="R25" s="24">
        <f>IFERROR(SUMIFS(SUMMARY!D:D, SUMMARY!B:B, A25, SUMMARY!A:A, "Y3S CORDOVA"), 0)</f>
        <v>2</v>
      </c>
      <c r="S25" s="24">
        <f>IFERROR(SUMIFS(SUMMARY!D:D, SUMMARY!B:B, A25, SUMMARY!A:A, "CLARIN"), 0)</f>
        <v>0</v>
      </c>
      <c r="T25" s="24">
        <f>IFERROR(SUMIFS(SUMMARY!D:D, SUMMARY!B:B, A25, SUMMARY!A:A, "TOLEDO"), 0)</f>
        <v>0</v>
      </c>
      <c r="U25" s="24">
        <f>IFERROR(SUMIFS(SUMMARY!D:D, SUMMARY!B:B, A25, SUMMARY!A:A, "UBAY"), 0)</f>
        <v>0</v>
      </c>
      <c r="V25" s="24">
        <f>IFERROR(SUMIFS(SUMMARY!D:D, SUMMARY!B:B, A25, SUMMARY!A:A, "CARMEN"), 0)</f>
        <v>0</v>
      </c>
      <c r="W25" s="24">
        <f>IFERROR(SUMIFS(SUMMARY!D:D, SUMMARY!B:B, A25, SUMMARY!A:A, "TUBIGON"), 0)</f>
        <v>0</v>
      </c>
      <c r="X25" s="24">
        <f>IFERROR(SUMIFS(SUMMARY!D:D, SUMMARY!B:B, A25, SUMMARY!A:A, "TALIBON"), 0)</f>
        <v>0</v>
      </c>
      <c r="Y25" s="24">
        <f>IFERROR(SUMIFS(SUMMARY!D:D, SUMMARY!B:B, A25, SUMMARY!A:A, "BOGO"), 0)</f>
        <v>0</v>
      </c>
      <c r="Z25" s="24">
        <f>IFERROR(SUMIFS(SUMMARY!D:D, SUMMARY!B:B, A25, SUMMARY!A:A, "BALAMBAN"), 0)</f>
        <v>0</v>
      </c>
      <c r="AA25" s="24">
        <f>IFERROR(SUMIFS(SUMMARY!D:D, SUMMARY!B:B, A25, SUMMARY!A:A, "Y3S BARILI"), 0)</f>
        <v>0</v>
      </c>
      <c r="AB25" s="24">
        <f>IFERROR(SUMIFS(SUMMARY!D:D, SUMMARY!B:B, A25, SUMMARY!A:A, "BARILI MB"), 0)</f>
        <v>0</v>
      </c>
      <c r="AC25" s="24">
        <f>IFERROR(SUMIFS(SUMMARY!D:D, SUMMARY!B:B, A25, SUMMARY!A:A, "SIERRA BULLONES"), 0)</f>
        <v>0</v>
      </c>
      <c r="AD25" s="24">
        <f>IFERROR(SUMIFS(SUMMARY!D:D, SUMMARY!B:B, A25, SUMMARY!A:A, "PITOGO"), 0)</f>
        <v>0</v>
      </c>
      <c r="AE25" s="24">
        <f>IFERROR(SUMIFS(SUMMARY!D:D, SUMMARY!B:B, A25, SUMMARY!A:A, "TAYUD CONSOLACION"), 0)</f>
        <v>0</v>
      </c>
      <c r="AF25" s="24">
        <f>IFERROR(SUMIFS(SUMMARY!D:D, SUMMARY!B:B, A25, SUMMARY!A:A, "PINAMUNGAJAN"), 0)</f>
        <v>0</v>
      </c>
      <c r="AG25" s="24">
        <f>IFERROR(SUMIFS(SUMMARY!D:D, SUMMARY!B:B, A25, SUMMARY!A:A, "CANDIJAY"), 0)</f>
        <v>0</v>
      </c>
      <c r="AH25" s="24">
        <f>IFERROR(SUMIFS(SUMMARY!D:D, SUMMARY!B:B, A25, SUMMARY!A:A, "YATI LILOAN"), 0)</f>
        <v>0</v>
      </c>
      <c r="AI25" s="27">
        <f>IFERROR(SUMIFS(SUMMARY!D:D, SUMMARY!B:B, A25, SUMMARY!A:A, "CAMOTES"), 0)</f>
        <v>0</v>
      </c>
      <c r="AJ25" s="28">
        <f t="shared" si="1"/>
        <v>4</v>
      </c>
    </row>
    <row r="26" ht="15.75" customHeight="1">
      <c r="A26" s="23" t="s">
        <v>618</v>
      </c>
      <c r="B26" s="23" t="s">
        <v>619</v>
      </c>
      <c r="C26" s="24" t="s">
        <v>21</v>
      </c>
      <c r="D26" s="25">
        <f>IFERROR(SUMIFS(SUMMARY!D:D, SUMMARY!B:B, A26, SUMMARY!A:A, "ADMIN"), 0)</f>
        <v>0</v>
      </c>
      <c r="E26" s="25">
        <f>IFERROR(SUMIFS(SUMMARY!D:D, SUMMARY!B:B, A26, SUMMARY!A:A, "WAREHOUSE"), 0)</f>
        <v>0</v>
      </c>
      <c r="F26" s="24">
        <f>IFERROR(SUMIFS(SUMMARY!D:D, SUMMARY!B:B, A26, SUMMARY!A:A, "LAGTANG"), 0)</f>
        <v>0</v>
      </c>
      <c r="G26" s="26">
        <f>IFERROR(SUMIFS(SUMMARY!D:D, SUMMARY!B:B, A26, SUMMARY!A:A, "V-RAMA"), 0)</f>
        <v>0</v>
      </c>
      <c r="H26" s="24">
        <f>IFERROR(SUMIFS(SUMMARY!D:D, SUMMARY!B:B, A26, SUMMARY!A:A, "BULACAO"), 0)</f>
        <v>0</v>
      </c>
      <c r="I26" s="24">
        <f>IFERROR(SUMIFS(SUMMARY!D:D, SUMMARY!B:B, A26, SUMMARY!A:A, "Y3S TALISAY"), 0)</f>
        <v>0</v>
      </c>
      <c r="J26" s="24">
        <f>IFERROR(SUMIFS(SUMMARY!D:D, SUMMARY!B:B, A26, SUMMARY!A:A, "MINGLANILLA"), 0)</f>
        <v>0</v>
      </c>
      <c r="K26" s="24">
        <f>IFERROR(SUMIFS(SUMMARY!D:D, SUMMARY!B:B, A26, SUMMARY!A:A, "Y3S PARDO"), 0)</f>
        <v>0</v>
      </c>
      <c r="L26" s="24">
        <f>IFERROR(SUMIFS(SUMMARY!D:D, SUMMARY!B:B, A26, SUMMARY!A:A, "LAPU-LAPU"), 0)</f>
        <v>0</v>
      </c>
      <c r="M26" s="24">
        <f>IFERROR(SUMIFS(SUMMARY!D:D, SUMMARY!B:B, A26, SUMMARY!A:A, "BACAYAN"), 0)</f>
        <v>0</v>
      </c>
      <c r="N26" s="24">
        <f>IFERROR(SUMIFS(SUMMARY!D:D, SUMMARY!B:B, A26, SUMMARY!A:A, "SAN FERNANDO MB"), 0)</f>
        <v>1</v>
      </c>
      <c r="O26" s="24">
        <f>IFERROR(SUMIFS(SUMMARY!D:D, SUMMARY!B:B, A26, SUMMARY!A:A, "Y3S SAN FERNANDO"), 0)</f>
        <v>0</v>
      </c>
      <c r="P26" s="24">
        <f>IFERROR(SUMIFS(SUMMARY!D:D, SUMMARY!B:B, A26, SUMMARY!A:A, "LILOAN"), 0)</f>
        <v>1</v>
      </c>
      <c r="Q26" s="24">
        <f>IFERROR(SUMIFS(SUMMARY!D:D, SUMMARY!B:B, A26, SUMMARY!A:A, "CORDOVA MB"), 0)</f>
        <v>0</v>
      </c>
      <c r="R26" s="24">
        <f>IFERROR(SUMIFS(SUMMARY!D:D, SUMMARY!B:B, A26, SUMMARY!A:A, "Y3S CORDOVA"), 0)</f>
        <v>0</v>
      </c>
      <c r="S26" s="24">
        <f>IFERROR(SUMIFS(SUMMARY!D:D, SUMMARY!B:B, A26, SUMMARY!A:A, "CLARIN"), 0)</f>
        <v>0</v>
      </c>
      <c r="T26" s="24">
        <f>IFERROR(SUMIFS(SUMMARY!D:D, SUMMARY!B:B, A26, SUMMARY!A:A, "TOLEDO"), 0)</f>
        <v>0</v>
      </c>
      <c r="U26" s="24">
        <f>IFERROR(SUMIFS(SUMMARY!D:D, SUMMARY!B:B, A26, SUMMARY!A:A, "UBAY"), 0)</f>
        <v>0</v>
      </c>
      <c r="V26" s="24">
        <f>IFERROR(SUMIFS(SUMMARY!D:D, SUMMARY!B:B, A26, SUMMARY!A:A, "CARMEN"), 0)</f>
        <v>0</v>
      </c>
      <c r="W26" s="24">
        <f>IFERROR(SUMIFS(SUMMARY!D:D, SUMMARY!B:B, A26, SUMMARY!A:A, "TUBIGON"), 0)</f>
        <v>0</v>
      </c>
      <c r="X26" s="24">
        <f>IFERROR(SUMIFS(SUMMARY!D:D, SUMMARY!B:B, A26, SUMMARY!A:A, "TALIBON"), 0)</f>
        <v>0</v>
      </c>
      <c r="Y26" s="24">
        <f>IFERROR(SUMIFS(SUMMARY!D:D, SUMMARY!B:B, A26, SUMMARY!A:A, "BOGO"), 0)</f>
        <v>0</v>
      </c>
      <c r="Z26" s="24">
        <f>IFERROR(SUMIFS(SUMMARY!D:D, SUMMARY!B:B, A26, SUMMARY!A:A, "BALAMBAN"), 0)</f>
        <v>0</v>
      </c>
      <c r="AA26" s="24">
        <f>IFERROR(SUMIFS(SUMMARY!D:D, SUMMARY!B:B, A26, SUMMARY!A:A, "Y3S BARILI"), 0)</f>
        <v>0</v>
      </c>
      <c r="AB26" s="24">
        <f>IFERROR(SUMIFS(SUMMARY!D:D, SUMMARY!B:B, A26, SUMMARY!A:A, "BARILI MB"), 0)</f>
        <v>0</v>
      </c>
      <c r="AC26" s="24">
        <f>IFERROR(SUMIFS(SUMMARY!D:D, SUMMARY!B:B, A26, SUMMARY!A:A, "SIERRA BULLONES"), 0)</f>
        <v>0</v>
      </c>
      <c r="AD26" s="24">
        <f>IFERROR(SUMIFS(SUMMARY!D:D, SUMMARY!B:B, A26, SUMMARY!A:A, "PITOGO"), 0)</f>
        <v>0</v>
      </c>
      <c r="AE26" s="24">
        <f>IFERROR(SUMIFS(SUMMARY!D:D, SUMMARY!B:B, A26, SUMMARY!A:A, "TAYUD CONSOLACION"), 0)</f>
        <v>0</v>
      </c>
      <c r="AF26" s="24">
        <f>IFERROR(SUMIFS(SUMMARY!D:D, SUMMARY!B:B, A26, SUMMARY!A:A, "PINAMUNGAJAN"), 0)</f>
        <v>0</v>
      </c>
      <c r="AG26" s="24">
        <f>IFERROR(SUMIFS(SUMMARY!D:D, SUMMARY!B:B, A26, SUMMARY!A:A, "CANDIJAY"), 0)</f>
        <v>0</v>
      </c>
      <c r="AH26" s="24">
        <f>IFERROR(SUMIFS(SUMMARY!D:D, SUMMARY!B:B, A26, SUMMARY!A:A, "YATI LILOAN"), 0)</f>
        <v>0</v>
      </c>
      <c r="AI26" s="27">
        <f>IFERROR(SUMIFS(SUMMARY!D:D, SUMMARY!B:B, A26, SUMMARY!A:A, "CAMOTES"), 0)</f>
        <v>0</v>
      </c>
      <c r="AJ26" s="28">
        <f t="shared" si="1"/>
        <v>2</v>
      </c>
    </row>
    <row r="27" ht="15.75" customHeight="1">
      <c r="A27" s="23" t="s">
        <v>620</v>
      </c>
      <c r="B27" s="23" t="s">
        <v>621</v>
      </c>
      <c r="C27" s="24" t="s">
        <v>21</v>
      </c>
      <c r="D27" s="25">
        <f>IFERROR(SUMIFS(SUMMARY!D:D, SUMMARY!B:B, A27, SUMMARY!A:A, "ADMIN"), 0)</f>
        <v>0</v>
      </c>
      <c r="E27" s="25">
        <f>IFERROR(SUMIFS(SUMMARY!D:D, SUMMARY!B:B, A27, SUMMARY!A:A, "WAREHOUSE"), 0)</f>
        <v>0</v>
      </c>
      <c r="F27" s="24">
        <f>IFERROR(SUMIFS(SUMMARY!D:D, SUMMARY!B:B, A27, SUMMARY!A:A, "LAGTANG"), 0)</f>
        <v>0</v>
      </c>
      <c r="G27" s="26">
        <f>IFERROR(SUMIFS(SUMMARY!D:D, SUMMARY!B:B, A27, SUMMARY!A:A, "V-RAMA"), 0)</f>
        <v>0</v>
      </c>
      <c r="H27" s="24">
        <f>IFERROR(SUMIFS(SUMMARY!D:D, SUMMARY!B:B, A27, SUMMARY!A:A, "BULACAO"), 0)</f>
        <v>0</v>
      </c>
      <c r="I27" s="24">
        <f>IFERROR(SUMIFS(SUMMARY!D:D, SUMMARY!B:B, A27, SUMMARY!A:A, "Y3S TALISAY"), 0)</f>
        <v>0</v>
      </c>
      <c r="J27" s="24">
        <f>IFERROR(SUMIFS(SUMMARY!D:D, SUMMARY!B:B, A27, SUMMARY!A:A, "MINGLANILLA"), 0)</f>
        <v>0</v>
      </c>
      <c r="K27" s="24">
        <f>IFERROR(SUMIFS(SUMMARY!D:D, SUMMARY!B:B, A27, SUMMARY!A:A, "Y3S PARDO"), 0)</f>
        <v>0</v>
      </c>
      <c r="L27" s="24">
        <f>IFERROR(SUMIFS(SUMMARY!D:D, SUMMARY!B:B, A27, SUMMARY!A:A, "LAPU-LAPU"), 0)</f>
        <v>0</v>
      </c>
      <c r="M27" s="24">
        <f>IFERROR(SUMIFS(SUMMARY!D:D, SUMMARY!B:B, A27, SUMMARY!A:A, "BACAYAN"), 0)</f>
        <v>0</v>
      </c>
      <c r="N27" s="24">
        <f>IFERROR(SUMIFS(SUMMARY!D:D, SUMMARY!B:B, A27, SUMMARY!A:A, "SAN FERNANDO MB"), 0)</f>
        <v>0</v>
      </c>
      <c r="O27" s="24">
        <f>IFERROR(SUMIFS(SUMMARY!D:D, SUMMARY!B:B, A27, SUMMARY!A:A, "Y3S SAN FERNANDO"), 0)</f>
        <v>0</v>
      </c>
      <c r="P27" s="24">
        <f>IFERROR(SUMIFS(SUMMARY!D:D, SUMMARY!B:B, A27, SUMMARY!A:A, "LILOAN"), 0)</f>
        <v>0</v>
      </c>
      <c r="Q27" s="24">
        <f>IFERROR(SUMIFS(SUMMARY!D:D, SUMMARY!B:B, A27, SUMMARY!A:A, "CORDOVA MB"), 0)</f>
        <v>0</v>
      </c>
      <c r="R27" s="24">
        <f>IFERROR(SUMIFS(SUMMARY!D:D, SUMMARY!B:B, A27, SUMMARY!A:A, "Y3S CORDOVA"), 0)</f>
        <v>0</v>
      </c>
      <c r="S27" s="24">
        <f>IFERROR(SUMIFS(SUMMARY!D:D, SUMMARY!B:B, A27, SUMMARY!A:A, "CLARIN"), 0)</f>
        <v>0</v>
      </c>
      <c r="T27" s="24">
        <f>IFERROR(SUMIFS(SUMMARY!D:D, SUMMARY!B:B, A27, SUMMARY!A:A, "TOLEDO"), 0)</f>
        <v>0</v>
      </c>
      <c r="U27" s="24">
        <f>IFERROR(SUMIFS(SUMMARY!D:D, SUMMARY!B:B, A27, SUMMARY!A:A, "UBAY"), 0)</f>
        <v>0</v>
      </c>
      <c r="V27" s="24">
        <f>IFERROR(SUMIFS(SUMMARY!D:D, SUMMARY!B:B, A27, SUMMARY!A:A, "CARMEN"), 0)</f>
        <v>0</v>
      </c>
      <c r="W27" s="24">
        <f>IFERROR(SUMIFS(SUMMARY!D:D, SUMMARY!B:B, A27, SUMMARY!A:A, "TUBIGON"), 0)</f>
        <v>0</v>
      </c>
      <c r="X27" s="24">
        <f>IFERROR(SUMIFS(SUMMARY!D:D, SUMMARY!B:B, A27, SUMMARY!A:A, "TALIBON"), 0)</f>
        <v>0</v>
      </c>
      <c r="Y27" s="24">
        <f>IFERROR(SUMIFS(SUMMARY!D:D, SUMMARY!B:B, A27, SUMMARY!A:A, "BOGO"), 0)</f>
        <v>0</v>
      </c>
      <c r="Z27" s="24">
        <f>IFERROR(SUMIFS(SUMMARY!D:D, SUMMARY!B:B, A27, SUMMARY!A:A, "BALAMBAN"), 0)</f>
        <v>0</v>
      </c>
      <c r="AA27" s="24">
        <f>IFERROR(SUMIFS(SUMMARY!D:D, SUMMARY!B:B, A27, SUMMARY!A:A, "Y3S BARILI"), 0)</f>
        <v>0</v>
      </c>
      <c r="AB27" s="24">
        <f>IFERROR(SUMIFS(SUMMARY!D:D, SUMMARY!B:B, A27, SUMMARY!A:A, "BARILI MB"), 0)</f>
        <v>0</v>
      </c>
      <c r="AC27" s="24">
        <f>IFERROR(SUMIFS(SUMMARY!D:D, SUMMARY!B:B, A27, SUMMARY!A:A, "SIERRA BULLONES"), 0)</f>
        <v>0</v>
      </c>
      <c r="AD27" s="24">
        <f>IFERROR(SUMIFS(SUMMARY!D:D, SUMMARY!B:B, A27, SUMMARY!A:A, "PITOGO"), 0)</f>
        <v>0</v>
      </c>
      <c r="AE27" s="24">
        <f>IFERROR(SUMIFS(SUMMARY!D:D, SUMMARY!B:B, A27, SUMMARY!A:A, "TAYUD CONSOLACION"), 0)</f>
        <v>0</v>
      </c>
      <c r="AF27" s="24">
        <f>IFERROR(SUMIFS(SUMMARY!D:D, SUMMARY!B:B, A27, SUMMARY!A:A, "PINAMUNGAJAN"), 0)</f>
        <v>0</v>
      </c>
      <c r="AG27" s="24">
        <f>IFERROR(SUMIFS(SUMMARY!D:D, SUMMARY!B:B, A27, SUMMARY!A:A, "CANDIJAY"), 0)</f>
        <v>0</v>
      </c>
      <c r="AH27" s="24">
        <f>IFERROR(SUMIFS(SUMMARY!D:D, SUMMARY!B:B, A27, SUMMARY!A:A, "YATI LILOAN"), 0)</f>
        <v>0</v>
      </c>
      <c r="AI27" s="27">
        <f>IFERROR(SUMIFS(SUMMARY!D:D, SUMMARY!B:B, A27, SUMMARY!A:A, "CAMOTES"), 0)</f>
        <v>0</v>
      </c>
      <c r="AJ27" s="28">
        <f t="shared" si="1"/>
        <v>0</v>
      </c>
    </row>
    <row r="28" ht="15.75" customHeight="1">
      <c r="A28" s="23" t="s">
        <v>622</v>
      </c>
      <c r="B28" s="23" t="s">
        <v>623</v>
      </c>
      <c r="C28" s="24" t="s">
        <v>21</v>
      </c>
      <c r="D28" s="25">
        <f>IFERROR(SUMIFS(SUMMARY!D:D, SUMMARY!B:B, A28, SUMMARY!A:A, "ADMIN"), 0)</f>
        <v>1</v>
      </c>
      <c r="E28" s="25">
        <f>IFERROR(SUMIFS(SUMMARY!D:D, SUMMARY!B:B, A28, SUMMARY!A:A, "WAREHOUSE"), 0)</f>
        <v>0</v>
      </c>
      <c r="F28" s="24">
        <f>IFERROR(SUMIFS(SUMMARY!D:D, SUMMARY!B:B, A28, SUMMARY!A:A, "LAGTANG"), 0)</f>
        <v>2</v>
      </c>
      <c r="G28" s="26">
        <f>IFERROR(SUMIFS(SUMMARY!D:D, SUMMARY!B:B, A28, SUMMARY!A:A, "V-RAMA"), 0)</f>
        <v>0</v>
      </c>
      <c r="H28" s="24">
        <f>IFERROR(SUMIFS(SUMMARY!D:D, SUMMARY!B:B, A28, SUMMARY!A:A, "BULACAO"), 0)</f>
        <v>1</v>
      </c>
      <c r="I28" s="24">
        <f>IFERROR(SUMIFS(SUMMARY!D:D, SUMMARY!B:B, A28, SUMMARY!A:A, "Y3S TALISAY"), 0)</f>
        <v>5</v>
      </c>
      <c r="J28" s="24">
        <f>IFERROR(SUMIFS(SUMMARY!D:D, SUMMARY!B:B, A28, SUMMARY!A:A, "MINGLANILLA"), 0)</f>
        <v>0</v>
      </c>
      <c r="K28" s="24">
        <f>IFERROR(SUMIFS(SUMMARY!D:D, SUMMARY!B:B, A28, SUMMARY!A:A, "Y3S PARDO"), 0)</f>
        <v>1</v>
      </c>
      <c r="L28" s="24">
        <f>IFERROR(SUMIFS(SUMMARY!D:D, SUMMARY!B:B, A28, SUMMARY!A:A, "LAPU-LAPU"), 0)</f>
        <v>0</v>
      </c>
      <c r="M28" s="24">
        <f>IFERROR(SUMIFS(SUMMARY!D:D, SUMMARY!B:B, A28, SUMMARY!A:A, "BACAYAN"), 0)</f>
        <v>0</v>
      </c>
      <c r="N28" s="24">
        <f>IFERROR(SUMIFS(SUMMARY!D:D, SUMMARY!B:B, A28, SUMMARY!A:A, "SAN FERNANDO MB"), 0)</f>
        <v>0</v>
      </c>
      <c r="O28" s="24">
        <f>IFERROR(SUMIFS(SUMMARY!D:D, SUMMARY!B:B, A28, SUMMARY!A:A, "Y3S SAN FERNANDO"), 0)</f>
        <v>2</v>
      </c>
      <c r="P28" s="24">
        <f>IFERROR(SUMIFS(SUMMARY!D:D, SUMMARY!B:B, A28, SUMMARY!A:A, "LILOAN"), 0)</f>
        <v>0</v>
      </c>
      <c r="Q28" s="24">
        <f>IFERROR(SUMIFS(SUMMARY!D:D, SUMMARY!B:B, A28, SUMMARY!A:A, "CORDOVA MB"), 0)</f>
        <v>0</v>
      </c>
      <c r="R28" s="24">
        <f>IFERROR(SUMIFS(SUMMARY!D:D, SUMMARY!B:B, A28, SUMMARY!A:A, "Y3S CORDOVA"), 0)</f>
        <v>4</v>
      </c>
      <c r="S28" s="24">
        <f>IFERROR(SUMIFS(SUMMARY!D:D, SUMMARY!B:B, A28, SUMMARY!A:A, "CLARIN"), 0)</f>
        <v>2</v>
      </c>
      <c r="T28" s="24">
        <f>IFERROR(SUMIFS(SUMMARY!D:D, SUMMARY!B:B, A28, SUMMARY!A:A, "TOLEDO"), 0)</f>
        <v>2</v>
      </c>
      <c r="U28" s="24">
        <f>IFERROR(SUMIFS(SUMMARY!D:D, SUMMARY!B:B, A28, SUMMARY!A:A, "UBAY"), 0)</f>
        <v>2</v>
      </c>
      <c r="V28" s="24">
        <f>IFERROR(SUMIFS(SUMMARY!D:D, SUMMARY!B:B, A28, SUMMARY!A:A, "CARMEN"), 0)</f>
        <v>3</v>
      </c>
      <c r="W28" s="24">
        <f>IFERROR(SUMIFS(SUMMARY!D:D, SUMMARY!B:B, A28, SUMMARY!A:A, "TUBIGON"), 0)</f>
        <v>3</v>
      </c>
      <c r="X28" s="24">
        <f>IFERROR(SUMIFS(SUMMARY!D:D, SUMMARY!B:B, A28, SUMMARY!A:A, "TALIBON"), 0)</f>
        <v>0</v>
      </c>
      <c r="Y28" s="24">
        <f>IFERROR(SUMIFS(SUMMARY!D:D, SUMMARY!B:B, A28, SUMMARY!A:A, "BOGO"), 0)</f>
        <v>0</v>
      </c>
      <c r="Z28" s="24">
        <f>IFERROR(SUMIFS(SUMMARY!D:D, SUMMARY!B:B, A28, SUMMARY!A:A, "BALAMBAN"), 0)</f>
        <v>2</v>
      </c>
      <c r="AA28" s="24">
        <f>IFERROR(SUMIFS(SUMMARY!D:D, SUMMARY!B:B, A28, SUMMARY!A:A, "Y3S BARILI"), 0)</f>
        <v>0</v>
      </c>
      <c r="AB28" s="24">
        <f>IFERROR(SUMIFS(SUMMARY!D:D, SUMMARY!B:B, A28, SUMMARY!A:A, "BARILI MB"), 0)</f>
        <v>3</v>
      </c>
      <c r="AC28" s="24">
        <f>IFERROR(SUMIFS(SUMMARY!D:D, SUMMARY!B:B, A28, SUMMARY!A:A, "SIERRA BULLONES"), 0)</f>
        <v>0</v>
      </c>
      <c r="AD28" s="24">
        <f>IFERROR(SUMIFS(SUMMARY!D:D, SUMMARY!B:B, A28, SUMMARY!A:A, "PITOGO"), 0)</f>
        <v>0</v>
      </c>
      <c r="AE28" s="24">
        <f>IFERROR(SUMIFS(SUMMARY!D:D, SUMMARY!B:B, A28, SUMMARY!A:A, "TAYUD CONSOLACION"), 0)</f>
        <v>0</v>
      </c>
      <c r="AF28" s="24">
        <f>IFERROR(SUMIFS(SUMMARY!D:D, SUMMARY!B:B, A28, SUMMARY!A:A, "PINAMUNGAJAN"), 0)</f>
        <v>0</v>
      </c>
      <c r="AG28" s="24">
        <f>IFERROR(SUMIFS(SUMMARY!D:D, SUMMARY!B:B, A28, SUMMARY!A:A, "CANDIJAY"), 0)</f>
        <v>3</v>
      </c>
      <c r="AH28" s="24">
        <f>IFERROR(SUMIFS(SUMMARY!D:D, SUMMARY!B:B, A28, SUMMARY!A:A, "YATI LILOAN"), 0)</f>
        <v>0</v>
      </c>
      <c r="AI28" s="27">
        <f>IFERROR(SUMIFS(SUMMARY!D:D, SUMMARY!B:B, A28, SUMMARY!A:A, "CAMOTES"), 0)</f>
        <v>0</v>
      </c>
      <c r="AJ28" s="28">
        <f t="shared" si="1"/>
        <v>36</v>
      </c>
    </row>
    <row r="29" ht="15.75" customHeight="1">
      <c r="A29" s="23" t="s">
        <v>624</v>
      </c>
      <c r="B29" s="23" t="s">
        <v>625</v>
      </c>
      <c r="C29" s="24" t="s">
        <v>21</v>
      </c>
      <c r="D29" s="25">
        <f>IFERROR(SUMIFS(SUMMARY!D:D, SUMMARY!B:B, A29, SUMMARY!A:A, "ADMIN"), 0)</f>
        <v>0</v>
      </c>
      <c r="E29" s="25">
        <f>IFERROR(SUMIFS(SUMMARY!D:D, SUMMARY!B:B, A29, SUMMARY!A:A, "WAREHOUSE"), 0)</f>
        <v>0</v>
      </c>
      <c r="F29" s="24">
        <f>IFERROR(SUMIFS(SUMMARY!D:D, SUMMARY!B:B, A29, SUMMARY!A:A, "LAGTANG"), 0)</f>
        <v>0</v>
      </c>
      <c r="G29" s="26">
        <f>IFERROR(SUMIFS(SUMMARY!D:D, SUMMARY!B:B, A29, SUMMARY!A:A, "V-RAMA"), 0)</f>
        <v>0</v>
      </c>
      <c r="H29" s="24">
        <f>IFERROR(SUMIFS(SUMMARY!D:D, SUMMARY!B:B, A29, SUMMARY!A:A, "BULACAO"), 0)</f>
        <v>0</v>
      </c>
      <c r="I29" s="24">
        <f>IFERROR(SUMIFS(SUMMARY!D:D, SUMMARY!B:B, A29, SUMMARY!A:A, "Y3S TALISAY"), 0)</f>
        <v>30</v>
      </c>
      <c r="J29" s="24">
        <f>IFERROR(SUMIFS(SUMMARY!D:D, SUMMARY!B:B, A29, SUMMARY!A:A, "MINGLANILLA"), 0)</f>
        <v>0</v>
      </c>
      <c r="K29" s="24">
        <f>IFERROR(SUMIFS(SUMMARY!D:D, SUMMARY!B:B, A29, SUMMARY!A:A, "Y3S PARDO"), 0)</f>
        <v>0</v>
      </c>
      <c r="L29" s="24">
        <f>IFERROR(SUMIFS(SUMMARY!D:D, SUMMARY!B:B, A29, SUMMARY!A:A, "LAPU-LAPU"), 0)</f>
        <v>0</v>
      </c>
      <c r="M29" s="24">
        <f>IFERROR(SUMIFS(SUMMARY!D:D, SUMMARY!B:B, A29, SUMMARY!A:A, "BACAYAN"), 0)</f>
        <v>0</v>
      </c>
      <c r="N29" s="24">
        <f>IFERROR(SUMIFS(SUMMARY!D:D, SUMMARY!B:B, A29, SUMMARY!A:A, "SAN FERNANDO MB"), 0)</f>
        <v>0</v>
      </c>
      <c r="O29" s="24">
        <f>IFERROR(SUMIFS(SUMMARY!D:D, SUMMARY!B:B, A29, SUMMARY!A:A, "Y3S SAN FERNANDO"), 0)</f>
        <v>50</v>
      </c>
      <c r="P29" s="24">
        <f>IFERROR(SUMIFS(SUMMARY!D:D, SUMMARY!B:B, A29, SUMMARY!A:A, "LILOAN"), 0)</f>
        <v>0</v>
      </c>
      <c r="Q29" s="24">
        <f>IFERROR(SUMIFS(SUMMARY!D:D, SUMMARY!B:B, A29, SUMMARY!A:A, "CORDOVA MB"), 0)</f>
        <v>0</v>
      </c>
      <c r="R29" s="24">
        <f>IFERROR(SUMIFS(SUMMARY!D:D, SUMMARY!B:B, A29, SUMMARY!A:A, "Y3S CORDOVA"), 0)</f>
        <v>50</v>
      </c>
      <c r="S29" s="24">
        <f>IFERROR(SUMIFS(SUMMARY!D:D, SUMMARY!B:B, A29, SUMMARY!A:A, "CLARIN"), 0)</f>
        <v>0</v>
      </c>
      <c r="T29" s="24">
        <f>IFERROR(SUMIFS(SUMMARY!D:D, SUMMARY!B:B, A29, SUMMARY!A:A, "TOLEDO"), 0)</f>
        <v>0</v>
      </c>
      <c r="U29" s="24">
        <f>IFERROR(SUMIFS(SUMMARY!D:D, SUMMARY!B:B, A29, SUMMARY!A:A, "UBAY"), 0)</f>
        <v>0</v>
      </c>
      <c r="V29" s="24">
        <f>IFERROR(SUMIFS(SUMMARY!D:D, SUMMARY!B:B, A29, SUMMARY!A:A, "CARMEN"), 0)</f>
        <v>0</v>
      </c>
      <c r="W29" s="24">
        <f>IFERROR(SUMIFS(SUMMARY!D:D, SUMMARY!B:B, A29, SUMMARY!A:A, "TUBIGON"), 0)</f>
        <v>0</v>
      </c>
      <c r="X29" s="24">
        <f>IFERROR(SUMIFS(SUMMARY!D:D, SUMMARY!B:B, A29, SUMMARY!A:A, "TALIBON"), 0)</f>
        <v>0</v>
      </c>
      <c r="Y29" s="24">
        <f>IFERROR(SUMIFS(SUMMARY!D:D, SUMMARY!B:B, A29, SUMMARY!A:A, "BOGO"), 0)</f>
        <v>0</v>
      </c>
      <c r="Z29" s="24">
        <f>IFERROR(SUMIFS(SUMMARY!D:D, SUMMARY!B:B, A29, SUMMARY!A:A, "BALAMBAN"), 0)</f>
        <v>0</v>
      </c>
      <c r="AA29" s="24">
        <f>IFERROR(SUMIFS(SUMMARY!D:D, SUMMARY!B:B, A29, SUMMARY!A:A, "Y3S BARILI"), 0)</f>
        <v>30</v>
      </c>
      <c r="AB29" s="24">
        <f>IFERROR(SUMIFS(SUMMARY!D:D, SUMMARY!B:B, A29, SUMMARY!A:A, "BARILI MB"), 0)</f>
        <v>0</v>
      </c>
      <c r="AC29" s="24">
        <f>IFERROR(SUMIFS(SUMMARY!D:D, SUMMARY!B:B, A29, SUMMARY!A:A, "SIERRA BULLONES"), 0)</f>
        <v>0</v>
      </c>
      <c r="AD29" s="24">
        <f>IFERROR(SUMIFS(SUMMARY!D:D, SUMMARY!B:B, A29, SUMMARY!A:A, "PITOGO"), 0)</f>
        <v>0</v>
      </c>
      <c r="AE29" s="24">
        <f>IFERROR(SUMIFS(SUMMARY!D:D, SUMMARY!B:B, A29, SUMMARY!A:A, "TAYUD CONSOLACION"), 0)</f>
        <v>0</v>
      </c>
      <c r="AF29" s="24">
        <f>IFERROR(SUMIFS(SUMMARY!D:D, SUMMARY!B:B, A29, SUMMARY!A:A, "PINAMUNGAJAN"), 0)</f>
        <v>0</v>
      </c>
      <c r="AG29" s="24">
        <f>IFERROR(SUMIFS(SUMMARY!D:D, SUMMARY!B:B, A29, SUMMARY!A:A, "CANDIJAY"), 0)</f>
        <v>0</v>
      </c>
      <c r="AH29" s="24">
        <f>IFERROR(SUMIFS(SUMMARY!D:D, SUMMARY!B:B, A29, SUMMARY!A:A, "YATI LILOAN"), 0)</f>
        <v>0</v>
      </c>
      <c r="AI29" s="27">
        <f>IFERROR(SUMIFS(SUMMARY!D:D, SUMMARY!B:B, A29, SUMMARY!A:A, "CAMOTES"), 0)</f>
        <v>0</v>
      </c>
      <c r="AJ29" s="28">
        <f t="shared" si="1"/>
        <v>160</v>
      </c>
    </row>
    <row r="30" ht="15.75" customHeight="1">
      <c r="A30" s="23" t="s">
        <v>626</v>
      </c>
      <c r="B30" s="23" t="s">
        <v>627</v>
      </c>
      <c r="C30" s="24" t="s">
        <v>21</v>
      </c>
      <c r="D30" s="25">
        <f>IFERROR(SUMIFS(SUMMARY!D:D, SUMMARY!B:B, A30, SUMMARY!A:A, "ADMIN"), 0)</f>
        <v>0</v>
      </c>
      <c r="E30" s="25">
        <f>IFERROR(SUMIFS(SUMMARY!D:D, SUMMARY!B:B, A30, SUMMARY!A:A, "WAREHOUSE"), 0)</f>
        <v>0</v>
      </c>
      <c r="F30" s="24">
        <f>IFERROR(SUMIFS(SUMMARY!D:D, SUMMARY!B:B, A30, SUMMARY!A:A, "LAGTANG"), 0)</f>
        <v>0</v>
      </c>
      <c r="G30" s="26">
        <f>IFERROR(SUMIFS(SUMMARY!D:D, SUMMARY!B:B, A30, SUMMARY!A:A, "V-RAMA"), 0)</f>
        <v>0</v>
      </c>
      <c r="H30" s="24">
        <f>IFERROR(SUMIFS(SUMMARY!D:D, SUMMARY!B:B, A30, SUMMARY!A:A, "BULACAO"), 0)</f>
        <v>0</v>
      </c>
      <c r="I30" s="24">
        <f>IFERROR(SUMIFS(SUMMARY!D:D, SUMMARY!B:B, A30, SUMMARY!A:A, "Y3S TALISAY"), 0)</f>
        <v>0</v>
      </c>
      <c r="J30" s="24">
        <f>IFERROR(SUMIFS(SUMMARY!D:D, SUMMARY!B:B, A30, SUMMARY!A:A, "MINGLANILLA"), 0)</f>
        <v>0</v>
      </c>
      <c r="K30" s="24">
        <f>IFERROR(SUMIFS(SUMMARY!D:D, SUMMARY!B:B, A30, SUMMARY!A:A, "Y3S PARDO"), 0)</f>
        <v>0</v>
      </c>
      <c r="L30" s="24">
        <f>IFERROR(SUMIFS(SUMMARY!D:D, SUMMARY!B:B, A30, SUMMARY!A:A, "LAPU-LAPU"), 0)</f>
        <v>0</v>
      </c>
      <c r="M30" s="24">
        <f>IFERROR(SUMIFS(SUMMARY!D:D, SUMMARY!B:B, A30, SUMMARY!A:A, "BACAYAN"), 0)</f>
        <v>0</v>
      </c>
      <c r="N30" s="24">
        <f>IFERROR(SUMIFS(SUMMARY!D:D, SUMMARY!B:B, A30, SUMMARY!A:A, "SAN FERNANDO MB"), 0)</f>
        <v>0</v>
      </c>
      <c r="O30" s="24">
        <f>IFERROR(SUMIFS(SUMMARY!D:D, SUMMARY!B:B, A30, SUMMARY!A:A, "Y3S SAN FERNANDO"), 0)</f>
        <v>0</v>
      </c>
      <c r="P30" s="24">
        <f>IFERROR(SUMIFS(SUMMARY!D:D, SUMMARY!B:B, A30, SUMMARY!A:A, "LILOAN"), 0)</f>
        <v>0</v>
      </c>
      <c r="Q30" s="24">
        <f>IFERROR(SUMIFS(SUMMARY!D:D, SUMMARY!B:B, A30, SUMMARY!A:A, "CORDOVA MB"), 0)</f>
        <v>0</v>
      </c>
      <c r="R30" s="24">
        <f>IFERROR(SUMIFS(SUMMARY!D:D, SUMMARY!B:B, A30, SUMMARY!A:A, "Y3S CORDOVA"), 0)</f>
        <v>0</v>
      </c>
      <c r="S30" s="24">
        <f>IFERROR(SUMIFS(SUMMARY!D:D, SUMMARY!B:B, A30, SUMMARY!A:A, "CLARIN"), 0)</f>
        <v>0</v>
      </c>
      <c r="T30" s="24">
        <f>IFERROR(SUMIFS(SUMMARY!D:D, SUMMARY!B:B, A30, SUMMARY!A:A, "TOLEDO"), 0)</f>
        <v>0</v>
      </c>
      <c r="U30" s="24">
        <f>IFERROR(SUMIFS(SUMMARY!D:D, SUMMARY!B:B, A30, SUMMARY!A:A, "UBAY"), 0)</f>
        <v>0</v>
      </c>
      <c r="V30" s="24">
        <f>IFERROR(SUMIFS(SUMMARY!D:D, SUMMARY!B:B, A30, SUMMARY!A:A, "CARMEN"), 0)</f>
        <v>0</v>
      </c>
      <c r="W30" s="24">
        <f>IFERROR(SUMIFS(SUMMARY!D:D, SUMMARY!B:B, A30, SUMMARY!A:A, "TUBIGON"), 0)</f>
        <v>0</v>
      </c>
      <c r="X30" s="24">
        <f>IFERROR(SUMIFS(SUMMARY!D:D, SUMMARY!B:B, A30, SUMMARY!A:A, "TALIBON"), 0)</f>
        <v>0</v>
      </c>
      <c r="Y30" s="24">
        <f>IFERROR(SUMIFS(SUMMARY!D:D, SUMMARY!B:B, A30, SUMMARY!A:A, "BOGO"), 0)</f>
        <v>0</v>
      </c>
      <c r="Z30" s="24">
        <f>IFERROR(SUMIFS(SUMMARY!D:D, SUMMARY!B:B, A30, SUMMARY!A:A, "BALAMBAN"), 0)</f>
        <v>0</v>
      </c>
      <c r="AA30" s="24">
        <f>IFERROR(SUMIFS(SUMMARY!D:D, SUMMARY!B:B, A30, SUMMARY!A:A, "Y3S BARILI"), 0)</f>
        <v>0</v>
      </c>
      <c r="AB30" s="24">
        <f>IFERROR(SUMIFS(SUMMARY!D:D, SUMMARY!B:B, A30, SUMMARY!A:A, "BARILI MB"), 0)</f>
        <v>0</v>
      </c>
      <c r="AC30" s="24">
        <f>IFERROR(SUMIFS(SUMMARY!D:D, SUMMARY!B:B, A30, SUMMARY!A:A, "SIERRA BULLONES"), 0)</f>
        <v>0</v>
      </c>
      <c r="AD30" s="24">
        <f>IFERROR(SUMIFS(SUMMARY!D:D, SUMMARY!B:B, A30, SUMMARY!A:A, "PITOGO"), 0)</f>
        <v>0</v>
      </c>
      <c r="AE30" s="24">
        <f>IFERROR(SUMIFS(SUMMARY!D:D, SUMMARY!B:B, A30, SUMMARY!A:A, "TAYUD CONSOLACION"), 0)</f>
        <v>0</v>
      </c>
      <c r="AF30" s="24">
        <f>IFERROR(SUMIFS(SUMMARY!D:D, SUMMARY!B:B, A30, SUMMARY!A:A, "PINAMUNGAJAN"), 0)</f>
        <v>0</v>
      </c>
      <c r="AG30" s="24">
        <f>IFERROR(SUMIFS(SUMMARY!D:D, SUMMARY!B:B, A30, SUMMARY!A:A, "CANDIJAY"), 0)</f>
        <v>0</v>
      </c>
      <c r="AH30" s="24">
        <f>IFERROR(SUMIFS(SUMMARY!D:D, SUMMARY!B:B, A30, SUMMARY!A:A, "YATI LILOAN"), 0)</f>
        <v>0</v>
      </c>
      <c r="AI30" s="27">
        <f>IFERROR(SUMIFS(SUMMARY!D:D, SUMMARY!B:B, A30, SUMMARY!A:A, "CAMOTES"), 0)</f>
        <v>0</v>
      </c>
      <c r="AJ30" s="28">
        <f t="shared" si="1"/>
        <v>0</v>
      </c>
    </row>
    <row r="31" ht="15.75" customHeight="1">
      <c r="A31" s="23" t="s">
        <v>628</v>
      </c>
      <c r="B31" s="23" t="s">
        <v>629</v>
      </c>
      <c r="C31" s="24" t="s">
        <v>21</v>
      </c>
      <c r="D31" s="25">
        <f>IFERROR(SUMIFS(SUMMARY!D:D, SUMMARY!B:B, A31, SUMMARY!A:A, "ADMIN"), 0)</f>
        <v>1</v>
      </c>
      <c r="E31" s="25">
        <f>IFERROR(SUMIFS(SUMMARY!D:D, SUMMARY!B:B, A31, SUMMARY!A:A, "WAREHOUSE"), 0)</f>
        <v>0</v>
      </c>
      <c r="F31" s="24">
        <f>IFERROR(SUMIFS(SUMMARY!D:D, SUMMARY!B:B, A31, SUMMARY!A:A, "LAGTANG"), 0)</f>
        <v>0</v>
      </c>
      <c r="G31" s="26">
        <f>IFERROR(SUMIFS(SUMMARY!D:D, SUMMARY!B:B, A31, SUMMARY!A:A, "V-RAMA"), 0)</f>
        <v>0</v>
      </c>
      <c r="H31" s="24">
        <f>IFERROR(SUMIFS(SUMMARY!D:D, SUMMARY!B:B, A31, SUMMARY!A:A, "BULACAO"), 0)</f>
        <v>0</v>
      </c>
      <c r="I31" s="24">
        <f>IFERROR(SUMIFS(SUMMARY!D:D, SUMMARY!B:B, A31, SUMMARY!A:A, "Y3S TALISAY"), 0)</f>
        <v>0</v>
      </c>
      <c r="J31" s="24">
        <f>IFERROR(SUMIFS(SUMMARY!D:D, SUMMARY!B:B, A31, SUMMARY!A:A, "MINGLANILLA"), 0)</f>
        <v>0</v>
      </c>
      <c r="K31" s="24">
        <f>IFERROR(SUMIFS(SUMMARY!D:D, SUMMARY!B:B, A31, SUMMARY!A:A, "Y3S PARDO"), 0)</f>
        <v>0</v>
      </c>
      <c r="L31" s="24">
        <f>IFERROR(SUMIFS(SUMMARY!D:D, SUMMARY!B:B, A31, SUMMARY!A:A, "LAPU-LAPU"), 0)</f>
        <v>0</v>
      </c>
      <c r="M31" s="24">
        <f>IFERROR(SUMIFS(SUMMARY!D:D, SUMMARY!B:B, A31, SUMMARY!A:A, "BACAYAN"), 0)</f>
        <v>0</v>
      </c>
      <c r="N31" s="24">
        <f>IFERROR(SUMIFS(SUMMARY!D:D, SUMMARY!B:B, A31, SUMMARY!A:A, "SAN FERNANDO MB"), 0)</f>
        <v>0</v>
      </c>
      <c r="O31" s="24">
        <f>IFERROR(SUMIFS(SUMMARY!D:D, SUMMARY!B:B, A31, SUMMARY!A:A, "Y3S SAN FERNANDO"), 0)</f>
        <v>0</v>
      </c>
      <c r="P31" s="24">
        <f>IFERROR(SUMIFS(SUMMARY!D:D, SUMMARY!B:B, A31, SUMMARY!A:A, "LILOAN"), 0)</f>
        <v>0</v>
      </c>
      <c r="Q31" s="24">
        <f>IFERROR(SUMIFS(SUMMARY!D:D, SUMMARY!B:B, A31, SUMMARY!A:A, "CORDOVA MB"), 0)</f>
        <v>0</v>
      </c>
      <c r="R31" s="24">
        <f>IFERROR(SUMIFS(SUMMARY!D:D, SUMMARY!B:B, A31, SUMMARY!A:A, "Y3S CORDOVA"), 0)</f>
        <v>0</v>
      </c>
      <c r="S31" s="24">
        <f>IFERROR(SUMIFS(SUMMARY!D:D, SUMMARY!B:B, A31, SUMMARY!A:A, "CLARIN"), 0)</f>
        <v>0</v>
      </c>
      <c r="T31" s="24">
        <f>IFERROR(SUMIFS(SUMMARY!D:D, SUMMARY!B:B, A31, SUMMARY!A:A, "TOLEDO"), 0)</f>
        <v>0</v>
      </c>
      <c r="U31" s="24">
        <f>IFERROR(SUMIFS(SUMMARY!D:D, SUMMARY!B:B, A31, SUMMARY!A:A, "UBAY"), 0)</f>
        <v>0</v>
      </c>
      <c r="V31" s="24">
        <f>IFERROR(SUMIFS(SUMMARY!D:D, SUMMARY!B:B, A31, SUMMARY!A:A, "CARMEN"), 0)</f>
        <v>0</v>
      </c>
      <c r="W31" s="24">
        <f>IFERROR(SUMIFS(SUMMARY!D:D, SUMMARY!B:B, A31, SUMMARY!A:A, "TUBIGON"), 0)</f>
        <v>0</v>
      </c>
      <c r="X31" s="24">
        <f>IFERROR(SUMIFS(SUMMARY!D:D, SUMMARY!B:B, A31, SUMMARY!A:A, "TALIBON"), 0)</f>
        <v>0</v>
      </c>
      <c r="Y31" s="24">
        <f>IFERROR(SUMIFS(SUMMARY!D:D, SUMMARY!B:B, A31, SUMMARY!A:A, "BOGO"), 0)</f>
        <v>0</v>
      </c>
      <c r="Z31" s="24">
        <f>IFERROR(SUMIFS(SUMMARY!D:D, SUMMARY!B:B, A31, SUMMARY!A:A, "BALAMBAN"), 0)</f>
        <v>0</v>
      </c>
      <c r="AA31" s="24">
        <f>IFERROR(SUMIFS(SUMMARY!D:D, SUMMARY!B:B, A31, SUMMARY!A:A, "Y3S BARILI"), 0)</f>
        <v>0</v>
      </c>
      <c r="AB31" s="24">
        <f>IFERROR(SUMIFS(SUMMARY!D:D, SUMMARY!B:B, A31, SUMMARY!A:A, "BARILI MB"), 0)</f>
        <v>0</v>
      </c>
      <c r="AC31" s="24">
        <f>IFERROR(SUMIFS(SUMMARY!D:D, SUMMARY!B:B, A31, SUMMARY!A:A, "SIERRA BULLONES"), 0)</f>
        <v>0</v>
      </c>
      <c r="AD31" s="24">
        <f>IFERROR(SUMIFS(SUMMARY!D:D, SUMMARY!B:B, A31, SUMMARY!A:A, "PITOGO"), 0)</f>
        <v>0</v>
      </c>
      <c r="AE31" s="24">
        <f>IFERROR(SUMIFS(SUMMARY!D:D, SUMMARY!B:B, A31, SUMMARY!A:A, "TAYUD CONSOLACION"), 0)</f>
        <v>0</v>
      </c>
      <c r="AF31" s="24">
        <f>IFERROR(SUMIFS(SUMMARY!D:D, SUMMARY!B:B, A31, SUMMARY!A:A, "PINAMUNGAJAN"), 0)</f>
        <v>0</v>
      </c>
      <c r="AG31" s="24">
        <f>IFERROR(SUMIFS(SUMMARY!D:D, SUMMARY!B:B, A31, SUMMARY!A:A, "CANDIJAY"), 0)</f>
        <v>0</v>
      </c>
      <c r="AH31" s="24">
        <f>IFERROR(SUMIFS(SUMMARY!D:D, SUMMARY!B:B, A31, SUMMARY!A:A, "YATI LILOAN"), 0)</f>
        <v>0</v>
      </c>
      <c r="AI31" s="27">
        <f>IFERROR(SUMIFS(SUMMARY!D:D, SUMMARY!B:B, A31, SUMMARY!A:A, "CAMOTES"), 0)</f>
        <v>0</v>
      </c>
      <c r="AJ31" s="28">
        <f t="shared" si="1"/>
        <v>1</v>
      </c>
    </row>
    <row r="32" ht="15.75" customHeight="1">
      <c r="A32" s="23" t="s">
        <v>630</v>
      </c>
      <c r="B32" s="23" t="s">
        <v>631</v>
      </c>
      <c r="C32" s="24" t="s">
        <v>21</v>
      </c>
      <c r="D32" s="25">
        <f>IFERROR(SUMIFS(SUMMARY!D:D, SUMMARY!B:B, A32, SUMMARY!A:A, "ADMIN"), 0)</f>
        <v>2</v>
      </c>
      <c r="E32" s="25">
        <f>IFERROR(SUMIFS(SUMMARY!D:D, SUMMARY!B:B, A32, SUMMARY!A:A, "WAREHOUSE"), 0)</f>
        <v>0</v>
      </c>
      <c r="F32" s="24">
        <f>IFERROR(SUMIFS(SUMMARY!D:D, SUMMARY!B:B, A32, SUMMARY!A:A, "LAGTANG"), 0)</f>
        <v>0</v>
      </c>
      <c r="G32" s="26">
        <f>IFERROR(SUMIFS(SUMMARY!D:D, SUMMARY!B:B, A32, SUMMARY!A:A, "V-RAMA"), 0)</f>
        <v>0</v>
      </c>
      <c r="H32" s="24">
        <f>IFERROR(SUMIFS(SUMMARY!D:D, SUMMARY!B:B, A32, SUMMARY!A:A, "BULACAO"), 0)</f>
        <v>0</v>
      </c>
      <c r="I32" s="24">
        <f>IFERROR(SUMIFS(SUMMARY!D:D, SUMMARY!B:B, A32, SUMMARY!A:A, "Y3S TALISAY"), 0)</f>
        <v>0</v>
      </c>
      <c r="J32" s="24">
        <f>IFERROR(SUMIFS(SUMMARY!D:D, SUMMARY!B:B, A32, SUMMARY!A:A, "MINGLANILLA"), 0)</f>
        <v>0</v>
      </c>
      <c r="K32" s="24">
        <f>IFERROR(SUMIFS(SUMMARY!D:D, SUMMARY!B:B, A32, SUMMARY!A:A, "Y3S PARDO"), 0)</f>
        <v>0</v>
      </c>
      <c r="L32" s="24">
        <f>IFERROR(SUMIFS(SUMMARY!D:D, SUMMARY!B:B, A32, SUMMARY!A:A, "LAPU-LAPU"), 0)</f>
        <v>0</v>
      </c>
      <c r="M32" s="24">
        <f>IFERROR(SUMIFS(SUMMARY!D:D, SUMMARY!B:B, A32, SUMMARY!A:A, "BACAYAN"), 0)</f>
        <v>0</v>
      </c>
      <c r="N32" s="24">
        <f>IFERROR(SUMIFS(SUMMARY!D:D, SUMMARY!B:B, A32, SUMMARY!A:A, "SAN FERNANDO MB"), 0)</f>
        <v>0</v>
      </c>
      <c r="O32" s="24">
        <f>IFERROR(SUMIFS(SUMMARY!D:D, SUMMARY!B:B, A32, SUMMARY!A:A, "Y3S SAN FERNANDO"), 0)</f>
        <v>0</v>
      </c>
      <c r="P32" s="24">
        <f>IFERROR(SUMIFS(SUMMARY!D:D, SUMMARY!B:B, A32, SUMMARY!A:A, "LILOAN"), 0)</f>
        <v>0</v>
      </c>
      <c r="Q32" s="24">
        <f>IFERROR(SUMIFS(SUMMARY!D:D, SUMMARY!B:B, A32, SUMMARY!A:A, "CORDOVA MB"), 0)</f>
        <v>0</v>
      </c>
      <c r="R32" s="24">
        <f>IFERROR(SUMIFS(SUMMARY!D:D, SUMMARY!B:B, A32, SUMMARY!A:A, "Y3S CORDOVA"), 0)</f>
        <v>0</v>
      </c>
      <c r="S32" s="24">
        <f>IFERROR(SUMIFS(SUMMARY!D:D, SUMMARY!B:B, A32, SUMMARY!A:A, "CLARIN"), 0)</f>
        <v>0</v>
      </c>
      <c r="T32" s="24">
        <f>IFERROR(SUMIFS(SUMMARY!D:D, SUMMARY!B:B, A32, SUMMARY!A:A, "TOLEDO"), 0)</f>
        <v>0</v>
      </c>
      <c r="U32" s="24">
        <f>IFERROR(SUMIFS(SUMMARY!D:D, SUMMARY!B:B, A32, SUMMARY!A:A, "UBAY"), 0)</f>
        <v>0</v>
      </c>
      <c r="V32" s="24">
        <f>IFERROR(SUMIFS(SUMMARY!D:D, SUMMARY!B:B, A32, SUMMARY!A:A, "CARMEN"), 0)</f>
        <v>0</v>
      </c>
      <c r="W32" s="24">
        <f>IFERROR(SUMIFS(SUMMARY!D:D, SUMMARY!B:B, A32, SUMMARY!A:A, "TUBIGON"), 0)</f>
        <v>0</v>
      </c>
      <c r="X32" s="24">
        <f>IFERROR(SUMIFS(SUMMARY!D:D, SUMMARY!B:B, A32, SUMMARY!A:A, "TALIBON"), 0)</f>
        <v>0</v>
      </c>
      <c r="Y32" s="24">
        <f>IFERROR(SUMIFS(SUMMARY!D:D, SUMMARY!B:B, A32, SUMMARY!A:A, "BOGO"), 0)</f>
        <v>0</v>
      </c>
      <c r="Z32" s="24">
        <f>IFERROR(SUMIFS(SUMMARY!D:D, SUMMARY!B:B, A32, SUMMARY!A:A, "BALAMBAN"), 0)</f>
        <v>0</v>
      </c>
      <c r="AA32" s="24">
        <f>IFERROR(SUMIFS(SUMMARY!D:D, SUMMARY!B:B, A32, SUMMARY!A:A, "Y3S BARILI"), 0)</f>
        <v>0</v>
      </c>
      <c r="AB32" s="24">
        <f>IFERROR(SUMIFS(SUMMARY!D:D, SUMMARY!B:B, A32, SUMMARY!A:A, "BARILI MB"), 0)</f>
        <v>0</v>
      </c>
      <c r="AC32" s="24">
        <f>IFERROR(SUMIFS(SUMMARY!D:D, SUMMARY!B:B, A32, SUMMARY!A:A, "SIERRA BULLONES"), 0)</f>
        <v>0</v>
      </c>
      <c r="AD32" s="24">
        <f>IFERROR(SUMIFS(SUMMARY!D:D, SUMMARY!B:B, A32, SUMMARY!A:A, "PITOGO"), 0)</f>
        <v>1</v>
      </c>
      <c r="AE32" s="24">
        <f>IFERROR(SUMIFS(SUMMARY!D:D, SUMMARY!B:B, A32, SUMMARY!A:A, "TAYUD CONSOLACION"), 0)</f>
        <v>0</v>
      </c>
      <c r="AF32" s="24">
        <f>IFERROR(SUMIFS(SUMMARY!D:D, SUMMARY!B:B, A32, SUMMARY!A:A, "PINAMUNGAJAN"), 0)</f>
        <v>0</v>
      </c>
      <c r="AG32" s="24">
        <f>IFERROR(SUMIFS(SUMMARY!D:D, SUMMARY!B:B, A32, SUMMARY!A:A, "CANDIJAY"), 0)</f>
        <v>0</v>
      </c>
      <c r="AH32" s="24">
        <f>IFERROR(SUMIFS(SUMMARY!D:D, SUMMARY!B:B, A32, SUMMARY!A:A, "YATI LILOAN"), 0)</f>
        <v>0</v>
      </c>
      <c r="AI32" s="27">
        <f>IFERROR(SUMIFS(SUMMARY!D:D, SUMMARY!B:B, A32, SUMMARY!A:A, "CAMOTES"), 0)</f>
        <v>0</v>
      </c>
      <c r="AJ32" s="28">
        <f t="shared" si="1"/>
        <v>3</v>
      </c>
    </row>
    <row r="33" ht="15.75" customHeight="1">
      <c r="A33" s="23" t="s">
        <v>632</v>
      </c>
      <c r="B33" s="23" t="s">
        <v>633</v>
      </c>
      <c r="C33" s="24" t="s">
        <v>21</v>
      </c>
      <c r="D33" s="25">
        <f>IFERROR(SUMIFS(SUMMARY!D:D, SUMMARY!B:B, A33, SUMMARY!A:A, "ADMIN"), 0)</f>
        <v>0</v>
      </c>
      <c r="E33" s="25">
        <f>IFERROR(SUMIFS(SUMMARY!D:D, SUMMARY!B:B, A33, SUMMARY!A:A, "WAREHOUSE"), 0)</f>
        <v>0</v>
      </c>
      <c r="F33" s="24">
        <f>IFERROR(SUMIFS(SUMMARY!D:D, SUMMARY!B:B, A33, SUMMARY!A:A, "LAGTANG"), 0)</f>
        <v>0</v>
      </c>
      <c r="G33" s="26">
        <f>IFERROR(SUMIFS(SUMMARY!D:D, SUMMARY!B:B, A33, SUMMARY!A:A, "V-RAMA"), 0)</f>
        <v>0</v>
      </c>
      <c r="H33" s="24">
        <f>IFERROR(SUMIFS(SUMMARY!D:D, SUMMARY!B:B, A33, SUMMARY!A:A, "BULACAO"), 0)</f>
        <v>0</v>
      </c>
      <c r="I33" s="24">
        <f>IFERROR(SUMIFS(SUMMARY!D:D, SUMMARY!B:B, A33, SUMMARY!A:A, "Y3S TALISAY"), 0)</f>
        <v>0</v>
      </c>
      <c r="J33" s="24">
        <f>IFERROR(SUMIFS(SUMMARY!D:D, SUMMARY!B:B, A33, SUMMARY!A:A, "MINGLANILLA"), 0)</f>
        <v>0</v>
      </c>
      <c r="K33" s="24">
        <f>IFERROR(SUMIFS(SUMMARY!D:D, SUMMARY!B:B, A33, SUMMARY!A:A, "Y3S PARDO"), 0)</f>
        <v>0</v>
      </c>
      <c r="L33" s="24">
        <f>IFERROR(SUMIFS(SUMMARY!D:D, SUMMARY!B:B, A33, SUMMARY!A:A, "LAPU-LAPU"), 0)</f>
        <v>0</v>
      </c>
      <c r="M33" s="24">
        <f>IFERROR(SUMIFS(SUMMARY!D:D, SUMMARY!B:B, A33, SUMMARY!A:A, "BACAYAN"), 0)</f>
        <v>0</v>
      </c>
      <c r="N33" s="24">
        <f>IFERROR(SUMIFS(SUMMARY!D:D, SUMMARY!B:B, A33, SUMMARY!A:A, "SAN FERNANDO MB"), 0)</f>
        <v>0</v>
      </c>
      <c r="O33" s="24">
        <f>IFERROR(SUMIFS(SUMMARY!D:D, SUMMARY!B:B, A33, SUMMARY!A:A, "Y3S SAN FERNANDO"), 0)</f>
        <v>0</v>
      </c>
      <c r="P33" s="24">
        <f>IFERROR(SUMIFS(SUMMARY!D:D, SUMMARY!B:B, A33, SUMMARY!A:A, "LILOAN"), 0)</f>
        <v>0</v>
      </c>
      <c r="Q33" s="24">
        <f>IFERROR(SUMIFS(SUMMARY!D:D, SUMMARY!B:B, A33, SUMMARY!A:A, "CORDOVA MB"), 0)</f>
        <v>0</v>
      </c>
      <c r="R33" s="24">
        <f>IFERROR(SUMIFS(SUMMARY!D:D, SUMMARY!B:B, A33, SUMMARY!A:A, "Y3S CORDOVA"), 0)</f>
        <v>2</v>
      </c>
      <c r="S33" s="24">
        <f>IFERROR(SUMIFS(SUMMARY!D:D, SUMMARY!B:B, A33, SUMMARY!A:A, "CLARIN"), 0)</f>
        <v>0</v>
      </c>
      <c r="T33" s="24">
        <f>IFERROR(SUMIFS(SUMMARY!D:D, SUMMARY!B:B, A33, SUMMARY!A:A, "TOLEDO"), 0)</f>
        <v>0</v>
      </c>
      <c r="U33" s="24">
        <f>IFERROR(SUMIFS(SUMMARY!D:D, SUMMARY!B:B, A33, SUMMARY!A:A, "UBAY"), 0)</f>
        <v>0</v>
      </c>
      <c r="V33" s="24">
        <f>IFERROR(SUMIFS(SUMMARY!D:D, SUMMARY!B:B, A33, SUMMARY!A:A, "CARMEN"), 0)</f>
        <v>0</v>
      </c>
      <c r="W33" s="24">
        <f>IFERROR(SUMIFS(SUMMARY!D:D, SUMMARY!B:B, A33, SUMMARY!A:A, "TUBIGON"), 0)</f>
        <v>0</v>
      </c>
      <c r="X33" s="24">
        <f>IFERROR(SUMIFS(SUMMARY!D:D, SUMMARY!B:B, A33, SUMMARY!A:A, "TALIBON"), 0)</f>
        <v>0</v>
      </c>
      <c r="Y33" s="24">
        <f>IFERROR(SUMIFS(SUMMARY!D:D, SUMMARY!B:B, A33, SUMMARY!A:A, "BOGO"), 0)</f>
        <v>0</v>
      </c>
      <c r="Z33" s="24">
        <f>IFERROR(SUMIFS(SUMMARY!D:D, SUMMARY!B:B, A33, SUMMARY!A:A, "BALAMBAN"), 0)</f>
        <v>0</v>
      </c>
      <c r="AA33" s="24">
        <f>IFERROR(SUMIFS(SUMMARY!D:D, SUMMARY!B:B, A33, SUMMARY!A:A, "Y3S BARILI"), 0)</f>
        <v>0</v>
      </c>
      <c r="AB33" s="24">
        <f>IFERROR(SUMIFS(SUMMARY!D:D, SUMMARY!B:B, A33, SUMMARY!A:A, "BARILI MB"), 0)</f>
        <v>0</v>
      </c>
      <c r="AC33" s="24">
        <f>IFERROR(SUMIFS(SUMMARY!D:D, SUMMARY!B:B, A33, SUMMARY!A:A, "SIERRA BULLONES"), 0)</f>
        <v>0</v>
      </c>
      <c r="AD33" s="24">
        <f>IFERROR(SUMIFS(SUMMARY!D:D, SUMMARY!B:B, A33, SUMMARY!A:A, "PITOGO"), 0)</f>
        <v>0</v>
      </c>
      <c r="AE33" s="24">
        <f>IFERROR(SUMIFS(SUMMARY!D:D, SUMMARY!B:B, A33, SUMMARY!A:A, "TAYUD CONSOLACION"), 0)</f>
        <v>1</v>
      </c>
      <c r="AF33" s="24">
        <f>IFERROR(SUMIFS(SUMMARY!D:D, SUMMARY!B:B, A33, SUMMARY!A:A, "PINAMUNGAJAN"), 0)</f>
        <v>0</v>
      </c>
      <c r="AG33" s="24">
        <f>IFERROR(SUMIFS(SUMMARY!D:D, SUMMARY!B:B, A33, SUMMARY!A:A, "CANDIJAY"), 0)</f>
        <v>0</v>
      </c>
      <c r="AH33" s="24">
        <f>IFERROR(SUMIFS(SUMMARY!D:D, SUMMARY!B:B, A33, SUMMARY!A:A, "YATI LILOAN"), 0)</f>
        <v>0</v>
      </c>
      <c r="AI33" s="27">
        <f>IFERROR(SUMIFS(SUMMARY!D:D, SUMMARY!B:B, A33, SUMMARY!A:A, "CAMOTES"), 0)</f>
        <v>0</v>
      </c>
      <c r="AJ33" s="28">
        <f t="shared" si="1"/>
        <v>3</v>
      </c>
    </row>
    <row r="34" ht="15.75" customHeight="1">
      <c r="A34" s="23" t="s">
        <v>634</v>
      </c>
      <c r="B34" s="23" t="s">
        <v>635</v>
      </c>
      <c r="C34" s="24" t="s">
        <v>21</v>
      </c>
      <c r="D34" s="25">
        <f>IFERROR(SUMIFS(SUMMARY!D:D, SUMMARY!B:B, A34, SUMMARY!A:A, "ADMIN"), 0)</f>
        <v>0</v>
      </c>
      <c r="E34" s="25">
        <f>IFERROR(SUMIFS(SUMMARY!D:D, SUMMARY!B:B, A34, SUMMARY!A:A, "WAREHOUSE"), 0)</f>
        <v>0</v>
      </c>
      <c r="F34" s="24">
        <f>IFERROR(SUMIFS(SUMMARY!D:D, SUMMARY!B:B, A34, SUMMARY!A:A, "LAGTANG"), 0)</f>
        <v>0</v>
      </c>
      <c r="G34" s="26">
        <f>IFERROR(SUMIFS(SUMMARY!D:D, SUMMARY!B:B, A34, SUMMARY!A:A, "V-RAMA"), 0)</f>
        <v>0</v>
      </c>
      <c r="H34" s="24">
        <f>IFERROR(SUMIFS(SUMMARY!D:D, SUMMARY!B:B, A34, SUMMARY!A:A, "BULACAO"), 0)</f>
        <v>0</v>
      </c>
      <c r="I34" s="24">
        <f>IFERROR(SUMIFS(SUMMARY!D:D, SUMMARY!B:B, A34, SUMMARY!A:A, "Y3S TALISAY"), 0)</f>
        <v>0</v>
      </c>
      <c r="J34" s="24">
        <f>IFERROR(SUMIFS(SUMMARY!D:D, SUMMARY!B:B, A34, SUMMARY!A:A, "MINGLANILLA"), 0)</f>
        <v>0</v>
      </c>
      <c r="K34" s="24">
        <f>IFERROR(SUMIFS(SUMMARY!D:D, SUMMARY!B:B, A34, SUMMARY!A:A, "Y3S PARDO"), 0)</f>
        <v>0</v>
      </c>
      <c r="L34" s="24">
        <f>IFERROR(SUMIFS(SUMMARY!D:D, SUMMARY!B:B, A34, SUMMARY!A:A, "LAPU-LAPU"), 0)</f>
        <v>0</v>
      </c>
      <c r="M34" s="24">
        <f>IFERROR(SUMIFS(SUMMARY!D:D, SUMMARY!B:B, A34, SUMMARY!A:A, "BACAYAN"), 0)</f>
        <v>0</v>
      </c>
      <c r="N34" s="24">
        <f>IFERROR(SUMIFS(SUMMARY!D:D, SUMMARY!B:B, A34, SUMMARY!A:A, "SAN FERNANDO MB"), 0)</f>
        <v>0</v>
      </c>
      <c r="O34" s="24">
        <f>IFERROR(SUMIFS(SUMMARY!D:D, SUMMARY!B:B, A34, SUMMARY!A:A, "Y3S SAN FERNANDO"), 0)</f>
        <v>0</v>
      </c>
      <c r="P34" s="24">
        <f>IFERROR(SUMIFS(SUMMARY!D:D, SUMMARY!B:B, A34, SUMMARY!A:A, "LILOAN"), 0)</f>
        <v>0</v>
      </c>
      <c r="Q34" s="24">
        <f>IFERROR(SUMIFS(SUMMARY!D:D, SUMMARY!B:B, A34, SUMMARY!A:A, "CORDOVA MB"), 0)</f>
        <v>0</v>
      </c>
      <c r="R34" s="24">
        <f>IFERROR(SUMIFS(SUMMARY!D:D, SUMMARY!B:B, A34, SUMMARY!A:A, "Y3S CORDOVA"), 0)</f>
        <v>0</v>
      </c>
      <c r="S34" s="24">
        <f>IFERROR(SUMIFS(SUMMARY!D:D, SUMMARY!B:B, A34, SUMMARY!A:A, "CLARIN"), 0)</f>
        <v>0</v>
      </c>
      <c r="T34" s="24">
        <f>IFERROR(SUMIFS(SUMMARY!D:D, SUMMARY!B:B, A34, SUMMARY!A:A, "TOLEDO"), 0)</f>
        <v>0</v>
      </c>
      <c r="U34" s="24">
        <f>IFERROR(SUMIFS(SUMMARY!D:D, SUMMARY!B:B, A34, SUMMARY!A:A, "UBAY"), 0)</f>
        <v>0</v>
      </c>
      <c r="V34" s="24">
        <f>IFERROR(SUMIFS(SUMMARY!D:D, SUMMARY!B:B, A34, SUMMARY!A:A, "CARMEN"), 0)</f>
        <v>0</v>
      </c>
      <c r="W34" s="24">
        <f>IFERROR(SUMIFS(SUMMARY!D:D, SUMMARY!B:B, A34, SUMMARY!A:A, "TUBIGON"), 0)</f>
        <v>0</v>
      </c>
      <c r="X34" s="24">
        <f>IFERROR(SUMIFS(SUMMARY!D:D, SUMMARY!B:B, A34, SUMMARY!A:A, "TALIBON"), 0)</f>
        <v>0</v>
      </c>
      <c r="Y34" s="24">
        <f>IFERROR(SUMIFS(SUMMARY!D:D, SUMMARY!B:B, A34, SUMMARY!A:A, "BOGO"), 0)</f>
        <v>0</v>
      </c>
      <c r="Z34" s="24">
        <f>IFERROR(SUMIFS(SUMMARY!D:D, SUMMARY!B:B, A34, SUMMARY!A:A, "BALAMBAN"), 0)</f>
        <v>0</v>
      </c>
      <c r="AA34" s="24">
        <f>IFERROR(SUMIFS(SUMMARY!D:D, SUMMARY!B:B, A34, SUMMARY!A:A, "Y3S BARILI"), 0)</f>
        <v>0</v>
      </c>
      <c r="AB34" s="24">
        <f>IFERROR(SUMIFS(SUMMARY!D:D, SUMMARY!B:B, A34, SUMMARY!A:A, "BARILI MB"), 0)</f>
        <v>1</v>
      </c>
      <c r="AC34" s="24">
        <f>IFERROR(SUMIFS(SUMMARY!D:D, SUMMARY!B:B, A34, SUMMARY!A:A, "SIERRA BULLONES"), 0)</f>
        <v>0</v>
      </c>
      <c r="AD34" s="24">
        <f>IFERROR(SUMIFS(SUMMARY!D:D, SUMMARY!B:B, A34, SUMMARY!A:A, "PITOGO"), 0)</f>
        <v>0</v>
      </c>
      <c r="AE34" s="24">
        <f>IFERROR(SUMIFS(SUMMARY!D:D, SUMMARY!B:B, A34, SUMMARY!A:A, "TAYUD CONSOLACION"), 0)</f>
        <v>0</v>
      </c>
      <c r="AF34" s="24">
        <f>IFERROR(SUMIFS(SUMMARY!D:D, SUMMARY!B:B, A34, SUMMARY!A:A, "PINAMUNGAJAN"), 0)</f>
        <v>0</v>
      </c>
      <c r="AG34" s="24">
        <f>IFERROR(SUMIFS(SUMMARY!D:D, SUMMARY!B:B, A34, SUMMARY!A:A, "CANDIJAY"), 0)</f>
        <v>0</v>
      </c>
      <c r="AH34" s="24">
        <f>IFERROR(SUMIFS(SUMMARY!D:D, SUMMARY!B:B, A34, SUMMARY!A:A, "YATI LILOAN"), 0)</f>
        <v>0</v>
      </c>
      <c r="AI34" s="27">
        <f>IFERROR(SUMIFS(SUMMARY!D:D, SUMMARY!B:B, A34, SUMMARY!A:A, "CAMOTES"), 0)</f>
        <v>0</v>
      </c>
      <c r="AJ34" s="28">
        <f t="shared" si="1"/>
        <v>1</v>
      </c>
    </row>
    <row r="35" ht="15.75" customHeight="1">
      <c r="A35" s="23" t="s">
        <v>636</v>
      </c>
      <c r="B35" s="23" t="s">
        <v>637</v>
      </c>
      <c r="C35" s="24" t="s">
        <v>21</v>
      </c>
      <c r="D35" s="25">
        <f>IFERROR(SUMIFS(SUMMARY!D:D, SUMMARY!B:B, A35, SUMMARY!A:A, "ADMIN"), 0)</f>
        <v>1</v>
      </c>
      <c r="E35" s="25">
        <f>IFERROR(SUMIFS(SUMMARY!D:D, SUMMARY!B:B, A35, SUMMARY!A:A, "WAREHOUSE"), 0)</f>
        <v>0</v>
      </c>
      <c r="F35" s="24">
        <f>IFERROR(SUMIFS(SUMMARY!D:D, SUMMARY!B:B, A35, SUMMARY!A:A, "LAGTANG"), 0)</f>
        <v>0</v>
      </c>
      <c r="G35" s="26">
        <f>IFERROR(SUMIFS(SUMMARY!D:D, SUMMARY!B:B, A35, SUMMARY!A:A, "V-RAMA"), 0)</f>
        <v>0</v>
      </c>
      <c r="H35" s="24">
        <f>IFERROR(SUMIFS(SUMMARY!D:D, SUMMARY!B:B, A35, SUMMARY!A:A, "BULACAO"), 0)</f>
        <v>0</v>
      </c>
      <c r="I35" s="24">
        <f>IFERROR(SUMIFS(SUMMARY!D:D, SUMMARY!B:B, A35, SUMMARY!A:A, "Y3S TALISAY"), 0)</f>
        <v>0</v>
      </c>
      <c r="J35" s="24">
        <f>IFERROR(SUMIFS(SUMMARY!D:D, SUMMARY!B:B, A35, SUMMARY!A:A, "MINGLANILLA"), 0)</f>
        <v>0</v>
      </c>
      <c r="K35" s="24">
        <f>IFERROR(SUMIFS(SUMMARY!D:D, SUMMARY!B:B, A35, SUMMARY!A:A, "Y3S PARDO"), 0)</f>
        <v>0</v>
      </c>
      <c r="L35" s="24">
        <f>IFERROR(SUMIFS(SUMMARY!D:D, SUMMARY!B:B, A35, SUMMARY!A:A, "LAPU-LAPU"), 0)</f>
        <v>0</v>
      </c>
      <c r="M35" s="24">
        <f>IFERROR(SUMIFS(SUMMARY!D:D, SUMMARY!B:B, A35, SUMMARY!A:A, "BACAYAN"), 0)</f>
        <v>0</v>
      </c>
      <c r="N35" s="24">
        <f>IFERROR(SUMIFS(SUMMARY!D:D, SUMMARY!B:B, A35, SUMMARY!A:A, "SAN FERNANDO MB"), 0)</f>
        <v>0</v>
      </c>
      <c r="O35" s="24">
        <f>IFERROR(SUMIFS(SUMMARY!D:D, SUMMARY!B:B, A35, SUMMARY!A:A, "Y3S SAN FERNANDO"), 0)</f>
        <v>0</v>
      </c>
      <c r="P35" s="24">
        <f>IFERROR(SUMIFS(SUMMARY!D:D, SUMMARY!B:B, A35, SUMMARY!A:A, "LILOAN"), 0)</f>
        <v>0</v>
      </c>
      <c r="Q35" s="24">
        <f>IFERROR(SUMIFS(SUMMARY!D:D, SUMMARY!B:B, A35, SUMMARY!A:A, "CORDOVA MB"), 0)</f>
        <v>0</v>
      </c>
      <c r="R35" s="24">
        <f>IFERROR(SUMIFS(SUMMARY!D:D, SUMMARY!B:B, A35, SUMMARY!A:A, "Y3S CORDOVA"), 0)</f>
        <v>0</v>
      </c>
      <c r="S35" s="24">
        <f>IFERROR(SUMIFS(SUMMARY!D:D, SUMMARY!B:B, A35, SUMMARY!A:A, "CLARIN"), 0)</f>
        <v>0</v>
      </c>
      <c r="T35" s="24">
        <f>IFERROR(SUMIFS(SUMMARY!D:D, SUMMARY!B:B, A35, SUMMARY!A:A, "TOLEDO"), 0)</f>
        <v>0</v>
      </c>
      <c r="U35" s="24">
        <f>IFERROR(SUMIFS(SUMMARY!D:D, SUMMARY!B:B, A35, SUMMARY!A:A, "UBAY"), 0)</f>
        <v>0</v>
      </c>
      <c r="V35" s="24">
        <f>IFERROR(SUMIFS(SUMMARY!D:D, SUMMARY!B:B, A35, SUMMARY!A:A, "CARMEN"), 0)</f>
        <v>0</v>
      </c>
      <c r="W35" s="24">
        <f>IFERROR(SUMIFS(SUMMARY!D:D, SUMMARY!B:B, A35, SUMMARY!A:A, "TUBIGON"), 0)</f>
        <v>0</v>
      </c>
      <c r="X35" s="24">
        <f>IFERROR(SUMIFS(SUMMARY!D:D, SUMMARY!B:B, A35, SUMMARY!A:A, "TALIBON"), 0)</f>
        <v>0</v>
      </c>
      <c r="Y35" s="24">
        <f>IFERROR(SUMIFS(SUMMARY!D:D, SUMMARY!B:B, A35, SUMMARY!A:A, "BOGO"), 0)</f>
        <v>0</v>
      </c>
      <c r="Z35" s="24">
        <f>IFERROR(SUMIFS(SUMMARY!D:D, SUMMARY!B:B, A35, SUMMARY!A:A, "BALAMBAN"), 0)</f>
        <v>0</v>
      </c>
      <c r="AA35" s="24">
        <f>IFERROR(SUMIFS(SUMMARY!D:D, SUMMARY!B:B, A35, SUMMARY!A:A, "Y3S BARILI"), 0)</f>
        <v>0</v>
      </c>
      <c r="AB35" s="24">
        <f>IFERROR(SUMIFS(SUMMARY!D:D, SUMMARY!B:B, A35, SUMMARY!A:A, "BARILI MB"), 0)</f>
        <v>0</v>
      </c>
      <c r="AC35" s="24">
        <f>IFERROR(SUMIFS(SUMMARY!D:D, SUMMARY!B:B, A35, SUMMARY!A:A, "SIERRA BULLONES"), 0)</f>
        <v>0</v>
      </c>
      <c r="AD35" s="24">
        <f>IFERROR(SUMIFS(SUMMARY!D:D, SUMMARY!B:B, A35, SUMMARY!A:A, "PITOGO"), 0)</f>
        <v>0</v>
      </c>
      <c r="AE35" s="24">
        <f>IFERROR(SUMIFS(SUMMARY!D:D, SUMMARY!B:B, A35, SUMMARY!A:A, "TAYUD CONSOLACION"), 0)</f>
        <v>0</v>
      </c>
      <c r="AF35" s="24">
        <f>IFERROR(SUMIFS(SUMMARY!D:D, SUMMARY!B:B, A35, SUMMARY!A:A, "PINAMUNGAJAN"), 0)</f>
        <v>0</v>
      </c>
      <c r="AG35" s="24">
        <f>IFERROR(SUMIFS(SUMMARY!D:D, SUMMARY!B:B, A35, SUMMARY!A:A, "CANDIJAY"), 0)</f>
        <v>0</v>
      </c>
      <c r="AH35" s="24">
        <f>IFERROR(SUMIFS(SUMMARY!D:D, SUMMARY!B:B, A35, SUMMARY!A:A, "YATI LILOAN"), 0)</f>
        <v>0</v>
      </c>
      <c r="AI35" s="27">
        <f>IFERROR(SUMIFS(SUMMARY!D:D, SUMMARY!B:B, A35, SUMMARY!A:A, "CAMOTES"), 0)</f>
        <v>0</v>
      </c>
      <c r="AJ35" s="28">
        <f t="shared" si="1"/>
        <v>1</v>
      </c>
    </row>
    <row r="36" ht="15.75" customHeight="1">
      <c r="A36" s="23" t="s">
        <v>638</v>
      </c>
      <c r="B36" s="23" t="s">
        <v>639</v>
      </c>
      <c r="C36" s="24" t="s">
        <v>21</v>
      </c>
      <c r="D36" s="25">
        <f>IFERROR(SUMIFS(SUMMARY!D:D, SUMMARY!B:B, A36, SUMMARY!A:A, "ADMIN"), 0)</f>
        <v>0</v>
      </c>
      <c r="E36" s="25">
        <f>IFERROR(SUMIFS(SUMMARY!D:D, SUMMARY!B:B, A36, SUMMARY!A:A, "WAREHOUSE"), 0)</f>
        <v>0</v>
      </c>
      <c r="F36" s="24">
        <f>IFERROR(SUMIFS(SUMMARY!D:D, SUMMARY!B:B, A36, SUMMARY!A:A, "LAGTANG"), 0)</f>
        <v>0</v>
      </c>
      <c r="G36" s="26">
        <f>IFERROR(SUMIFS(SUMMARY!D:D, SUMMARY!B:B, A36, SUMMARY!A:A, "V-RAMA"), 0)</f>
        <v>0</v>
      </c>
      <c r="H36" s="24">
        <f>IFERROR(SUMIFS(SUMMARY!D:D, SUMMARY!B:B, A36, SUMMARY!A:A, "BULACAO"), 0)</f>
        <v>0</v>
      </c>
      <c r="I36" s="24">
        <f>IFERROR(SUMIFS(SUMMARY!D:D, SUMMARY!B:B, A36, SUMMARY!A:A, "Y3S TALISAY"), 0)</f>
        <v>0</v>
      </c>
      <c r="J36" s="24">
        <f>IFERROR(SUMIFS(SUMMARY!D:D, SUMMARY!B:B, A36, SUMMARY!A:A, "MINGLANILLA"), 0)</f>
        <v>0</v>
      </c>
      <c r="K36" s="24">
        <f>IFERROR(SUMIFS(SUMMARY!D:D, SUMMARY!B:B, A36, SUMMARY!A:A, "Y3S PARDO"), 0)</f>
        <v>0</v>
      </c>
      <c r="L36" s="24">
        <f>IFERROR(SUMIFS(SUMMARY!D:D, SUMMARY!B:B, A36, SUMMARY!A:A, "LAPU-LAPU"), 0)</f>
        <v>0</v>
      </c>
      <c r="M36" s="24">
        <f>IFERROR(SUMIFS(SUMMARY!D:D, SUMMARY!B:B, A36, SUMMARY!A:A, "BACAYAN"), 0)</f>
        <v>0</v>
      </c>
      <c r="N36" s="24">
        <f>IFERROR(SUMIFS(SUMMARY!D:D, SUMMARY!B:B, A36, SUMMARY!A:A, "SAN FERNANDO MB"), 0)</f>
        <v>0</v>
      </c>
      <c r="O36" s="24">
        <f>IFERROR(SUMIFS(SUMMARY!D:D, SUMMARY!B:B, A36, SUMMARY!A:A, "Y3S SAN FERNANDO"), 0)</f>
        <v>0</v>
      </c>
      <c r="P36" s="24">
        <f>IFERROR(SUMIFS(SUMMARY!D:D, SUMMARY!B:B, A36, SUMMARY!A:A, "LILOAN"), 0)</f>
        <v>1</v>
      </c>
      <c r="Q36" s="24">
        <f>IFERROR(SUMIFS(SUMMARY!D:D, SUMMARY!B:B, A36, SUMMARY!A:A, "CORDOVA MB"), 0)</f>
        <v>0</v>
      </c>
      <c r="R36" s="24">
        <f>IFERROR(SUMIFS(SUMMARY!D:D, SUMMARY!B:B, A36, SUMMARY!A:A, "Y3S CORDOVA"), 0)</f>
        <v>0</v>
      </c>
      <c r="S36" s="24">
        <f>IFERROR(SUMIFS(SUMMARY!D:D, SUMMARY!B:B, A36, SUMMARY!A:A, "CLARIN"), 0)</f>
        <v>0</v>
      </c>
      <c r="T36" s="24">
        <f>IFERROR(SUMIFS(SUMMARY!D:D, SUMMARY!B:B, A36, SUMMARY!A:A, "TOLEDO"), 0)</f>
        <v>1</v>
      </c>
      <c r="U36" s="24">
        <f>IFERROR(SUMIFS(SUMMARY!D:D, SUMMARY!B:B, A36, SUMMARY!A:A, "UBAY"), 0)</f>
        <v>0</v>
      </c>
      <c r="V36" s="24">
        <f>IFERROR(SUMIFS(SUMMARY!D:D, SUMMARY!B:B, A36, SUMMARY!A:A, "CARMEN"), 0)</f>
        <v>0</v>
      </c>
      <c r="W36" s="24">
        <f>IFERROR(SUMIFS(SUMMARY!D:D, SUMMARY!B:B, A36, SUMMARY!A:A, "TUBIGON"), 0)</f>
        <v>0</v>
      </c>
      <c r="X36" s="24">
        <f>IFERROR(SUMIFS(SUMMARY!D:D, SUMMARY!B:B, A36, SUMMARY!A:A, "TALIBON"), 0)</f>
        <v>1</v>
      </c>
      <c r="Y36" s="24">
        <f>IFERROR(SUMIFS(SUMMARY!D:D, SUMMARY!B:B, A36, SUMMARY!A:A, "BOGO"), 0)</f>
        <v>0</v>
      </c>
      <c r="Z36" s="24">
        <f>IFERROR(SUMIFS(SUMMARY!D:D, SUMMARY!B:B, A36, SUMMARY!A:A, "BALAMBAN"), 0)</f>
        <v>0</v>
      </c>
      <c r="AA36" s="24">
        <f>IFERROR(SUMIFS(SUMMARY!D:D, SUMMARY!B:B, A36, SUMMARY!A:A, "Y3S BARILI"), 0)</f>
        <v>0</v>
      </c>
      <c r="AB36" s="24">
        <f>IFERROR(SUMIFS(SUMMARY!D:D, SUMMARY!B:B, A36, SUMMARY!A:A, "BARILI MB"), 0)</f>
        <v>0</v>
      </c>
      <c r="AC36" s="24">
        <f>IFERROR(SUMIFS(SUMMARY!D:D, SUMMARY!B:B, A36, SUMMARY!A:A, "SIERRA BULLONES"), 0)</f>
        <v>0</v>
      </c>
      <c r="AD36" s="24">
        <f>IFERROR(SUMIFS(SUMMARY!D:D, SUMMARY!B:B, A36, SUMMARY!A:A, "PITOGO"), 0)</f>
        <v>0</v>
      </c>
      <c r="AE36" s="24">
        <f>IFERROR(SUMIFS(SUMMARY!D:D, SUMMARY!B:B, A36, SUMMARY!A:A, "TAYUD CONSOLACION"), 0)</f>
        <v>1</v>
      </c>
      <c r="AF36" s="24">
        <f>IFERROR(SUMIFS(SUMMARY!D:D, SUMMARY!B:B, A36, SUMMARY!A:A, "PINAMUNGAJAN"), 0)</f>
        <v>0</v>
      </c>
      <c r="AG36" s="24">
        <f>IFERROR(SUMIFS(SUMMARY!D:D, SUMMARY!B:B, A36, SUMMARY!A:A, "CANDIJAY"), 0)</f>
        <v>0</v>
      </c>
      <c r="AH36" s="24">
        <f>IFERROR(SUMIFS(SUMMARY!D:D, SUMMARY!B:B, A36, SUMMARY!A:A, "YATI LILOAN"), 0)</f>
        <v>0</v>
      </c>
      <c r="AI36" s="27">
        <f>IFERROR(SUMIFS(SUMMARY!D:D, SUMMARY!B:B, A36, SUMMARY!A:A, "CAMOTES"), 0)</f>
        <v>0</v>
      </c>
      <c r="AJ36" s="28">
        <f t="shared" si="1"/>
        <v>4</v>
      </c>
    </row>
    <row r="37" ht="15.75" customHeight="1">
      <c r="A37" s="23" t="s">
        <v>640</v>
      </c>
      <c r="B37" s="23" t="s">
        <v>641</v>
      </c>
      <c r="C37" s="24" t="s">
        <v>21</v>
      </c>
      <c r="D37" s="25">
        <f>IFERROR(SUMIFS(SUMMARY!D:D, SUMMARY!B:B, A37, SUMMARY!A:A, "ADMIN"), 0)</f>
        <v>0</v>
      </c>
      <c r="E37" s="25">
        <f>IFERROR(SUMIFS(SUMMARY!D:D, SUMMARY!B:B, A37, SUMMARY!A:A, "WAREHOUSE"), 0)</f>
        <v>0</v>
      </c>
      <c r="F37" s="24">
        <f>IFERROR(SUMIFS(SUMMARY!D:D, SUMMARY!B:B, A37, SUMMARY!A:A, "LAGTANG"), 0)</f>
        <v>0</v>
      </c>
      <c r="G37" s="26">
        <f>IFERROR(SUMIFS(SUMMARY!D:D, SUMMARY!B:B, A37, SUMMARY!A:A, "V-RAMA"), 0)</f>
        <v>0</v>
      </c>
      <c r="H37" s="24">
        <f>IFERROR(SUMIFS(SUMMARY!D:D, SUMMARY!B:B, A37, SUMMARY!A:A, "BULACAO"), 0)</f>
        <v>0</v>
      </c>
      <c r="I37" s="24">
        <f>IFERROR(SUMIFS(SUMMARY!D:D, SUMMARY!B:B, A37, SUMMARY!A:A, "Y3S TALISAY"), 0)</f>
        <v>0</v>
      </c>
      <c r="J37" s="24">
        <f>IFERROR(SUMIFS(SUMMARY!D:D, SUMMARY!B:B, A37, SUMMARY!A:A, "MINGLANILLA"), 0)</f>
        <v>0</v>
      </c>
      <c r="K37" s="24">
        <f>IFERROR(SUMIFS(SUMMARY!D:D, SUMMARY!B:B, A37, SUMMARY!A:A, "Y3S PARDO"), 0)</f>
        <v>2</v>
      </c>
      <c r="L37" s="24">
        <f>IFERROR(SUMIFS(SUMMARY!D:D, SUMMARY!B:B, A37, SUMMARY!A:A, "LAPU-LAPU"), 0)</f>
        <v>0</v>
      </c>
      <c r="M37" s="24">
        <f>IFERROR(SUMIFS(SUMMARY!D:D, SUMMARY!B:B, A37, SUMMARY!A:A, "BACAYAN"), 0)</f>
        <v>2</v>
      </c>
      <c r="N37" s="24">
        <f>IFERROR(SUMIFS(SUMMARY!D:D, SUMMARY!B:B, A37, SUMMARY!A:A, "SAN FERNANDO MB"), 0)</f>
        <v>0</v>
      </c>
      <c r="O37" s="24">
        <f>IFERROR(SUMIFS(SUMMARY!D:D, SUMMARY!B:B, A37, SUMMARY!A:A, "Y3S SAN FERNANDO"), 0)</f>
        <v>3</v>
      </c>
      <c r="P37" s="24">
        <f>IFERROR(SUMIFS(SUMMARY!D:D, SUMMARY!B:B, A37, SUMMARY!A:A, "LILOAN"), 0)</f>
        <v>1</v>
      </c>
      <c r="Q37" s="24">
        <f>IFERROR(SUMIFS(SUMMARY!D:D, SUMMARY!B:B, A37, SUMMARY!A:A, "CORDOVA MB"), 0)</f>
        <v>2</v>
      </c>
      <c r="R37" s="24">
        <f>IFERROR(SUMIFS(SUMMARY!D:D, SUMMARY!B:B, A37, SUMMARY!A:A, "Y3S CORDOVA"), 0)</f>
        <v>0</v>
      </c>
      <c r="S37" s="24">
        <f>IFERROR(SUMIFS(SUMMARY!D:D, SUMMARY!B:B, A37, SUMMARY!A:A, "CLARIN"), 0)</f>
        <v>3</v>
      </c>
      <c r="T37" s="24">
        <f>IFERROR(SUMIFS(SUMMARY!D:D, SUMMARY!B:B, A37, SUMMARY!A:A, "TOLEDO"), 0)</f>
        <v>0</v>
      </c>
      <c r="U37" s="24">
        <f>IFERROR(SUMIFS(SUMMARY!D:D, SUMMARY!B:B, A37, SUMMARY!A:A, "UBAY"), 0)</f>
        <v>2</v>
      </c>
      <c r="V37" s="24">
        <f>IFERROR(SUMIFS(SUMMARY!D:D, SUMMARY!B:B, A37, SUMMARY!A:A, "CARMEN"), 0)</f>
        <v>0</v>
      </c>
      <c r="W37" s="24">
        <f>IFERROR(SUMIFS(SUMMARY!D:D, SUMMARY!B:B, A37, SUMMARY!A:A, "TUBIGON"), 0)</f>
        <v>0</v>
      </c>
      <c r="X37" s="24">
        <f>IFERROR(SUMIFS(SUMMARY!D:D, SUMMARY!B:B, A37, SUMMARY!A:A, "TALIBON"), 0)</f>
        <v>3</v>
      </c>
      <c r="Y37" s="24">
        <f>IFERROR(SUMIFS(SUMMARY!D:D, SUMMARY!B:B, A37, SUMMARY!A:A, "BOGO"), 0)</f>
        <v>0</v>
      </c>
      <c r="Z37" s="24">
        <f>IFERROR(SUMIFS(SUMMARY!D:D, SUMMARY!B:B, A37, SUMMARY!A:A, "BALAMBAN"), 0)</f>
        <v>2</v>
      </c>
      <c r="AA37" s="24">
        <f>IFERROR(SUMIFS(SUMMARY!D:D, SUMMARY!B:B, A37, SUMMARY!A:A, "Y3S BARILI"), 0)</f>
        <v>0</v>
      </c>
      <c r="AB37" s="24">
        <f>IFERROR(SUMIFS(SUMMARY!D:D, SUMMARY!B:B, A37, SUMMARY!A:A, "BARILI MB"), 0)</f>
        <v>2</v>
      </c>
      <c r="AC37" s="24">
        <f>IFERROR(SUMIFS(SUMMARY!D:D, SUMMARY!B:B, A37, SUMMARY!A:A, "SIERRA BULLONES"), 0)</f>
        <v>0</v>
      </c>
      <c r="AD37" s="24">
        <f>IFERROR(SUMIFS(SUMMARY!D:D, SUMMARY!B:B, A37, SUMMARY!A:A, "PITOGO"), 0)</f>
        <v>0</v>
      </c>
      <c r="AE37" s="24">
        <f>IFERROR(SUMIFS(SUMMARY!D:D, SUMMARY!B:B, A37, SUMMARY!A:A, "TAYUD CONSOLACION"), 0)</f>
        <v>2</v>
      </c>
      <c r="AF37" s="24">
        <f>IFERROR(SUMIFS(SUMMARY!D:D, SUMMARY!B:B, A37, SUMMARY!A:A, "PINAMUNGAJAN"), 0)</f>
        <v>0</v>
      </c>
      <c r="AG37" s="24">
        <f>IFERROR(SUMIFS(SUMMARY!D:D, SUMMARY!B:B, A37, SUMMARY!A:A, "CANDIJAY"), 0)</f>
        <v>0</v>
      </c>
      <c r="AH37" s="24">
        <f>IFERROR(SUMIFS(SUMMARY!D:D, SUMMARY!B:B, A37, SUMMARY!A:A, "YATI LILOAN"), 0)</f>
        <v>0</v>
      </c>
      <c r="AI37" s="27">
        <f>IFERROR(SUMIFS(SUMMARY!D:D, SUMMARY!B:B, A37, SUMMARY!A:A, "CAMOTES"), 0)</f>
        <v>0</v>
      </c>
      <c r="AJ37" s="28">
        <f t="shared" si="1"/>
        <v>24</v>
      </c>
    </row>
    <row r="38" ht="15.75" customHeight="1">
      <c r="A38" s="23" t="s">
        <v>642</v>
      </c>
      <c r="B38" s="23" t="s">
        <v>643</v>
      </c>
      <c r="C38" s="24" t="s">
        <v>21</v>
      </c>
      <c r="D38" s="25">
        <f>IFERROR(SUMIFS(SUMMARY!D:D, SUMMARY!B:B, A38, SUMMARY!A:A, "ADMIN"), 0)</f>
        <v>0</v>
      </c>
      <c r="E38" s="25">
        <f>IFERROR(SUMIFS(SUMMARY!D:D, SUMMARY!B:B, A38, SUMMARY!A:A, "WAREHOUSE"), 0)</f>
        <v>0</v>
      </c>
      <c r="F38" s="24">
        <f>IFERROR(SUMIFS(SUMMARY!D:D, SUMMARY!B:B, A38, SUMMARY!A:A, "LAGTANG"), 0)</f>
        <v>0</v>
      </c>
      <c r="G38" s="26">
        <f>IFERROR(SUMIFS(SUMMARY!D:D, SUMMARY!B:B, A38, SUMMARY!A:A, "V-RAMA"), 0)</f>
        <v>0</v>
      </c>
      <c r="H38" s="24">
        <f>IFERROR(SUMIFS(SUMMARY!D:D, SUMMARY!B:B, A38, SUMMARY!A:A, "BULACAO"), 0)</f>
        <v>0</v>
      </c>
      <c r="I38" s="24">
        <f>IFERROR(SUMIFS(SUMMARY!D:D, SUMMARY!B:B, A38, SUMMARY!A:A, "Y3S TALISAY"), 0)</f>
        <v>0</v>
      </c>
      <c r="J38" s="24">
        <f>IFERROR(SUMIFS(SUMMARY!D:D, SUMMARY!B:B, A38, SUMMARY!A:A, "MINGLANILLA"), 0)</f>
        <v>0</v>
      </c>
      <c r="K38" s="24">
        <f>IFERROR(SUMIFS(SUMMARY!D:D, SUMMARY!B:B, A38, SUMMARY!A:A, "Y3S PARDO"), 0)</f>
        <v>0</v>
      </c>
      <c r="L38" s="24">
        <f>IFERROR(SUMIFS(SUMMARY!D:D, SUMMARY!B:B, A38, SUMMARY!A:A, "LAPU-LAPU"), 0)</f>
        <v>0</v>
      </c>
      <c r="M38" s="24">
        <f>IFERROR(SUMIFS(SUMMARY!D:D, SUMMARY!B:B, A38, SUMMARY!A:A, "BACAYAN"), 0)</f>
        <v>0</v>
      </c>
      <c r="N38" s="24">
        <f>IFERROR(SUMIFS(SUMMARY!D:D, SUMMARY!B:B, A38, SUMMARY!A:A, "SAN FERNANDO MB"), 0)</f>
        <v>0</v>
      </c>
      <c r="O38" s="24">
        <f>IFERROR(SUMIFS(SUMMARY!D:D, SUMMARY!B:B, A38, SUMMARY!A:A, "Y3S SAN FERNANDO"), 0)</f>
        <v>0</v>
      </c>
      <c r="P38" s="24">
        <f>IFERROR(SUMIFS(SUMMARY!D:D, SUMMARY!B:B, A38, SUMMARY!A:A, "LILOAN"), 0)</f>
        <v>0</v>
      </c>
      <c r="Q38" s="24">
        <f>IFERROR(SUMIFS(SUMMARY!D:D, SUMMARY!B:B, A38, SUMMARY!A:A, "CORDOVA MB"), 0)</f>
        <v>0</v>
      </c>
      <c r="R38" s="24">
        <f>IFERROR(SUMIFS(SUMMARY!D:D, SUMMARY!B:B, A38, SUMMARY!A:A, "Y3S CORDOVA"), 0)</f>
        <v>0</v>
      </c>
      <c r="S38" s="24">
        <f>IFERROR(SUMIFS(SUMMARY!D:D, SUMMARY!B:B, A38, SUMMARY!A:A, "CLARIN"), 0)</f>
        <v>0</v>
      </c>
      <c r="T38" s="24">
        <f>IFERROR(SUMIFS(SUMMARY!D:D, SUMMARY!B:B, A38, SUMMARY!A:A, "TOLEDO"), 0)</f>
        <v>0</v>
      </c>
      <c r="U38" s="24">
        <f>IFERROR(SUMIFS(SUMMARY!D:D, SUMMARY!B:B, A38, SUMMARY!A:A, "UBAY"), 0)</f>
        <v>0</v>
      </c>
      <c r="V38" s="24">
        <f>IFERROR(SUMIFS(SUMMARY!D:D, SUMMARY!B:B, A38, SUMMARY!A:A, "CARMEN"), 0)</f>
        <v>0</v>
      </c>
      <c r="W38" s="24">
        <f>IFERROR(SUMIFS(SUMMARY!D:D, SUMMARY!B:B, A38, SUMMARY!A:A, "TUBIGON"), 0)</f>
        <v>0</v>
      </c>
      <c r="X38" s="24">
        <f>IFERROR(SUMIFS(SUMMARY!D:D, SUMMARY!B:B, A38, SUMMARY!A:A, "TALIBON"), 0)</f>
        <v>0</v>
      </c>
      <c r="Y38" s="24">
        <f>IFERROR(SUMIFS(SUMMARY!D:D, SUMMARY!B:B, A38, SUMMARY!A:A, "BOGO"), 0)</f>
        <v>0</v>
      </c>
      <c r="Z38" s="24">
        <f>IFERROR(SUMIFS(SUMMARY!D:D, SUMMARY!B:B, A38, SUMMARY!A:A, "BALAMBAN"), 0)</f>
        <v>0</v>
      </c>
      <c r="AA38" s="24">
        <f>IFERROR(SUMIFS(SUMMARY!D:D, SUMMARY!B:B, A38, SUMMARY!A:A, "Y3S BARILI"), 0)</f>
        <v>0</v>
      </c>
      <c r="AB38" s="24">
        <f>IFERROR(SUMIFS(SUMMARY!D:D, SUMMARY!B:B, A38, SUMMARY!A:A, "BARILI MB"), 0)</f>
        <v>0</v>
      </c>
      <c r="AC38" s="24">
        <f>IFERROR(SUMIFS(SUMMARY!D:D, SUMMARY!B:B, A38, SUMMARY!A:A, "SIERRA BULLONES"), 0)</f>
        <v>0</v>
      </c>
      <c r="AD38" s="24">
        <f>IFERROR(SUMIFS(SUMMARY!D:D, SUMMARY!B:B, A38, SUMMARY!A:A, "PITOGO"), 0)</f>
        <v>0</v>
      </c>
      <c r="AE38" s="24">
        <f>IFERROR(SUMIFS(SUMMARY!D:D, SUMMARY!B:B, A38, SUMMARY!A:A, "TAYUD CONSOLACION"), 0)</f>
        <v>0</v>
      </c>
      <c r="AF38" s="24">
        <f>IFERROR(SUMIFS(SUMMARY!D:D, SUMMARY!B:B, A38, SUMMARY!A:A, "PINAMUNGAJAN"), 0)</f>
        <v>0</v>
      </c>
      <c r="AG38" s="24">
        <f>IFERROR(SUMIFS(SUMMARY!D:D, SUMMARY!B:B, A38, SUMMARY!A:A, "CANDIJAY"), 0)</f>
        <v>0</v>
      </c>
      <c r="AH38" s="24">
        <f>IFERROR(SUMIFS(SUMMARY!D:D, SUMMARY!B:B, A38, SUMMARY!A:A, "YATI LILOAN"), 0)</f>
        <v>0</v>
      </c>
      <c r="AI38" s="27">
        <f>IFERROR(SUMIFS(SUMMARY!D:D, SUMMARY!B:B, A38, SUMMARY!A:A, "CAMOTES"), 0)</f>
        <v>0</v>
      </c>
      <c r="AJ38" s="28">
        <f t="shared" si="1"/>
        <v>0</v>
      </c>
    </row>
    <row r="39" ht="15.75" customHeight="1">
      <c r="A39" s="23" t="s">
        <v>644</v>
      </c>
      <c r="B39" s="23" t="s">
        <v>645</v>
      </c>
      <c r="C39" s="24" t="s">
        <v>21</v>
      </c>
      <c r="D39" s="25">
        <f>IFERROR(SUMIFS(SUMMARY!D:D, SUMMARY!B:B, A39, SUMMARY!A:A, "ADMIN"), 0)</f>
        <v>0</v>
      </c>
      <c r="E39" s="25">
        <f>IFERROR(SUMIFS(SUMMARY!D:D, SUMMARY!B:B, A39, SUMMARY!A:A, "WAREHOUSE"), 0)</f>
        <v>3</v>
      </c>
      <c r="F39" s="24">
        <f>IFERROR(SUMIFS(SUMMARY!D:D, SUMMARY!B:B, A39, SUMMARY!A:A, "LAGTANG"), 0)</f>
        <v>1</v>
      </c>
      <c r="G39" s="26">
        <f>IFERROR(SUMIFS(SUMMARY!D:D, SUMMARY!B:B, A39, SUMMARY!A:A, "V-RAMA"), 0)</f>
        <v>2</v>
      </c>
      <c r="H39" s="24">
        <f>IFERROR(SUMIFS(SUMMARY!D:D, SUMMARY!B:B, A39, SUMMARY!A:A, "BULACAO"), 0)</f>
        <v>0</v>
      </c>
      <c r="I39" s="24">
        <f>IFERROR(SUMIFS(SUMMARY!D:D, SUMMARY!B:B, A39, SUMMARY!A:A, "Y3S TALISAY"), 0)</f>
        <v>0</v>
      </c>
      <c r="J39" s="24">
        <f>IFERROR(SUMIFS(SUMMARY!D:D, SUMMARY!B:B, A39, SUMMARY!A:A, "MINGLANILLA"), 0)</f>
        <v>1</v>
      </c>
      <c r="K39" s="24">
        <f>IFERROR(SUMIFS(SUMMARY!D:D, SUMMARY!B:B, A39, SUMMARY!A:A, "Y3S PARDO"), 0)</f>
        <v>0</v>
      </c>
      <c r="L39" s="24">
        <f>IFERROR(SUMIFS(SUMMARY!D:D, SUMMARY!B:B, A39, SUMMARY!A:A, "LAPU-LAPU"), 0)</f>
        <v>0</v>
      </c>
      <c r="M39" s="24">
        <f>IFERROR(SUMIFS(SUMMARY!D:D, SUMMARY!B:B, A39, SUMMARY!A:A, "BACAYAN"), 0)</f>
        <v>0</v>
      </c>
      <c r="N39" s="24">
        <f>IFERROR(SUMIFS(SUMMARY!D:D, SUMMARY!B:B, A39, SUMMARY!A:A, "SAN FERNANDO MB"), 0)</f>
        <v>0</v>
      </c>
      <c r="O39" s="24">
        <f>IFERROR(SUMIFS(SUMMARY!D:D, SUMMARY!B:B, A39, SUMMARY!A:A, "Y3S SAN FERNANDO"), 0)</f>
        <v>0</v>
      </c>
      <c r="P39" s="24">
        <f>IFERROR(SUMIFS(SUMMARY!D:D, SUMMARY!B:B, A39, SUMMARY!A:A, "LILOAN"), 0)</f>
        <v>0</v>
      </c>
      <c r="Q39" s="24">
        <f>IFERROR(SUMIFS(SUMMARY!D:D, SUMMARY!B:B, A39, SUMMARY!A:A, "CORDOVA MB"), 0)</f>
        <v>0</v>
      </c>
      <c r="R39" s="24">
        <f>IFERROR(SUMIFS(SUMMARY!D:D, SUMMARY!B:B, A39, SUMMARY!A:A, "Y3S CORDOVA"), 0)</f>
        <v>0</v>
      </c>
      <c r="S39" s="24">
        <f>IFERROR(SUMIFS(SUMMARY!D:D, SUMMARY!B:B, A39, SUMMARY!A:A, "CLARIN"), 0)</f>
        <v>3</v>
      </c>
      <c r="T39" s="24">
        <f>IFERROR(SUMIFS(SUMMARY!D:D, SUMMARY!B:B, A39, SUMMARY!A:A, "TOLEDO"), 0)</f>
        <v>0</v>
      </c>
      <c r="U39" s="24">
        <f>IFERROR(SUMIFS(SUMMARY!D:D, SUMMARY!B:B, A39, SUMMARY!A:A, "UBAY"), 0)</f>
        <v>0</v>
      </c>
      <c r="V39" s="24">
        <f>IFERROR(SUMIFS(SUMMARY!D:D, SUMMARY!B:B, A39, SUMMARY!A:A, "CARMEN"), 0)</f>
        <v>0</v>
      </c>
      <c r="W39" s="24">
        <f>IFERROR(SUMIFS(SUMMARY!D:D, SUMMARY!B:B, A39, SUMMARY!A:A, "TUBIGON"), 0)</f>
        <v>3</v>
      </c>
      <c r="X39" s="24">
        <f>IFERROR(SUMIFS(SUMMARY!D:D, SUMMARY!B:B, A39, SUMMARY!A:A, "TALIBON"), 0)</f>
        <v>0</v>
      </c>
      <c r="Y39" s="24">
        <f>IFERROR(SUMIFS(SUMMARY!D:D, SUMMARY!B:B, A39, SUMMARY!A:A, "BOGO"), 0)</f>
        <v>0</v>
      </c>
      <c r="Z39" s="24">
        <f>IFERROR(SUMIFS(SUMMARY!D:D, SUMMARY!B:B, A39, SUMMARY!A:A, "BALAMBAN"), 0)</f>
        <v>1</v>
      </c>
      <c r="AA39" s="24">
        <f>IFERROR(SUMIFS(SUMMARY!D:D, SUMMARY!B:B, A39, SUMMARY!A:A, "Y3S BARILI"), 0)</f>
        <v>2</v>
      </c>
      <c r="AB39" s="24">
        <f>IFERROR(SUMIFS(SUMMARY!D:D, SUMMARY!B:B, A39, SUMMARY!A:A, "BARILI MB"), 0)</f>
        <v>0</v>
      </c>
      <c r="AC39" s="24">
        <f>IFERROR(SUMIFS(SUMMARY!D:D, SUMMARY!B:B, A39, SUMMARY!A:A, "SIERRA BULLONES"), 0)</f>
        <v>0</v>
      </c>
      <c r="AD39" s="24">
        <f>IFERROR(SUMIFS(SUMMARY!D:D, SUMMARY!B:B, A39, SUMMARY!A:A, "PITOGO"), 0)</f>
        <v>0</v>
      </c>
      <c r="AE39" s="24">
        <f>IFERROR(SUMIFS(SUMMARY!D:D, SUMMARY!B:B, A39, SUMMARY!A:A, "TAYUD CONSOLACION"), 0)</f>
        <v>2</v>
      </c>
      <c r="AF39" s="24">
        <f>IFERROR(SUMIFS(SUMMARY!D:D, SUMMARY!B:B, A39, SUMMARY!A:A, "PINAMUNGAJAN"), 0)</f>
        <v>0</v>
      </c>
      <c r="AG39" s="24">
        <f>IFERROR(SUMIFS(SUMMARY!D:D, SUMMARY!B:B, A39, SUMMARY!A:A, "CANDIJAY"), 0)</f>
        <v>3</v>
      </c>
      <c r="AH39" s="24">
        <f>IFERROR(SUMIFS(SUMMARY!D:D, SUMMARY!B:B, A39, SUMMARY!A:A, "YATI LILOAN"), 0)</f>
        <v>1</v>
      </c>
      <c r="AI39" s="27">
        <f>IFERROR(SUMIFS(SUMMARY!D:D, SUMMARY!B:B, A39, SUMMARY!A:A, "CAMOTES"), 0)</f>
        <v>0</v>
      </c>
      <c r="AJ39" s="28">
        <f t="shared" si="1"/>
        <v>22</v>
      </c>
    </row>
    <row r="40" ht="15.75" customHeight="1">
      <c r="A40" s="23" t="s">
        <v>646</v>
      </c>
      <c r="B40" s="23" t="s">
        <v>647</v>
      </c>
      <c r="C40" s="24" t="s">
        <v>21</v>
      </c>
      <c r="D40" s="25">
        <f>IFERROR(SUMIFS(SUMMARY!D:D, SUMMARY!B:B, A40, SUMMARY!A:A, "ADMIN"), 0)</f>
        <v>0</v>
      </c>
      <c r="E40" s="25">
        <f>IFERROR(SUMIFS(SUMMARY!D:D, SUMMARY!B:B, A40, SUMMARY!A:A, "WAREHOUSE"), 0)</f>
        <v>0</v>
      </c>
      <c r="F40" s="24">
        <f>IFERROR(SUMIFS(SUMMARY!D:D, SUMMARY!B:B, A40, SUMMARY!A:A, "LAGTANG"), 0)</f>
        <v>0</v>
      </c>
      <c r="G40" s="26">
        <f>IFERROR(SUMIFS(SUMMARY!D:D, SUMMARY!B:B, A40, SUMMARY!A:A, "V-RAMA"), 0)</f>
        <v>1</v>
      </c>
      <c r="H40" s="24">
        <f>IFERROR(SUMIFS(SUMMARY!D:D, SUMMARY!B:B, A40, SUMMARY!A:A, "BULACAO"), 0)</f>
        <v>0</v>
      </c>
      <c r="I40" s="24">
        <f>IFERROR(SUMIFS(SUMMARY!D:D, SUMMARY!B:B, A40, SUMMARY!A:A, "Y3S TALISAY"), 0)</f>
        <v>0</v>
      </c>
      <c r="J40" s="24">
        <f>IFERROR(SUMIFS(SUMMARY!D:D, SUMMARY!B:B, A40, SUMMARY!A:A, "MINGLANILLA"), 0)</f>
        <v>0</v>
      </c>
      <c r="K40" s="24">
        <f>IFERROR(SUMIFS(SUMMARY!D:D, SUMMARY!B:B, A40, SUMMARY!A:A, "Y3S PARDO"), 0)</f>
        <v>0</v>
      </c>
      <c r="L40" s="24">
        <f>IFERROR(SUMIFS(SUMMARY!D:D, SUMMARY!B:B, A40, SUMMARY!A:A, "LAPU-LAPU"), 0)</f>
        <v>0</v>
      </c>
      <c r="M40" s="24">
        <f>IFERROR(SUMIFS(SUMMARY!D:D, SUMMARY!B:B, A40, SUMMARY!A:A, "BACAYAN"), 0)</f>
        <v>0</v>
      </c>
      <c r="N40" s="24">
        <f>IFERROR(SUMIFS(SUMMARY!D:D, SUMMARY!B:B, A40, SUMMARY!A:A, "SAN FERNANDO MB"), 0)</f>
        <v>0</v>
      </c>
      <c r="O40" s="24">
        <f>IFERROR(SUMIFS(SUMMARY!D:D, SUMMARY!B:B, A40, SUMMARY!A:A, "Y3S SAN FERNANDO"), 0)</f>
        <v>0</v>
      </c>
      <c r="P40" s="24">
        <f>IFERROR(SUMIFS(SUMMARY!D:D, SUMMARY!B:B, A40, SUMMARY!A:A, "LILOAN"), 0)</f>
        <v>0</v>
      </c>
      <c r="Q40" s="24">
        <f>IFERROR(SUMIFS(SUMMARY!D:D, SUMMARY!B:B, A40, SUMMARY!A:A, "CORDOVA MB"), 0)</f>
        <v>0</v>
      </c>
      <c r="R40" s="24">
        <f>IFERROR(SUMIFS(SUMMARY!D:D, SUMMARY!B:B, A40, SUMMARY!A:A, "Y3S CORDOVA"), 0)</f>
        <v>2</v>
      </c>
      <c r="S40" s="24">
        <f>IFERROR(SUMIFS(SUMMARY!D:D, SUMMARY!B:B, A40, SUMMARY!A:A, "CLARIN"), 0)</f>
        <v>0</v>
      </c>
      <c r="T40" s="24">
        <f>IFERROR(SUMIFS(SUMMARY!D:D, SUMMARY!B:B, A40, SUMMARY!A:A, "TOLEDO"), 0)</f>
        <v>0</v>
      </c>
      <c r="U40" s="24">
        <f>IFERROR(SUMIFS(SUMMARY!D:D, SUMMARY!B:B, A40, SUMMARY!A:A, "UBAY"), 0)</f>
        <v>0</v>
      </c>
      <c r="V40" s="24">
        <f>IFERROR(SUMIFS(SUMMARY!D:D, SUMMARY!B:B, A40, SUMMARY!A:A, "CARMEN"), 0)</f>
        <v>0</v>
      </c>
      <c r="W40" s="24">
        <f>IFERROR(SUMIFS(SUMMARY!D:D, SUMMARY!B:B, A40, SUMMARY!A:A, "TUBIGON"), 0)</f>
        <v>1</v>
      </c>
      <c r="X40" s="24">
        <f>IFERROR(SUMIFS(SUMMARY!D:D, SUMMARY!B:B, A40, SUMMARY!A:A, "TALIBON"), 0)</f>
        <v>0</v>
      </c>
      <c r="Y40" s="24">
        <f>IFERROR(SUMIFS(SUMMARY!D:D, SUMMARY!B:B, A40, SUMMARY!A:A, "BOGO"), 0)</f>
        <v>0</v>
      </c>
      <c r="Z40" s="24">
        <f>IFERROR(SUMIFS(SUMMARY!D:D, SUMMARY!B:B, A40, SUMMARY!A:A, "BALAMBAN"), 0)</f>
        <v>0</v>
      </c>
      <c r="AA40" s="24">
        <f>IFERROR(SUMIFS(SUMMARY!D:D, SUMMARY!B:B, A40, SUMMARY!A:A, "Y3S BARILI"), 0)</f>
        <v>0</v>
      </c>
      <c r="AB40" s="24">
        <f>IFERROR(SUMIFS(SUMMARY!D:D, SUMMARY!B:B, A40, SUMMARY!A:A, "BARILI MB"), 0)</f>
        <v>0</v>
      </c>
      <c r="AC40" s="24">
        <f>IFERROR(SUMIFS(SUMMARY!D:D, SUMMARY!B:B, A40, SUMMARY!A:A, "SIERRA BULLONES"), 0)</f>
        <v>0</v>
      </c>
      <c r="AD40" s="24">
        <f>IFERROR(SUMIFS(SUMMARY!D:D, SUMMARY!B:B, A40, SUMMARY!A:A, "PITOGO"), 0)</f>
        <v>0</v>
      </c>
      <c r="AE40" s="24">
        <f>IFERROR(SUMIFS(SUMMARY!D:D, SUMMARY!B:B, A40, SUMMARY!A:A, "TAYUD CONSOLACION"), 0)</f>
        <v>1</v>
      </c>
      <c r="AF40" s="24">
        <f>IFERROR(SUMIFS(SUMMARY!D:D, SUMMARY!B:B, A40, SUMMARY!A:A, "PINAMUNGAJAN"), 0)</f>
        <v>0</v>
      </c>
      <c r="AG40" s="24">
        <f>IFERROR(SUMIFS(SUMMARY!D:D, SUMMARY!B:B, A40, SUMMARY!A:A, "CANDIJAY"), 0)</f>
        <v>0</v>
      </c>
      <c r="AH40" s="24">
        <f>IFERROR(SUMIFS(SUMMARY!D:D, SUMMARY!B:B, A40, SUMMARY!A:A, "YATI LILOAN"), 0)</f>
        <v>0</v>
      </c>
      <c r="AI40" s="27">
        <f>IFERROR(SUMIFS(SUMMARY!D:D, SUMMARY!B:B, A40, SUMMARY!A:A, "CAMOTES"), 0)</f>
        <v>0</v>
      </c>
      <c r="AJ40" s="28">
        <f t="shared" si="1"/>
        <v>5</v>
      </c>
    </row>
    <row r="41" ht="15.75" customHeight="1">
      <c r="A41" s="23" t="s">
        <v>648</v>
      </c>
      <c r="B41" s="23" t="s">
        <v>649</v>
      </c>
      <c r="C41" s="24" t="s">
        <v>21</v>
      </c>
      <c r="D41" s="25">
        <f>IFERROR(SUMIFS(SUMMARY!D:D, SUMMARY!B:B, A41, SUMMARY!A:A, "ADMIN"), 0)</f>
        <v>0</v>
      </c>
      <c r="E41" s="25">
        <f>IFERROR(SUMIFS(SUMMARY!D:D, SUMMARY!B:B, A41, SUMMARY!A:A, "WAREHOUSE"), 0)</f>
        <v>0</v>
      </c>
      <c r="F41" s="24">
        <f>IFERROR(SUMIFS(SUMMARY!D:D, SUMMARY!B:B, A41, SUMMARY!A:A, "LAGTANG"), 0)</f>
        <v>0</v>
      </c>
      <c r="G41" s="26">
        <f>IFERROR(SUMIFS(SUMMARY!D:D, SUMMARY!B:B, A41, SUMMARY!A:A, "V-RAMA"), 0)</f>
        <v>2</v>
      </c>
      <c r="H41" s="24">
        <f>IFERROR(SUMIFS(SUMMARY!D:D, SUMMARY!B:B, A41, SUMMARY!A:A, "BULACAO"), 0)</f>
        <v>0</v>
      </c>
      <c r="I41" s="24">
        <f>IFERROR(SUMIFS(SUMMARY!D:D, SUMMARY!B:B, A41, SUMMARY!A:A, "Y3S TALISAY"), 0)</f>
        <v>2</v>
      </c>
      <c r="J41" s="24">
        <f>IFERROR(SUMIFS(SUMMARY!D:D, SUMMARY!B:B, A41, SUMMARY!A:A, "MINGLANILLA"), 0)</f>
        <v>0</v>
      </c>
      <c r="K41" s="24">
        <f>IFERROR(SUMIFS(SUMMARY!D:D, SUMMARY!B:B, A41, SUMMARY!A:A, "Y3S PARDO"), 0)</f>
        <v>0</v>
      </c>
      <c r="L41" s="24">
        <f>IFERROR(SUMIFS(SUMMARY!D:D, SUMMARY!B:B, A41, SUMMARY!A:A, "LAPU-LAPU"), 0)</f>
        <v>0</v>
      </c>
      <c r="M41" s="24">
        <f>IFERROR(SUMIFS(SUMMARY!D:D, SUMMARY!B:B, A41, SUMMARY!A:A, "BACAYAN"), 0)</f>
        <v>0</v>
      </c>
      <c r="N41" s="24">
        <f>IFERROR(SUMIFS(SUMMARY!D:D, SUMMARY!B:B, A41, SUMMARY!A:A, "SAN FERNANDO MB"), 0)</f>
        <v>0</v>
      </c>
      <c r="O41" s="24">
        <f>IFERROR(SUMIFS(SUMMARY!D:D, SUMMARY!B:B, A41, SUMMARY!A:A, "Y3S SAN FERNANDO"), 0)</f>
        <v>0</v>
      </c>
      <c r="P41" s="24">
        <f>IFERROR(SUMIFS(SUMMARY!D:D, SUMMARY!B:B, A41, SUMMARY!A:A, "LILOAN"), 0)</f>
        <v>3</v>
      </c>
      <c r="Q41" s="24">
        <f>IFERROR(SUMIFS(SUMMARY!D:D, SUMMARY!B:B, A41, SUMMARY!A:A, "CORDOVA MB"), 0)</f>
        <v>0</v>
      </c>
      <c r="R41" s="24">
        <f>IFERROR(SUMIFS(SUMMARY!D:D, SUMMARY!B:B, A41, SUMMARY!A:A, "Y3S CORDOVA"), 0)</f>
        <v>5</v>
      </c>
      <c r="S41" s="24">
        <f>IFERROR(SUMIFS(SUMMARY!D:D, SUMMARY!B:B, A41, SUMMARY!A:A, "CLARIN"), 0)</f>
        <v>3</v>
      </c>
      <c r="T41" s="24">
        <f>IFERROR(SUMIFS(SUMMARY!D:D, SUMMARY!B:B, A41, SUMMARY!A:A, "TOLEDO"), 0)</f>
        <v>0</v>
      </c>
      <c r="U41" s="24">
        <f>IFERROR(SUMIFS(SUMMARY!D:D, SUMMARY!B:B, A41, SUMMARY!A:A, "UBAY"), 0)</f>
        <v>0</v>
      </c>
      <c r="V41" s="24">
        <f>IFERROR(SUMIFS(SUMMARY!D:D, SUMMARY!B:B, A41, SUMMARY!A:A, "CARMEN"), 0)</f>
        <v>0</v>
      </c>
      <c r="W41" s="24">
        <f>IFERROR(SUMIFS(SUMMARY!D:D, SUMMARY!B:B, A41, SUMMARY!A:A, "TUBIGON"), 0)</f>
        <v>0</v>
      </c>
      <c r="X41" s="24">
        <f>IFERROR(SUMIFS(SUMMARY!D:D, SUMMARY!B:B, A41, SUMMARY!A:A, "TALIBON"), 0)</f>
        <v>0</v>
      </c>
      <c r="Y41" s="24">
        <f>IFERROR(SUMIFS(SUMMARY!D:D, SUMMARY!B:B, A41, SUMMARY!A:A, "BOGO"), 0)</f>
        <v>0</v>
      </c>
      <c r="Z41" s="24">
        <f>IFERROR(SUMIFS(SUMMARY!D:D, SUMMARY!B:B, A41, SUMMARY!A:A, "BALAMBAN"), 0)</f>
        <v>1</v>
      </c>
      <c r="AA41" s="24">
        <f>IFERROR(SUMIFS(SUMMARY!D:D, SUMMARY!B:B, A41, SUMMARY!A:A, "Y3S BARILI"), 0)</f>
        <v>0</v>
      </c>
      <c r="AB41" s="24">
        <f>IFERROR(SUMIFS(SUMMARY!D:D, SUMMARY!B:B, A41, SUMMARY!A:A, "BARILI MB"), 0)</f>
        <v>0</v>
      </c>
      <c r="AC41" s="24">
        <f>IFERROR(SUMIFS(SUMMARY!D:D, SUMMARY!B:B, A41, SUMMARY!A:A, "SIERRA BULLONES"), 0)</f>
        <v>0</v>
      </c>
      <c r="AD41" s="24">
        <f>IFERROR(SUMIFS(SUMMARY!D:D, SUMMARY!B:B, A41, SUMMARY!A:A, "PITOGO"), 0)</f>
        <v>0</v>
      </c>
      <c r="AE41" s="24">
        <f>IFERROR(SUMIFS(SUMMARY!D:D, SUMMARY!B:B, A41, SUMMARY!A:A, "TAYUD CONSOLACION"), 0)</f>
        <v>0</v>
      </c>
      <c r="AF41" s="24">
        <f>IFERROR(SUMIFS(SUMMARY!D:D, SUMMARY!B:B, A41, SUMMARY!A:A, "PINAMUNGAJAN"), 0)</f>
        <v>0</v>
      </c>
      <c r="AG41" s="24">
        <f>IFERROR(SUMIFS(SUMMARY!D:D, SUMMARY!B:B, A41, SUMMARY!A:A, "CANDIJAY"), 0)</f>
        <v>0</v>
      </c>
      <c r="AH41" s="24">
        <f>IFERROR(SUMIFS(SUMMARY!D:D, SUMMARY!B:B, A41, SUMMARY!A:A, "YATI LILOAN"), 0)</f>
        <v>0</v>
      </c>
      <c r="AI41" s="27">
        <f>IFERROR(SUMIFS(SUMMARY!D:D, SUMMARY!B:B, A41, SUMMARY!A:A, "CAMOTES"), 0)</f>
        <v>0</v>
      </c>
      <c r="AJ41" s="28">
        <f t="shared" si="1"/>
        <v>16</v>
      </c>
    </row>
    <row r="42" ht="15.75" customHeight="1">
      <c r="A42" s="23" t="s">
        <v>650</v>
      </c>
      <c r="B42" s="23" t="s">
        <v>651</v>
      </c>
      <c r="C42" s="24" t="s">
        <v>21</v>
      </c>
      <c r="D42" s="25">
        <f>IFERROR(SUMIFS(SUMMARY!D:D, SUMMARY!B:B, A42, SUMMARY!A:A, "ADMIN"), 0)</f>
        <v>0</v>
      </c>
      <c r="E42" s="25">
        <f>IFERROR(SUMIFS(SUMMARY!D:D, SUMMARY!B:B, A42, SUMMARY!A:A, "WAREHOUSE"), 0)</f>
        <v>0</v>
      </c>
      <c r="F42" s="24">
        <f>IFERROR(SUMIFS(SUMMARY!D:D, SUMMARY!B:B, A42, SUMMARY!A:A, "LAGTANG"), 0)</f>
        <v>0</v>
      </c>
      <c r="G42" s="26">
        <f>IFERROR(SUMIFS(SUMMARY!D:D, SUMMARY!B:B, A42, SUMMARY!A:A, "V-RAMA"), 0)</f>
        <v>0</v>
      </c>
      <c r="H42" s="24">
        <f>IFERROR(SUMIFS(SUMMARY!D:D, SUMMARY!B:B, A42, SUMMARY!A:A, "BULACAO"), 0)</f>
        <v>0</v>
      </c>
      <c r="I42" s="24">
        <f>IFERROR(SUMIFS(SUMMARY!D:D, SUMMARY!B:B, A42, SUMMARY!A:A, "Y3S TALISAY"), 0)</f>
        <v>0</v>
      </c>
      <c r="J42" s="24">
        <f>IFERROR(SUMIFS(SUMMARY!D:D, SUMMARY!B:B, A42, SUMMARY!A:A, "MINGLANILLA"), 0)</f>
        <v>0</v>
      </c>
      <c r="K42" s="24">
        <f>IFERROR(SUMIFS(SUMMARY!D:D, SUMMARY!B:B, A42, SUMMARY!A:A, "Y3S PARDO"), 0)</f>
        <v>0</v>
      </c>
      <c r="L42" s="24">
        <f>IFERROR(SUMIFS(SUMMARY!D:D, SUMMARY!B:B, A42, SUMMARY!A:A, "LAPU-LAPU"), 0)</f>
        <v>0</v>
      </c>
      <c r="M42" s="24">
        <f>IFERROR(SUMIFS(SUMMARY!D:D, SUMMARY!B:B, A42, SUMMARY!A:A, "BACAYAN"), 0)</f>
        <v>0</v>
      </c>
      <c r="N42" s="24">
        <f>IFERROR(SUMIFS(SUMMARY!D:D, SUMMARY!B:B, A42, SUMMARY!A:A, "SAN FERNANDO MB"), 0)</f>
        <v>0</v>
      </c>
      <c r="O42" s="24">
        <f>IFERROR(SUMIFS(SUMMARY!D:D, SUMMARY!B:B, A42, SUMMARY!A:A, "Y3S SAN FERNANDO"), 0)</f>
        <v>0</v>
      </c>
      <c r="P42" s="24">
        <f>IFERROR(SUMIFS(SUMMARY!D:D, SUMMARY!B:B, A42, SUMMARY!A:A, "LILOAN"), 0)</f>
        <v>0</v>
      </c>
      <c r="Q42" s="24">
        <f>IFERROR(SUMIFS(SUMMARY!D:D, SUMMARY!B:B, A42, SUMMARY!A:A, "CORDOVA MB"), 0)</f>
        <v>0</v>
      </c>
      <c r="R42" s="24">
        <f>IFERROR(SUMIFS(SUMMARY!D:D, SUMMARY!B:B, A42, SUMMARY!A:A, "Y3S CORDOVA"), 0)</f>
        <v>0</v>
      </c>
      <c r="S42" s="24">
        <f>IFERROR(SUMIFS(SUMMARY!D:D, SUMMARY!B:B, A42, SUMMARY!A:A, "CLARIN"), 0)</f>
        <v>1</v>
      </c>
      <c r="T42" s="24">
        <f>IFERROR(SUMIFS(SUMMARY!D:D, SUMMARY!B:B, A42, SUMMARY!A:A, "TOLEDO"), 0)</f>
        <v>0</v>
      </c>
      <c r="U42" s="24">
        <f>IFERROR(SUMIFS(SUMMARY!D:D, SUMMARY!B:B, A42, SUMMARY!A:A, "UBAY"), 0)</f>
        <v>0</v>
      </c>
      <c r="V42" s="24">
        <f>IFERROR(SUMIFS(SUMMARY!D:D, SUMMARY!B:B, A42, SUMMARY!A:A, "CARMEN"), 0)</f>
        <v>2</v>
      </c>
      <c r="W42" s="24">
        <f>IFERROR(SUMIFS(SUMMARY!D:D, SUMMARY!B:B, A42, SUMMARY!A:A, "TUBIGON"), 0)</f>
        <v>0</v>
      </c>
      <c r="X42" s="24">
        <f>IFERROR(SUMIFS(SUMMARY!D:D, SUMMARY!B:B, A42, SUMMARY!A:A, "TALIBON"), 0)</f>
        <v>0</v>
      </c>
      <c r="Y42" s="24">
        <f>IFERROR(SUMIFS(SUMMARY!D:D, SUMMARY!B:B, A42, SUMMARY!A:A, "BOGO"), 0)</f>
        <v>0</v>
      </c>
      <c r="Z42" s="24">
        <f>IFERROR(SUMIFS(SUMMARY!D:D, SUMMARY!B:B, A42, SUMMARY!A:A, "BALAMBAN"), 0)</f>
        <v>0</v>
      </c>
      <c r="AA42" s="24">
        <f>IFERROR(SUMIFS(SUMMARY!D:D, SUMMARY!B:B, A42, SUMMARY!A:A, "Y3S BARILI"), 0)</f>
        <v>0</v>
      </c>
      <c r="AB42" s="24">
        <f>IFERROR(SUMIFS(SUMMARY!D:D, SUMMARY!B:B, A42, SUMMARY!A:A, "BARILI MB"), 0)</f>
        <v>0</v>
      </c>
      <c r="AC42" s="24">
        <f>IFERROR(SUMIFS(SUMMARY!D:D, SUMMARY!B:B, A42, SUMMARY!A:A, "SIERRA BULLONES"), 0)</f>
        <v>0</v>
      </c>
      <c r="AD42" s="24">
        <f>IFERROR(SUMIFS(SUMMARY!D:D, SUMMARY!B:B, A42, SUMMARY!A:A, "PITOGO"), 0)</f>
        <v>0</v>
      </c>
      <c r="AE42" s="24">
        <f>IFERROR(SUMIFS(SUMMARY!D:D, SUMMARY!B:B, A42, SUMMARY!A:A, "TAYUD CONSOLACION"), 0)</f>
        <v>0</v>
      </c>
      <c r="AF42" s="24">
        <f>IFERROR(SUMIFS(SUMMARY!D:D, SUMMARY!B:B, A42, SUMMARY!A:A, "PINAMUNGAJAN"), 0)</f>
        <v>0</v>
      </c>
      <c r="AG42" s="24">
        <f>IFERROR(SUMIFS(SUMMARY!D:D, SUMMARY!B:B, A42, SUMMARY!A:A, "CANDIJAY"), 0)</f>
        <v>0</v>
      </c>
      <c r="AH42" s="24">
        <f>IFERROR(SUMIFS(SUMMARY!D:D, SUMMARY!B:B, A42, SUMMARY!A:A, "YATI LILOAN"), 0)</f>
        <v>0</v>
      </c>
      <c r="AI42" s="27">
        <f>IFERROR(SUMIFS(SUMMARY!D:D, SUMMARY!B:B, A42, SUMMARY!A:A, "CAMOTES"), 0)</f>
        <v>0</v>
      </c>
      <c r="AJ42" s="28">
        <f t="shared" si="1"/>
        <v>3</v>
      </c>
    </row>
    <row r="43" ht="15.75" customHeight="1">
      <c r="A43" s="23" t="s">
        <v>652</v>
      </c>
      <c r="B43" s="23" t="s">
        <v>653</v>
      </c>
      <c r="C43" s="24" t="s">
        <v>21</v>
      </c>
      <c r="D43" s="25">
        <f>IFERROR(SUMIFS(SUMMARY!D:D, SUMMARY!B:B, A43, SUMMARY!A:A, "ADMIN"), 0)</f>
        <v>0</v>
      </c>
      <c r="E43" s="25">
        <f>IFERROR(SUMIFS(SUMMARY!D:D, SUMMARY!B:B, A43, SUMMARY!A:A, "WAREHOUSE"), 0)</f>
        <v>0</v>
      </c>
      <c r="F43" s="24">
        <f>IFERROR(SUMIFS(SUMMARY!D:D, SUMMARY!B:B, A43, SUMMARY!A:A, "LAGTANG"), 0)</f>
        <v>0</v>
      </c>
      <c r="G43" s="26">
        <f>IFERROR(SUMIFS(SUMMARY!D:D, SUMMARY!B:B, A43, SUMMARY!A:A, "V-RAMA"), 0)</f>
        <v>0</v>
      </c>
      <c r="H43" s="24">
        <f>IFERROR(SUMIFS(SUMMARY!D:D, SUMMARY!B:B, A43, SUMMARY!A:A, "BULACAO"), 0)</f>
        <v>0</v>
      </c>
      <c r="I43" s="24">
        <f>IFERROR(SUMIFS(SUMMARY!D:D, SUMMARY!B:B, A43, SUMMARY!A:A, "Y3S TALISAY"), 0)</f>
        <v>0</v>
      </c>
      <c r="J43" s="24">
        <f>IFERROR(SUMIFS(SUMMARY!D:D, SUMMARY!B:B, A43, SUMMARY!A:A, "MINGLANILLA"), 0)</f>
        <v>1</v>
      </c>
      <c r="K43" s="24">
        <f>IFERROR(SUMIFS(SUMMARY!D:D, SUMMARY!B:B, A43, SUMMARY!A:A, "Y3S PARDO"), 0)</f>
        <v>0</v>
      </c>
      <c r="L43" s="24">
        <f>IFERROR(SUMIFS(SUMMARY!D:D, SUMMARY!B:B, A43, SUMMARY!A:A, "LAPU-LAPU"), 0)</f>
        <v>0</v>
      </c>
      <c r="M43" s="24">
        <f>IFERROR(SUMIFS(SUMMARY!D:D, SUMMARY!B:B, A43, SUMMARY!A:A, "BACAYAN"), 0)</f>
        <v>0</v>
      </c>
      <c r="N43" s="24">
        <f>IFERROR(SUMIFS(SUMMARY!D:D, SUMMARY!B:B, A43, SUMMARY!A:A, "SAN FERNANDO MB"), 0)</f>
        <v>0</v>
      </c>
      <c r="O43" s="24">
        <f>IFERROR(SUMIFS(SUMMARY!D:D, SUMMARY!B:B, A43, SUMMARY!A:A, "Y3S SAN FERNANDO"), 0)</f>
        <v>0</v>
      </c>
      <c r="P43" s="24">
        <f>IFERROR(SUMIFS(SUMMARY!D:D, SUMMARY!B:B, A43, SUMMARY!A:A, "LILOAN"), 0)</f>
        <v>2</v>
      </c>
      <c r="Q43" s="24">
        <f>IFERROR(SUMIFS(SUMMARY!D:D, SUMMARY!B:B, A43, SUMMARY!A:A, "CORDOVA MB"), 0)</f>
        <v>0</v>
      </c>
      <c r="R43" s="24">
        <f>IFERROR(SUMIFS(SUMMARY!D:D, SUMMARY!B:B, A43, SUMMARY!A:A, "Y3S CORDOVA"), 0)</f>
        <v>0</v>
      </c>
      <c r="S43" s="24">
        <f>IFERROR(SUMIFS(SUMMARY!D:D, SUMMARY!B:B, A43, SUMMARY!A:A, "CLARIN"), 0)</f>
        <v>0</v>
      </c>
      <c r="T43" s="24">
        <f>IFERROR(SUMIFS(SUMMARY!D:D, SUMMARY!B:B, A43, SUMMARY!A:A, "TOLEDO"), 0)</f>
        <v>0</v>
      </c>
      <c r="U43" s="24">
        <f>IFERROR(SUMIFS(SUMMARY!D:D, SUMMARY!B:B, A43, SUMMARY!A:A, "UBAY"), 0)</f>
        <v>0</v>
      </c>
      <c r="V43" s="24">
        <f>IFERROR(SUMIFS(SUMMARY!D:D, SUMMARY!B:B, A43, SUMMARY!A:A, "CARMEN"), 0)</f>
        <v>0</v>
      </c>
      <c r="W43" s="24">
        <f>IFERROR(SUMIFS(SUMMARY!D:D, SUMMARY!B:B, A43, SUMMARY!A:A, "TUBIGON"), 0)</f>
        <v>0</v>
      </c>
      <c r="X43" s="24">
        <f>IFERROR(SUMIFS(SUMMARY!D:D, SUMMARY!B:B, A43, SUMMARY!A:A, "TALIBON"), 0)</f>
        <v>0</v>
      </c>
      <c r="Y43" s="24">
        <f>IFERROR(SUMIFS(SUMMARY!D:D, SUMMARY!B:B, A43, SUMMARY!A:A, "BOGO"), 0)</f>
        <v>0</v>
      </c>
      <c r="Z43" s="24">
        <f>IFERROR(SUMIFS(SUMMARY!D:D, SUMMARY!B:B, A43, SUMMARY!A:A, "BALAMBAN"), 0)</f>
        <v>0</v>
      </c>
      <c r="AA43" s="24">
        <f>IFERROR(SUMIFS(SUMMARY!D:D, SUMMARY!B:B, A43, SUMMARY!A:A, "Y3S BARILI"), 0)</f>
        <v>0</v>
      </c>
      <c r="AB43" s="24">
        <f>IFERROR(SUMIFS(SUMMARY!D:D, SUMMARY!B:B, A43, SUMMARY!A:A, "BARILI MB"), 0)</f>
        <v>0</v>
      </c>
      <c r="AC43" s="24">
        <f>IFERROR(SUMIFS(SUMMARY!D:D, SUMMARY!B:B, A43, SUMMARY!A:A, "SIERRA BULLONES"), 0)</f>
        <v>0</v>
      </c>
      <c r="AD43" s="24">
        <f>IFERROR(SUMIFS(SUMMARY!D:D, SUMMARY!B:B, A43, SUMMARY!A:A, "PITOGO"), 0)</f>
        <v>0</v>
      </c>
      <c r="AE43" s="24">
        <f>IFERROR(SUMIFS(SUMMARY!D:D, SUMMARY!B:B, A43, SUMMARY!A:A, "TAYUD CONSOLACION"), 0)</f>
        <v>0</v>
      </c>
      <c r="AF43" s="24">
        <f>IFERROR(SUMIFS(SUMMARY!D:D, SUMMARY!B:B, A43, SUMMARY!A:A, "PINAMUNGAJAN"), 0)</f>
        <v>0</v>
      </c>
      <c r="AG43" s="24">
        <f>IFERROR(SUMIFS(SUMMARY!D:D, SUMMARY!B:B, A43, SUMMARY!A:A, "CANDIJAY"), 0)</f>
        <v>0</v>
      </c>
      <c r="AH43" s="24">
        <f>IFERROR(SUMIFS(SUMMARY!D:D, SUMMARY!B:B, A43, SUMMARY!A:A, "YATI LILOAN"), 0)</f>
        <v>0</v>
      </c>
      <c r="AI43" s="27">
        <f>IFERROR(SUMIFS(SUMMARY!D:D, SUMMARY!B:B, A43, SUMMARY!A:A, "CAMOTES"), 0)</f>
        <v>0</v>
      </c>
      <c r="AJ43" s="28">
        <f t="shared" si="1"/>
        <v>3</v>
      </c>
    </row>
    <row r="44" ht="15.75" customHeight="1">
      <c r="A44" s="23" t="s">
        <v>654</v>
      </c>
      <c r="B44" s="29" t="s">
        <v>655</v>
      </c>
      <c r="C44" s="24" t="s">
        <v>21</v>
      </c>
      <c r="D44" s="25">
        <f>IFERROR(SUMIFS(SUMMARY!D:D, SUMMARY!B:B, A44, SUMMARY!A:A, "ADMIN"), 0)</f>
        <v>0</v>
      </c>
      <c r="E44" s="25">
        <f>IFERROR(SUMIFS(SUMMARY!D:D, SUMMARY!B:B, A44, SUMMARY!A:A, "WAREHOUSE"), 0)</f>
        <v>0</v>
      </c>
      <c r="F44" s="24">
        <f>IFERROR(SUMIFS(SUMMARY!D:D, SUMMARY!B:B, A44, SUMMARY!A:A, "LAGTANG"), 0)</f>
        <v>0</v>
      </c>
      <c r="G44" s="26">
        <f>IFERROR(SUMIFS(SUMMARY!D:D, SUMMARY!B:B, A44, SUMMARY!A:A, "V-RAMA"), 0)</f>
        <v>0</v>
      </c>
      <c r="H44" s="24">
        <f>IFERROR(SUMIFS(SUMMARY!D:D, SUMMARY!B:B, A44, SUMMARY!A:A, "BULACAO"), 0)</f>
        <v>0</v>
      </c>
      <c r="I44" s="24">
        <f>IFERROR(SUMIFS(SUMMARY!D:D, SUMMARY!B:B, A44, SUMMARY!A:A, "Y3S TALISAY"), 0)</f>
        <v>0</v>
      </c>
      <c r="J44" s="24">
        <f>IFERROR(SUMIFS(SUMMARY!D:D, SUMMARY!B:B, A44, SUMMARY!A:A, "MINGLANILLA"), 0)</f>
        <v>0</v>
      </c>
      <c r="K44" s="24">
        <f>IFERROR(SUMIFS(SUMMARY!D:D, SUMMARY!B:B, A44, SUMMARY!A:A, "Y3S PARDO"), 0)</f>
        <v>0</v>
      </c>
      <c r="L44" s="24">
        <f>IFERROR(SUMIFS(SUMMARY!D:D, SUMMARY!B:B, A44, SUMMARY!A:A, "LAPU-LAPU"), 0)</f>
        <v>0</v>
      </c>
      <c r="M44" s="24">
        <f>IFERROR(SUMIFS(SUMMARY!D:D, SUMMARY!B:B, A44, SUMMARY!A:A, "BACAYAN"), 0)</f>
        <v>0</v>
      </c>
      <c r="N44" s="24">
        <f>IFERROR(SUMIFS(SUMMARY!D:D, SUMMARY!B:B, A44, SUMMARY!A:A, "SAN FERNANDO MB"), 0)</f>
        <v>0</v>
      </c>
      <c r="O44" s="24">
        <f>IFERROR(SUMIFS(SUMMARY!D:D, SUMMARY!B:B, A44, SUMMARY!A:A, "Y3S SAN FERNANDO"), 0)</f>
        <v>0</v>
      </c>
      <c r="P44" s="24">
        <f>IFERROR(SUMIFS(SUMMARY!D:D, SUMMARY!B:B, A44, SUMMARY!A:A, "LILOAN"), 0)</f>
        <v>0</v>
      </c>
      <c r="Q44" s="24">
        <f>IFERROR(SUMIFS(SUMMARY!D:D, SUMMARY!B:B, A44, SUMMARY!A:A, "CORDOVA MB"), 0)</f>
        <v>0</v>
      </c>
      <c r="R44" s="24">
        <f>IFERROR(SUMIFS(SUMMARY!D:D, SUMMARY!B:B, A44, SUMMARY!A:A, "Y3S CORDOVA"), 0)</f>
        <v>0</v>
      </c>
      <c r="S44" s="24">
        <f>IFERROR(SUMIFS(SUMMARY!D:D, SUMMARY!B:B, A44, SUMMARY!A:A, "CLARIN"), 0)</f>
        <v>0</v>
      </c>
      <c r="T44" s="24">
        <f>IFERROR(SUMIFS(SUMMARY!D:D, SUMMARY!B:B, A44, SUMMARY!A:A, "TOLEDO"), 0)</f>
        <v>0</v>
      </c>
      <c r="U44" s="24">
        <f>IFERROR(SUMIFS(SUMMARY!D:D, SUMMARY!B:B, A44, SUMMARY!A:A, "UBAY"), 0)</f>
        <v>0</v>
      </c>
      <c r="V44" s="24">
        <f>IFERROR(SUMIFS(SUMMARY!D:D, SUMMARY!B:B, A44, SUMMARY!A:A, "CARMEN"), 0)</f>
        <v>0</v>
      </c>
      <c r="W44" s="24">
        <f>IFERROR(SUMIFS(SUMMARY!D:D, SUMMARY!B:B, A44, SUMMARY!A:A, "TUBIGON"), 0)</f>
        <v>0</v>
      </c>
      <c r="X44" s="24">
        <f>IFERROR(SUMIFS(SUMMARY!D:D, SUMMARY!B:B, A44, SUMMARY!A:A, "TALIBON"), 0)</f>
        <v>0</v>
      </c>
      <c r="Y44" s="24">
        <f>IFERROR(SUMIFS(SUMMARY!D:D, SUMMARY!B:B, A44, SUMMARY!A:A, "BOGO"), 0)</f>
        <v>0</v>
      </c>
      <c r="Z44" s="24">
        <f>IFERROR(SUMIFS(SUMMARY!D:D, SUMMARY!B:B, A44, SUMMARY!A:A, "BALAMBAN"), 0)</f>
        <v>0</v>
      </c>
      <c r="AA44" s="24">
        <f>IFERROR(SUMIFS(SUMMARY!D:D, SUMMARY!B:B, A44, SUMMARY!A:A, "Y3S BARILI"), 0)</f>
        <v>0</v>
      </c>
      <c r="AB44" s="24">
        <f>IFERROR(SUMIFS(SUMMARY!D:D, SUMMARY!B:B, A44, SUMMARY!A:A, "BARILI MB"), 0)</f>
        <v>0</v>
      </c>
      <c r="AC44" s="24">
        <f>IFERROR(SUMIFS(SUMMARY!D:D, SUMMARY!B:B, A44, SUMMARY!A:A, "SIERRA BULLONES"), 0)</f>
        <v>0</v>
      </c>
      <c r="AD44" s="24">
        <f>IFERROR(SUMIFS(SUMMARY!D:D, SUMMARY!B:B, A44, SUMMARY!A:A, "PITOGO"), 0)</f>
        <v>0</v>
      </c>
      <c r="AE44" s="24">
        <f>IFERROR(SUMIFS(SUMMARY!D:D, SUMMARY!B:B, A44, SUMMARY!A:A, "TAYUD CONSOLACION"), 0)</f>
        <v>0</v>
      </c>
      <c r="AF44" s="24">
        <f>IFERROR(SUMIFS(SUMMARY!D:D, SUMMARY!B:B, A44, SUMMARY!A:A, "PINAMUNGAJAN"), 0)</f>
        <v>0</v>
      </c>
      <c r="AG44" s="24">
        <f>IFERROR(SUMIFS(SUMMARY!D:D, SUMMARY!B:B, A44, SUMMARY!A:A, "CANDIJAY"), 0)</f>
        <v>0</v>
      </c>
      <c r="AH44" s="24">
        <f>IFERROR(SUMIFS(SUMMARY!D:D, SUMMARY!B:B, A44, SUMMARY!A:A, "YATI LILOAN"), 0)</f>
        <v>0</v>
      </c>
      <c r="AI44" s="27">
        <f>IFERROR(SUMIFS(SUMMARY!D:D, SUMMARY!B:B, A44, SUMMARY!A:A, "CAMOTES"), 0)</f>
        <v>0</v>
      </c>
      <c r="AJ44" s="28">
        <f t="shared" si="1"/>
        <v>0</v>
      </c>
    </row>
    <row r="45" ht="15.75" customHeight="1">
      <c r="A45" s="23" t="s">
        <v>656</v>
      </c>
      <c r="B45" s="29" t="s">
        <v>657</v>
      </c>
      <c r="C45" s="24" t="s">
        <v>21</v>
      </c>
      <c r="D45" s="25">
        <f>IFERROR(SUMIFS(SUMMARY!D:D, SUMMARY!B:B, A45, SUMMARY!A:A, "ADMIN"), 0)</f>
        <v>0</v>
      </c>
      <c r="E45" s="25">
        <f>IFERROR(SUMIFS(SUMMARY!D:D, SUMMARY!B:B, A45, SUMMARY!A:A, "WAREHOUSE"), 0)</f>
        <v>0</v>
      </c>
      <c r="F45" s="24">
        <f>IFERROR(SUMIFS(SUMMARY!D:D, SUMMARY!B:B, A45, SUMMARY!A:A, "LAGTANG"), 0)</f>
        <v>0</v>
      </c>
      <c r="G45" s="26">
        <f>IFERROR(SUMIFS(SUMMARY!D:D, SUMMARY!B:B, A45, SUMMARY!A:A, "V-RAMA"), 0)</f>
        <v>0</v>
      </c>
      <c r="H45" s="24">
        <f>IFERROR(SUMIFS(SUMMARY!D:D, SUMMARY!B:B, A45, SUMMARY!A:A, "BULACAO"), 0)</f>
        <v>0</v>
      </c>
      <c r="I45" s="24">
        <f>IFERROR(SUMIFS(SUMMARY!D:D, SUMMARY!B:B, A45, SUMMARY!A:A, "Y3S TALISAY"), 0)</f>
        <v>0</v>
      </c>
      <c r="J45" s="24">
        <f>IFERROR(SUMIFS(SUMMARY!D:D, SUMMARY!B:B, A45, SUMMARY!A:A, "MINGLANILLA"), 0)</f>
        <v>0</v>
      </c>
      <c r="K45" s="24">
        <f>IFERROR(SUMIFS(SUMMARY!D:D, SUMMARY!B:B, A45, SUMMARY!A:A, "Y3S PARDO"), 0)</f>
        <v>0</v>
      </c>
      <c r="L45" s="24">
        <f>IFERROR(SUMIFS(SUMMARY!D:D, SUMMARY!B:B, A45, SUMMARY!A:A, "LAPU-LAPU"), 0)</f>
        <v>0</v>
      </c>
      <c r="M45" s="24">
        <f>IFERROR(SUMIFS(SUMMARY!D:D, SUMMARY!B:B, A45, SUMMARY!A:A, "BACAYAN"), 0)</f>
        <v>0</v>
      </c>
      <c r="N45" s="24">
        <f>IFERROR(SUMIFS(SUMMARY!D:D, SUMMARY!B:B, A45, SUMMARY!A:A, "SAN FERNANDO MB"), 0)</f>
        <v>0</v>
      </c>
      <c r="O45" s="24">
        <f>IFERROR(SUMIFS(SUMMARY!D:D, SUMMARY!B:B, A45, SUMMARY!A:A, "Y3S SAN FERNANDO"), 0)</f>
        <v>0</v>
      </c>
      <c r="P45" s="24">
        <f>IFERROR(SUMIFS(SUMMARY!D:D, SUMMARY!B:B, A45, SUMMARY!A:A, "LILOAN"), 0)</f>
        <v>0</v>
      </c>
      <c r="Q45" s="24">
        <f>IFERROR(SUMIFS(SUMMARY!D:D, SUMMARY!B:B, A45, SUMMARY!A:A, "CORDOVA MB"), 0)</f>
        <v>0</v>
      </c>
      <c r="R45" s="24">
        <f>IFERROR(SUMIFS(SUMMARY!D:D, SUMMARY!B:B, A45, SUMMARY!A:A, "Y3S CORDOVA"), 0)</f>
        <v>0</v>
      </c>
      <c r="S45" s="24">
        <f>IFERROR(SUMIFS(SUMMARY!D:D, SUMMARY!B:B, A45, SUMMARY!A:A, "CLARIN"), 0)</f>
        <v>0</v>
      </c>
      <c r="T45" s="24">
        <f>IFERROR(SUMIFS(SUMMARY!D:D, SUMMARY!B:B, A45, SUMMARY!A:A, "TOLEDO"), 0)</f>
        <v>0</v>
      </c>
      <c r="U45" s="24">
        <f>IFERROR(SUMIFS(SUMMARY!D:D, SUMMARY!B:B, A45, SUMMARY!A:A, "UBAY"), 0)</f>
        <v>0</v>
      </c>
      <c r="V45" s="24">
        <f>IFERROR(SUMIFS(SUMMARY!D:D, SUMMARY!B:B, A45, SUMMARY!A:A, "CARMEN"), 0)</f>
        <v>0</v>
      </c>
      <c r="W45" s="24">
        <f>IFERROR(SUMIFS(SUMMARY!D:D, SUMMARY!B:B, A45, SUMMARY!A:A, "TUBIGON"), 0)</f>
        <v>0</v>
      </c>
      <c r="X45" s="24">
        <f>IFERROR(SUMIFS(SUMMARY!D:D, SUMMARY!B:B, A45, SUMMARY!A:A, "TALIBON"), 0)</f>
        <v>0</v>
      </c>
      <c r="Y45" s="24">
        <f>IFERROR(SUMIFS(SUMMARY!D:D, SUMMARY!B:B, A45, SUMMARY!A:A, "BOGO"), 0)</f>
        <v>0</v>
      </c>
      <c r="Z45" s="24">
        <f>IFERROR(SUMIFS(SUMMARY!D:D, SUMMARY!B:B, A45, SUMMARY!A:A, "BALAMBAN"), 0)</f>
        <v>0</v>
      </c>
      <c r="AA45" s="24">
        <f>IFERROR(SUMIFS(SUMMARY!D:D, SUMMARY!B:B, A45, SUMMARY!A:A, "Y3S BARILI"), 0)</f>
        <v>0</v>
      </c>
      <c r="AB45" s="24">
        <f>IFERROR(SUMIFS(SUMMARY!D:D, SUMMARY!B:B, A45, SUMMARY!A:A, "BARILI MB"), 0)</f>
        <v>0</v>
      </c>
      <c r="AC45" s="24">
        <f>IFERROR(SUMIFS(SUMMARY!D:D, SUMMARY!B:B, A45, SUMMARY!A:A, "SIERRA BULLONES"), 0)</f>
        <v>0</v>
      </c>
      <c r="AD45" s="24">
        <f>IFERROR(SUMIFS(SUMMARY!D:D, SUMMARY!B:B, A45, SUMMARY!A:A, "PITOGO"), 0)</f>
        <v>0</v>
      </c>
      <c r="AE45" s="24">
        <f>IFERROR(SUMIFS(SUMMARY!D:D, SUMMARY!B:B, A45, SUMMARY!A:A, "TAYUD CONSOLACION"), 0)</f>
        <v>0</v>
      </c>
      <c r="AF45" s="24">
        <f>IFERROR(SUMIFS(SUMMARY!D:D, SUMMARY!B:B, A45, SUMMARY!A:A, "PINAMUNGAJAN"), 0)</f>
        <v>0</v>
      </c>
      <c r="AG45" s="24">
        <f>IFERROR(SUMIFS(SUMMARY!D:D, SUMMARY!B:B, A45, SUMMARY!A:A, "CANDIJAY"), 0)</f>
        <v>0</v>
      </c>
      <c r="AH45" s="24">
        <f>IFERROR(SUMIFS(SUMMARY!D:D, SUMMARY!B:B, A45, SUMMARY!A:A, "YATI LILOAN"), 0)</f>
        <v>0</v>
      </c>
      <c r="AI45" s="27">
        <f>IFERROR(SUMIFS(SUMMARY!D:D, SUMMARY!B:B, A45, SUMMARY!A:A, "CAMOTES"), 0)</f>
        <v>0</v>
      </c>
      <c r="AJ45" s="28">
        <f t="shared" si="1"/>
        <v>0</v>
      </c>
    </row>
    <row r="46" ht="15.75" customHeight="1">
      <c r="A46" s="23" t="s">
        <v>658</v>
      </c>
      <c r="B46" s="23" t="s">
        <v>659</v>
      </c>
      <c r="C46" s="24" t="s">
        <v>21</v>
      </c>
      <c r="D46" s="25">
        <f>IFERROR(SUMIFS(SUMMARY!D:D, SUMMARY!B:B, A46, SUMMARY!A:A, "ADMIN"), 0)</f>
        <v>0</v>
      </c>
      <c r="E46" s="25">
        <f>IFERROR(SUMIFS(SUMMARY!D:D, SUMMARY!B:B, A46, SUMMARY!A:A, "WAREHOUSE"), 0)</f>
        <v>0</v>
      </c>
      <c r="F46" s="24">
        <f>IFERROR(SUMIFS(SUMMARY!D:D, SUMMARY!B:B, A46, SUMMARY!A:A, "LAGTANG"), 0)</f>
        <v>0</v>
      </c>
      <c r="G46" s="26">
        <f>IFERROR(SUMIFS(SUMMARY!D:D, SUMMARY!B:B, A46, SUMMARY!A:A, "V-RAMA"), 0)</f>
        <v>0</v>
      </c>
      <c r="H46" s="24">
        <f>IFERROR(SUMIFS(SUMMARY!D:D, SUMMARY!B:B, A46, SUMMARY!A:A, "BULACAO"), 0)</f>
        <v>0</v>
      </c>
      <c r="I46" s="24">
        <f>IFERROR(SUMIFS(SUMMARY!D:D, SUMMARY!B:B, A46, SUMMARY!A:A, "Y3S TALISAY"), 0)</f>
        <v>0</v>
      </c>
      <c r="J46" s="24">
        <f>IFERROR(SUMIFS(SUMMARY!D:D, SUMMARY!B:B, A46, SUMMARY!A:A, "MINGLANILLA"), 0)</f>
        <v>0</v>
      </c>
      <c r="K46" s="24">
        <f>IFERROR(SUMIFS(SUMMARY!D:D, SUMMARY!B:B, A46, SUMMARY!A:A, "Y3S PARDO"), 0)</f>
        <v>0</v>
      </c>
      <c r="L46" s="24">
        <f>IFERROR(SUMIFS(SUMMARY!D:D, SUMMARY!B:B, A46, SUMMARY!A:A, "LAPU-LAPU"), 0)</f>
        <v>0</v>
      </c>
      <c r="M46" s="24">
        <f>IFERROR(SUMIFS(SUMMARY!D:D, SUMMARY!B:B, A46, SUMMARY!A:A, "BACAYAN"), 0)</f>
        <v>0</v>
      </c>
      <c r="N46" s="24">
        <f>IFERROR(SUMIFS(SUMMARY!D:D, SUMMARY!B:B, A46, SUMMARY!A:A, "SAN FERNANDO MB"), 0)</f>
        <v>0</v>
      </c>
      <c r="O46" s="24">
        <f>IFERROR(SUMIFS(SUMMARY!D:D, SUMMARY!B:B, A46, SUMMARY!A:A, "Y3S SAN FERNANDO"), 0)</f>
        <v>0</v>
      </c>
      <c r="P46" s="24">
        <f>IFERROR(SUMIFS(SUMMARY!D:D, SUMMARY!B:B, A46, SUMMARY!A:A, "LILOAN"), 0)</f>
        <v>0</v>
      </c>
      <c r="Q46" s="24">
        <f>IFERROR(SUMIFS(SUMMARY!D:D, SUMMARY!B:B, A46, SUMMARY!A:A, "CORDOVA MB"), 0)</f>
        <v>0</v>
      </c>
      <c r="R46" s="24">
        <f>IFERROR(SUMIFS(SUMMARY!D:D, SUMMARY!B:B, A46, SUMMARY!A:A, "Y3S CORDOVA"), 0)</f>
        <v>0</v>
      </c>
      <c r="S46" s="24">
        <f>IFERROR(SUMIFS(SUMMARY!D:D, SUMMARY!B:B, A46, SUMMARY!A:A, "CLARIN"), 0)</f>
        <v>0</v>
      </c>
      <c r="T46" s="24">
        <f>IFERROR(SUMIFS(SUMMARY!D:D, SUMMARY!B:B, A46, SUMMARY!A:A, "TOLEDO"), 0)</f>
        <v>0</v>
      </c>
      <c r="U46" s="24">
        <f>IFERROR(SUMIFS(SUMMARY!D:D, SUMMARY!B:B, A46, SUMMARY!A:A, "UBAY"), 0)</f>
        <v>0</v>
      </c>
      <c r="V46" s="24">
        <f>IFERROR(SUMIFS(SUMMARY!D:D, SUMMARY!B:B, A46, SUMMARY!A:A, "CARMEN"), 0)</f>
        <v>0</v>
      </c>
      <c r="W46" s="24">
        <f>IFERROR(SUMIFS(SUMMARY!D:D, SUMMARY!B:B, A46, SUMMARY!A:A, "TUBIGON"), 0)</f>
        <v>0</v>
      </c>
      <c r="X46" s="24">
        <f>IFERROR(SUMIFS(SUMMARY!D:D, SUMMARY!B:B, A46, SUMMARY!A:A, "TALIBON"), 0)</f>
        <v>0</v>
      </c>
      <c r="Y46" s="24">
        <f>IFERROR(SUMIFS(SUMMARY!D:D, SUMMARY!B:B, A46, SUMMARY!A:A, "BOGO"), 0)</f>
        <v>0</v>
      </c>
      <c r="Z46" s="24">
        <f>IFERROR(SUMIFS(SUMMARY!D:D, SUMMARY!B:B, A46, SUMMARY!A:A, "BALAMBAN"), 0)</f>
        <v>0</v>
      </c>
      <c r="AA46" s="24">
        <f>IFERROR(SUMIFS(SUMMARY!D:D, SUMMARY!B:B, A46, SUMMARY!A:A, "Y3S BARILI"), 0)</f>
        <v>0</v>
      </c>
      <c r="AB46" s="24">
        <f>IFERROR(SUMIFS(SUMMARY!D:D, SUMMARY!B:B, A46, SUMMARY!A:A, "BARILI MB"), 0)</f>
        <v>0</v>
      </c>
      <c r="AC46" s="24">
        <f>IFERROR(SUMIFS(SUMMARY!D:D, SUMMARY!B:B, A46, SUMMARY!A:A, "SIERRA BULLONES"), 0)</f>
        <v>0</v>
      </c>
      <c r="AD46" s="24">
        <f>IFERROR(SUMIFS(SUMMARY!D:D, SUMMARY!B:B, A46, SUMMARY!A:A, "PITOGO"), 0)</f>
        <v>0</v>
      </c>
      <c r="AE46" s="24">
        <f>IFERROR(SUMIFS(SUMMARY!D:D, SUMMARY!B:B, A46, SUMMARY!A:A, "TAYUD CONSOLACION"), 0)</f>
        <v>0</v>
      </c>
      <c r="AF46" s="24">
        <f>IFERROR(SUMIFS(SUMMARY!D:D, SUMMARY!B:B, A46, SUMMARY!A:A, "PINAMUNGAJAN"), 0)</f>
        <v>0</v>
      </c>
      <c r="AG46" s="24">
        <f>IFERROR(SUMIFS(SUMMARY!D:D, SUMMARY!B:B, A46, SUMMARY!A:A, "CANDIJAY"), 0)</f>
        <v>0</v>
      </c>
      <c r="AH46" s="24">
        <f>IFERROR(SUMIFS(SUMMARY!D:D, SUMMARY!B:B, A46, SUMMARY!A:A, "YATI LILOAN"), 0)</f>
        <v>0</v>
      </c>
      <c r="AI46" s="27">
        <f>IFERROR(SUMIFS(SUMMARY!D:D, SUMMARY!B:B, A46, SUMMARY!A:A, "CAMOTES"), 0)</f>
        <v>0</v>
      </c>
      <c r="AJ46" s="28">
        <f t="shared" si="1"/>
        <v>0</v>
      </c>
    </row>
    <row r="47" ht="15.75" customHeight="1">
      <c r="A47" s="23" t="s">
        <v>660</v>
      </c>
      <c r="B47" s="23" t="s">
        <v>661</v>
      </c>
      <c r="C47" s="24" t="s">
        <v>21</v>
      </c>
      <c r="D47" s="25">
        <f>IFERROR(SUMIFS(SUMMARY!D:D, SUMMARY!B:B, A47, SUMMARY!A:A, "ADMIN"), 0)</f>
        <v>0</v>
      </c>
      <c r="E47" s="25">
        <f>IFERROR(SUMIFS(SUMMARY!D:D, SUMMARY!B:B, A47, SUMMARY!A:A, "WAREHOUSE"), 0)</f>
        <v>0</v>
      </c>
      <c r="F47" s="24">
        <f>IFERROR(SUMIFS(SUMMARY!D:D, SUMMARY!B:B, A47, SUMMARY!A:A, "LAGTANG"), 0)</f>
        <v>0</v>
      </c>
      <c r="G47" s="26">
        <f>IFERROR(SUMIFS(SUMMARY!D:D, SUMMARY!B:B, A47, SUMMARY!A:A, "V-RAMA"), 0)</f>
        <v>0</v>
      </c>
      <c r="H47" s="24">
        <f>IFERROR(SUMIFS(SUMMARY!D:D, SUMMARY!B:B, A47, SUMMARY!A:A, "BULACAO"), 0)</f>
        <v>0</v>
      </c>
      <c r="I47" s="24">
        <f>IFERROR(SUMIFS(SUMMARY!D:D, SUMMARY!B:B, A47, SUMMARY!A:A, "Y3S TALISAY"), 0)</f>
        <v>0</v>
      </c>
      <c r="J47" s="24">
        <f>IFERROR(SUMIFS(SUMMARY!D:D, SUMMARY!B:B, A47, SUMMARY!A:A, "MINGLANILLA"), 0)</f>
        <v>1</v>
      </c>
      <c r="K47" s="24">
        <f>IFERROR(SUMIFS(SUMMARY!D:D, SUMMARY!B:B, A47, SUMMARY!A:A, "Y3S PARDO"), 0)</f>
        <v>0</v>
      </c>
      <c r="L47" s="24">
        <f>IFERROR(SUMIFS(SUMMARY!D:D, SUMMARY!B:B, A47, SUMMARY!A:A, "LAPU-LAPU"), 0)</f>
        <v>0</v>
      </c>
      <c r="M47" s="24">
        <f>IFERROR(SUMIFS(SUMMARY!D:D, SUMMARY!B:B, A47, SUMMARY!A:A, "BACAYAN"), 0)</f>
        <v>0</v>
      </c>
      <c r="N47" s="24">
        <f>IFERROR(SUMIFS(SUMMARY!D:D, SUMMARY!B:B, A47, SUMMARY!A:A, "SAN FERNANDO MB"), 0)</f>
        <v>0</v>
      </c>
      <c r="O47" s="24">
        <f>IFERROR(SUMIFS(SUMMARY!D:D, SUMMARY!B:B, A47, SUMMARY!A:A, "Y3S SAN FERNANDO"), 0)</f>
        <v>0</v>
      </c>
      <c r="P47" s="24">
        <f>IFERROR(SUMIFS(SUMMARY!D:D, SUMMARY!B:B, A47, SUMMARY!A:A, "LILOAN"), 0)</f>
        <v>0</v>
      </c>
      <c r="Q47" s="24">
        <f>IFERROR(SUMIFS(SUMMARY!D:D, SUMMARY!B:B, A47, SUMMARY!A:A, "CORDOVA MB"), 0)</f>
        <v>0</v>
      </c>
      <c r="R47" s="24">
        <f>IFERROR(SUMIFS(SUMMARY!D:D, SUMMARY!B:B, A47, SUMMARY!A:A, "Y3S CORDOVA"), 0)</f>
        <v>0</v>
      </c>
      <c r="S47" s="24">
        <f>IFERROR(SUMIFS(SUMMARY!D:D, SUMMARY!B:B, A47, SUMMARY!A:A, "CLARIN"), 0)</f>
        <v>0</v>
      </c>
      <c r="T47" s="24">
        <f>IFERROR(SUMIFS(SUMMARY!D:D, SUMMARY!B:B, A47, SUMMARY!A:A, "TOLEDO"), 0)</f>
        <v>0</v>
      </c>
      <c r="U47" s="24">
        <f>IFERROR(SUMIFS(SUMMARY!D:D, SUMMARY!B:B, A47, SUMMARY!A:A, "UBAY"), 0)</f>
        <v>0</v>
      </c>
      <c r="V47" s="24">
        <f>IFERROR(SUMIFS(SUMMARY!D:D, SUMMARY!B:B, A47, SUMMARY!A:A, "CARMEN"), 0)</f>
        <v>0</v>
      </c>
      <c r="W47" s="24">
        <f>IFERROR(SUMIFS(SUMMARY!D:D, SUMMARY!B:B, A47, SUMMARY!A:A, "TUBIGON"), 0)</f>
        <v>0</v>
      </c>
      <c r="X47" s="24">
        <f>IFERROR(SUMIFS(SUMMARY!D:D, SUMMARY!B:B, A47, SUMMARY!A:A, "TALIBON"), 0)</f>
        <v>0</v>
      </c>
      <c r="Y47" s="24">
        <f>IFERROR(SUMIFS(SUMMARY!D:D, SUMMARY!B:B, A47, SUMMARY!A:A, "BOGO"), 0)</f>
        <v>0</v>
      </c>
      <c r="Z47" s="24">
        <f>IFERROR(SUMIFS(SUMMARY!D:D, SUMMARY!B:B, A47, SUMMARY!A:A, "BALAMBAN"), 0)</f>
        <v>0</v>
      </c>
      <c r="AA47" s="24">
        <f>IFERROR(SUMIFS(SUMMARY!D:D, SUMMARY!B:B, A47, SUMMARY!A:A, "Y3S BARILI"), 0)</f>
        <v>0</v>
      </c>
      <c r="AB47" s="24">
        <f>IFERROR(SUMIFS(SUMMARY!D:D, SUMMARY!B:B, A47, SUMMARY!A:A, "BARILI MB"), 0)</f>
        <v>0</v>
      </c>
      <c r="AC47" s="24">
        <f>IFERROR(SUMIFS(SUMMARY!D:D, SUMMARY!B:B, A47, SUMMARY!A:A, "SIERRA BULLONES"), 0)</f>
        <v>0</v>
      </c>
      <c r="AD47" s="24">
        <f>IFERROR(SUMIFS(SUMMARY!D:D, SUMMARY!B:B, A47, SUMMARY!A:A, "PITOGO"), 0)</f>
        <v>0</v>
      </c>
      <c r="AE47" s="24">
        <f>IFERROR(SUMIFS(SUMMARY!D:D, SUMMARY!B:B, A47, SUMMARY!A:A, "TAYUD CONSOLACION"), 0)</f>
        <v>0</v>
      </c>
      <c r="AF47" s="24">
        <f>IFERROR(SUMIFS(SUMMARY!D:D, SUMMARY!B:B, A47, SUMMARY!A:A, "PINAMUNGAJAN"), 0)</f>
        <v>0</v>
      </c>
      <c r="AG47" s="24">
        <f>IFERROR(SUMIFS(SUMMARY!D:D, SUMMARY!B:B, A47, SUMMARY!A:A, "CANDIJAY"), 0)</f>
        <v>0</v>
      </c>
      <c r="AH47" s="24">
        <f>IFERROR(SUMIFS(SUMMARY!D:D, SUMMARY!B:B, A47, SUMMARY!A:A, "YATI LILOAN"), 0)</f>
        <v>0</v>
      </c>
      <c r="AI47" s="27">
        <f>IFERROR(SUMIFS(SUMMARY!D:D, SUMMARY!B:B, A47, SUMMARY!A:A, "CAMOTES"), 0)</f>
        <v>0</v>
      </c>
      <c r="AJ47" s="28">
        <f t="shared" si="1"/>
        <v>1</v>
      </c>
    </row>
    <row r="48" ht="15.75" customHeight="1">
      <c r="A48" s="23" t="s">
        <v>662</v>
      </c>
      <c r="B48" s="23" t="s">
        <v>663</v>
      </c>
      <c r="C48" s="24" t="s">
        <v>21</v>
      </c>
      <c r="D48" s="25">
        <f>IFERROR(SUMIFS(SUMMARY!D:D, SUMMARY!B:B, A48, SUMMARY!A:A, "ADMIN"), 0)</f>
        <v>0</v>
      </c>
      <c r="E48" s="25">
        <f>IFERROR(SUMIFS(SUMMARY!D:D, SUMMARY!B:B, A48, SUMMARY!A:A, "WAREHOUSE"), 0)</f>
        <v>0</v>
      </c>
      <c r="F48" s="24">
        <f>IFERROR(SUMIFS(SUMMARY!D:D, SUMMARY!B:B, A48, SUMMARY!A:A, "LAGTANG"), 0)</f>
        <v>0</v>
      </c>
      <c r="G48" s="26">
        <f>IFERROR(SUMIFS(SUMMARY!D:D, SUMMARY!B:B, A48, SUMMARY!A:A, "V-RAMA"), 0)</f>
        <v>0</v>
      </c>
      <c r="H48" s="24">
        <f>IFERROR(SUMIFS(SUMMARY!D:D, SUMMARY!B:B, A48, SUMMARY!A:A, "BULACAO"), 0)</f>
        <v>0</v>
      </c>
      <c r="I48" s="24">
        <f>IFERROR(SUMIFS(SUMMARY!D:D, SUMMARY!B:B, A48, SUMMARY!A:A, "Y3S TALISAY"), 0)</f>
        <v>0</v>
      </c>
      <c r="J48" s="24">
        <f>IFERROR(SUMIFS(SUMMARY!D:D, SUMMARY!B:B, A48, SUMMARY!A:A, "MINGLANILLA"), 0)</f>
        <v>0</v>
      </c>
      <c r="K48" s="24">
        <f>IFERROR(SUMIFS(SUMMARY!D:D, SUMMARY!B:B, A48, SUMMARY!A:A, "Y3S PARDO"), 0)</f>
        <v>0</v>
      </c>
      <c r="L48" s="24">
        <f>IFERROR(SUMIFS(SUMMARY!D:D, SUMMARY!B:B, A48, SUMMARY!A:A, "LAPU-LAPU"), 0)</f>
        <v>0</v>
      </c>
      <c r="M48" s="24">
        <f>IFERROR(SUMIFS(SUMMARY!D:D, SUMMARY!B:B, A48, SUMMARY!A:A, "BACAYAN"), 0)</f>
        <v>0</v>
      </c>
      <c r="N48" s="24">
        <f>IFERROR(SUMIFS(SUMMARY!D:D, SUMMARY!B:B, A48, SUMMARY!A:A, "SAN FERNANDO MB"), 0)</f>
        <v>0</v>
      </c>
      <c r="O48" s="24">
        <f>IFERROR(SUMIFS(SUMMARY!D:D, SUMMARY!B:B, A48, SUMMARY!A:A, "Y3S SAN FERNANDO"), 0)</f>
        <v>0</v>
      </c>
      <c r="P48" s="24">
        <f>IFERROR(SUMIFS(SUMMARY!D:D, SUMMARY!B:B, A48, SUMMARY!A:A, "LILOAN"), 0)</f>
        <v>0</v>
      </c>
      <c r="Q48" s="24">
        <f>IFERROR(SUMIFS(SUMMARY!D:D, SUMMARY!B:B, A48, SUMMARY!A:A, "CORDOVA MB"), 0)</f>
        <v>0</v>
      </c>
      <c r="R48" s="24">
        <f>IFERROR(SUMIFS(SUMMARY!D:D, SUMMARY!B:B, A48, SUMMARY!A:A, "Y3S CORDOVA"), 0)</f>
        <v>0</v>
      </c>
      <c r="S48" s="24">
        <f>IFERROR(SUMIFS(SUMMARY!D:D, SUMMARY!B:B, A48, SUMMARY!A:A, "CLARIN"), 0)</f>
        <v>0</v>
      </c>
      <c r="T48" s="24">
        <f>IFERROR(SUMIFS(SUMMARY!D:D, SUMMARY!B:B, A48, SUMMARY!A:A, "TOLEDO"), 0)</f>
        <v>0</v>
      </c>
      <c r="U48" s="24">
        <f>IFERROR(SUMIFS(SUMMARY!D:D, SUMMARY!B:B, A48, SUMMARY!A:A, "UBAY"), 0)</f>
        <v>0</v>
      </c>
      <c r="V48" s="24">
        <f>IFERROR(SUMIFS(SUMMARY!D:D, SUMMARY!B:B, A48, SUMMARY!A:A, "CARMEN"), 0)</f>
        <v>0</v>
      </c>
      <c r="W48" s="24">
        <f>IFERROR(SUMIFS(SUMMARY!D:D, SUMMARY!B:B, A48, SUMMARY!A:A, "TUBIGON"), 0)</f>
        <v>0</v>
      </c>
      <c r="X48" s="24">
        <f>IFERROR(SUMIFS(SUMMARY!D:D, SUMMARY!B:B, A48, SUMMARY!A:A, "TALIBON"), 0)</f>
        <v>0</v>
      </c>
      <c r="Y48" s="24">
        <f>IFERROR(SUMIFS(SUMMARY!D:D, SUMMARY!B:B, A48, SUMMARY!A:A, "BOGO"), 0)</f>
        <v>0</v>
      </c>
      <c r="Z48" s="24">
        <f>IFERROR(SUMIFS(SUMMARY!D:D, SUMMARY!B:B, A48, SUMMARY!A:A, "BALAMBAN"), 0)</f>
        <v>0</v>
      </c>
      <c r="AA48" s="24">
        <f>IFERROR(SUMIFS(SUMMARY!D:D, SUMMARY!B:B, A48, SUMMARY!A:A, "Y3S BARILI"), 0)</f>
        <v>0</v>
      </c>
      <c r="AB48" s="24">
        <f>IFERROR(SUMIFS(SUMMARY!D:D, SUMMARY!B:B, A48, SUMMARY!A:A, "BARILI MB"), 0)</f>
        <v>0</v>
      </c>
      <c r="AC48" s="24">
        <f>IFERROR(SUMIFS(SUMMARY!D:D, SUMMARY!B:B, A48, SUMMARY!A:A, "SIERRA BULLONES"), 0)</f>
        <v>0</v>
      </c>
      <c r="AD48" s="24">
        <f>IFERROR(SUMIFS(SUMMARY!D:D, SUMMARY!B:B, A48, SUMMARY!A:A, "PITOGO"), 0)</f>
        <v>0</v>
      </c>
      <c r="AE48" s="24">
        <f>IFERROR(SUMIFS(SUMMARY!D:D, SUMMARY!B:B, A48, SUMMARY!A:A, "TAYUD CONSOLACION"), 0)</f>
        <v>0</v>
      </c>
      <c r="AF48" s="24">
        <f>IFERROR(SUMIFS(SUMMARY!D:D, SUMMARY!B:B, A48, SUMMARY!A:A, "PINAMUNGAJAN"), 0)</f>
        <v>0</v>
      </c>
      <c r="AG48" s="24">
        <f>IFERROR(SUMIFS(SUMMARY!D:D, SUMMARY!B:B, A48, SUMMARY!A:A, "CANDIJAY"), 0)</f>
        <v>0</v>
      </c>
      <c r="AH48" s="24">
        <f>IFERROR(SUMIFS(SUMMARY!D:D, SUMMARY!B:B, A48, SUMMARY!A:A, "YATI LILOAN"), 0)</f>
        <v>0</v>
      </c>
      <c r="AI48" s="27">
        <f>IFERROR(SUMIFS(SUMMARY!D:D, SUMMARY!B:B, A48, SUMMARY!A:A, "CAMOTES"), 0)</f>
        <v>0</v>
      </c>
      <c r="AJ48" s="28">
        <f t="shared" si="1"/>
        <v>0</v>
      </c>
    </row>
    <row r="49" ht="15.75" customHeight="1">
      <c r="A49" s="23" t="s">
        <v>664</v>
      </c>
      <c r="B49" s="23" t="s">
        <v>665</v>
      </c>
      <c r="C49" s="24" t="s">
        <v>21</v>
      </c>
      <c r="D49" s="25">
        <f>IFERROR(SUMIFS(SUMMARY!D:D, SUMMARY!B:B, A49, SUMMARY!A:A, "ADMIN"), 0)</f>
        <v>0</v>
      </c>
      <c r="E49" s="25">
        <f>IFERROR(SUMIFS(SUMMARY!D:D, SUMMARY!B:B, A49, SUMMARY!A:A, "WAREHOUSE"), 0)</f>
        <v>0</v>
      </c>
      <c r="F49" s="24">
        <f>IFERROR(SUMIFS(SUMMARY!D:D, SUMMARY!B:B, A49, SUMMARY!A:A, "LAGTANG"), 0)</f>
        <v>0</v>
      </c>
      <c r="G49" s="26">
        <f>IFERROR(SUMIFS(SUMMARY!D:D, SUMMARY!B:B, A49, SUMMARY!A:A, "V-RAMA"), 0)</f>
        <v>0</v>
      </c>
      <c r="H49" s="24">
        <f>IFERROR(SUMIFS(SUMMARY!D:D, SUMMARY!B:B, A49, SUMMARY!A:A, "BULACAO"), 0)</f>
        <v>0</v>
      </c>
      <c r="I49" s="24">
        <f>IFERROR(SUMIFS(SUMMARY!D:D, SUMMARY!B:B, A49, SUMMARY!A:A, "Y3S TALISAY"), 0)</f>
        <v>0</v>
      </c>
      <c r="J49" s="24">
        <f>IFERROR(SUMIFS(SUMMARY!D:D, SUMMARY!B:B, A49, SUMMARY!A:A, "MINGLANILLA"), 0)</f>
        <v>0</v>
      </c>
      <c r="K49" s="24">
        <f>IFERROR(SUMIFS(SUMMARY!D:D, SUMMARY!B:B, A49, SUMMARY!A:A, "Y3S PARDO"), 0)</f>
        <v>0</v>
      </c>
      <c r="L49" s="24">
        <f>IFERROR(SUMIFS(SUMMARY!D:D, SUMMARY!B:B, A49, SUMMARY!A:A, "LAPU-LAPU"), 0)</f>
        <v>0</v>
      </c>
      <c r="M49" s="24">
        <f>IFERROR(SUMIFS(SUMMARY!D:D, SUMMARY!B:B, A49, SUMMARY!A:A, "BACAYAN"), 0)</f>
        <v>0</v>
      </c>
      <c r="N49" s="24">
        <f>IFERROR(SUMIFS(SUMMARY!D:D, SUMMARY!B:B, A49, SUMMARY!A:A, "SAN FERNANDO MB"), 0)</f>
        <v>0</v>
      </c>
      <c r="O49" s="24">
        <f>IFERROR(SUMIFS(SUMMARY!D:D, SUMMARY!B:B, A49, SUMMARY!A:A, "Y3S SAN FERNANDO"), 0)</f>
        <v>0</v>
      </c>
      <c r="P49" s="24">
        <f>IFERROR(SUMIFS(SUMMARY!D:D, SUMMARY!B:B, A49, SUMMARY!A:A, "LILOAN"), 0)</f>
        <v>0</v>
      </c>
      <c r="Q49" s="24">
        <f>IFERROR(SUMIFS(SUMMARY!D:D, SUMMARY!B:B, A49, SUMMARY!A:A, "CORDOVA MB"), 0)</f>
        <v>0</v>
      </c>
      <c r="R49" s="24">
        <f>IFERROR(SUMIFS(SUMMARY!D:D, SUMMARY!B:B, A49, SUMMARY!A:A, "Y3S CORDOVA"), 0)</f>
        <v>0</v>
      </c>
      <c r="S49" s="24">
        <f>IFERROR(SUMIFS(SUMMARY!D:D, SUMMARY!B:B, A49, SUMMARY!A:A, "CLARIN"), 0)</f>
        <v>0</v>
      </c>
      <c r="T49" s="24">
        <f>IFERROR(SUMIFS(SUMMARY!D:D, SUMMARY!B:B, A49, SUMMARY!A:A, "TOLEDO"), 0)</f>
        <v>0</v>
      </c>
      <c r="U49" s="24">
        <f>IFERROR(SUMIFS(SUMMARY!D:D, SUMMARY!B:B, A49, SUMMARY!A:A, "UBAY"), 0)</f>
        <v>0</v>
      </c>
      <c r="V49" s="24">
        <f>IFERROR(SUMIFS(SUMMARY!D:D, SUMMARY!B:B, A49, SUMMARY!A:A, "CARMEN"), 0)</f>
        <v>0</v>
      </c>
      <c r="W49" s="24">
        <f>IFERROR(SUMIFS(SUMMARY!D:D, SUMMARY!B:B, A49, SUMMARY!A:A, "TUBIGON"), 0)</f>
        <v>0</v>
      </c>
      <c r="X49" s="24">
        <f>IFERROR(SUMIFS(SUMMARY!D:D, SUMMARY!B:B, A49, SUMMARY!A:A, "TALIBON"), 0)</f>
        <v>0</v>
      </c>
      <c r="Y49" s="24">
        <f>IFERROR(SUMIFS(SUMMARY!D:D, SUMMARY!B:B, A49, SUMMARY!A:A, "BOGO"), 0)</f>
        <v>0</v>
      </c>
      <c r="Z49" s="24">
        <f>IFERROR(SUMIFS(SUMMARY!D:D, SUMMARY!B:B, A49, SUMMARY!A:A, "BALAMBAN"), 0)</f>
        <v>0</v>
      </c>
      <c r="AA49" s="24">
        <f>IFERROR(SUMIFS(SUMMARY!D:D, SUMMARY!B:B, A49, SUMMARY!A:A, "Y3S BARILI"), 0)</f>
        <v>0</v>
      </c>
      <c r="AB49" s="24">
        <f>IFERROR(SUMIFS(SUMMARY!D:D, SUMMARY!B:B, A49, SUMMARY!A:A, "BARILI MB"), 0)</f>
        <v>0</v>
      </c>
      <c r="AC49" s="24">
        <f>IFERROR(SUMIFS(SUMMARY!D:D, SUMMARY!B:B, A49, SUMMARY!A:A, "SIERRA BULLONES"), 0)</f>
        <v>0</v>
      </c>
      <c r="AD49" s="24">
        <f>IFERROR(SUMIFS(SUMMARY!D:D, SUMMARY!B:B, A49, SUMMARY!A:A, "PITOGO"), 0)</f>
        <v>0</v>
      </c>
      <c r="AE49" s="24">
        <f>IFERROR(SUMIFS(SUMMARY!D:D, SUMMARY!B:B, A49, SUMMARY!A:A, "TAYUD CONSOLACION"), 0)</f>
        <v>0</v>
      </c>
      <c r="AF49" s="24">
        <f>IFERROR(SUMIFS(SUMMARY!D:D, SUMMARY!B:B, A49, SUMMARY!A:A, "PINAMUNGAJAN"), 0)</f>
        <v>0</v>
      </c>
      <c r="AG49" s="24">
        <f>IFERROR(SUMIFS(SUMMARY!D:D, SUMMARY!B:B, A49, SUMMARY!A:A, "CANDIJAY"), 0)</f>
        <v>0</v>
      </c>
      <c r="AH49" s="24">
        <f>IFERROR(SUMIFS(SUMMARY!D:D, SUMMARY!B:B, A49, SUMMARY!A:A, "YATI LILOAN"), 0)</f>
        <v>0</v>
      </c>
      <c r="AI49" s="27">
        <f>IFERROR(SUMIFS(SUMMARY!D:D, SUMMARY!B:B, A49, SUMMARY!A:A, "CAMOTES"), 0)</f>
        <v>0</v>
      </c>
      <c r="AJ49" s="28">
        <f t="shared" si="1"/>
        <v>0</v>
      </c>
    </row>
    <row r="50" ht="15.75" customHeight="1">
      <c r="A50" s="23" t="s">
        <v>666</v>
      </c>
      <c r="B50" s="23" t="s">
        <v>667</v>
      </c>
      <c r="C50" s="24" t="s">
        <v>21</v>
      </c>
      <c r="D50" s="25">
        <f>IFERROR(SUMIFS(SUMMARY!D:D, SUMMARY!B:B, A50, SUMMARY!A:A, "ADMIN"), 0)</f>
        <v>0</v>
      </c>
      <c r="E50" s="25">
        <f>IFERROR(SUMIFS(SUMMARY!D:D, SUMMARY!B:B, A50, SUMMARY!A:A, "WAREHOUSE"), 0)</f>
        <v>0</v>
      </c>
      <c r="F50" s="24">
        <f>IFERROR(SUMIFS(SUMMARY!D:D, SUMMARY!B:B, A50, SUMMARY!A:A, "LAGTANG"), 0)</f>
        <v>0</v>
      </c>
      <c r="G50" s="26">
        <f>IFERROR(SUMIFS(SUMMARY!D:D, SUMMARY!B:B, A50, SUMMARY!A:A, "V-RAMA"), 0)</f>
        <v>0</v>
      </c>
      <c r="H50" s="24">
        <f>IFERROR(SUMIFS(SUMMARY!D:D, SUMMARY!B:B, A50, SUMMARY!A:A, "BULACAO"), 0)</f>
        <v>0</v>
      </c>
      <c r="I50" s="24">
        <f>IFERROR(SUMIFS(SUMMARY!D:D, SUMMARY!B:B, A50, SUMMARY!A:A, "Y3S TALISAY"), 0)</f>
        <v>0</v>
      </c>
      <c r="J50" s="24">
        <f>IFERROR(SUMIFS(SUMMARY!D:D, SUMMARY!B:B, A50, SUMMARY!A:A, "MINGLANILLA"), 0)</f>
        <v>0</v>
      </c>
      <c r="K50" s="24">
        <f>IFERROR(SUMIFS(SUMMARY!D:D, SUMMARY!B:B, A50, SUMMARY!A:A, "Y3S PARDO"), 0)</f>
        <v>0</v>
      </c>
      <c r="L50" s="24">
        <f>IFERROR(SUMIFS(SUMMARY!D:D, SUMMARY!B:B, A50, SUMMARY!A:A, "LAPU-LAPU"), 0)</f>
        <v>0</v>
      </c>
      <c r="M50" s="24">
        <f>IFERROR(SUMIFS(SUMMARY!D:D, SUMMARY!B:B, A50, SUMMARY!A:A, "BACAYAN"), 0)</f>
        <v>0</v>
      </c>
      <c r="N50" s="24">
        <f>IFERROR(SUMIFS(SUMMARY!D:D, SUMMARY!B:B, A50, SUMMARY!A:A, "SAN FERNANDO MB"), 0)</f>
        <v>0</v>
      </c>
      <c r="O50" s="24">
        <f>IFERROR(SUMIFS(SUMMARY!D:D, SUMMARY!B:B, A50, SUMMARY!A:A, "Y3S SAN FERNANDO"), 0)</f>
        <v>0</v>
      </c>
      <c r="P50" s="24">
        <f>IFERROR(SUMIFS(SUMMARY!D:D, SUMMARY!B:B, A50, SUMMARY!A:A, "LILOAN"), 0)</f>
        <v>0</v>
      </c>
      <c r="Q50" s="24">
        <f>IFERROR(SUMIFS(SUMMARY!D:D, SUMMARY!B:B, A50, SUMMARY!A:A, "CORDOVA MB"), 0)</f>
        <v>0</v>
      </c>
      <c r="R50" s="24">
        <f>IFERROR(SUMIFS(SUMMARY!D:D, SUMMARY!B:B, A50, SUMMARY!A:A, "Y3S CORDOVA"), 0)</f>
        <v>0</v>
      </c>
      <c r="S50" s="24">
        <f>IFERROR(SUMIFS(SUMMARY!D:D, SUMMARY!B:B, A50, SUMMARY!A:A, "CLARIN"), 0)</f>
        <v>0</v>
      </c>
      <c r="T50" s="24">
        <f>IFERROR(SUMIFS(SUMMARY!D:D, SUMMARY!B:B, A50, SUMMARY!A:A, "TOLEDO"), 0)</f>
        <v>0</v>
      </c>
      <c r="U50" s="24">
        <f>IFERROR(SUMIFS(SUMMARY!D:D, SUMMARY!B:B, A50, SUMMARY!A:A, "UBAY"), 0)</f>
        <v>0</v>
      </c>
      <c r="V50" s="24">
        <f>IFERROR(SUMIFS(SUMMARY!D:D, SUMMARY!B:B, A50, SUMMARY!A:A, "CARMEN"), 0)</f>
        <v>0</v>
      </c>
      <c r="W50" s="24">
        <f>IFERROR(SUMIFS(SUMMARY!D:D, SUMMARY!B:B, A50, SUMMARY!A:A, "TUBIGON"), 0)</f>
        <v>0</v>
      </c>
      <c r="X50" s="24">
        <f>IFERROR(SUMIFS(SUMMARY!D:D, SUMMARY!B:B, A50, SUMMARY!A:A, "TALIBON"), 0)</f>
        <v>0</v>
      </c>
      <c r="Y50" s="24">
        <f>IFERROR(SUMIFS(SUMMARY!D:D, SUMMARY!B:B, A50, SUMMARY!A:A, "BOGO"), 0)</f>
        <v>0</v>
      </c>
      <c r="Z50" s="24">
        <f>IFERROR(SUMIFS(SUMMARY!D:D, SUMMARY!B:B, A50, SUMMARY!A:A, "BALAMBAN"), 0)</f>
        <v>0</v>
      </c>
      <c r="AA50" s="24">
        <f>IFERROR(SUMIFS(SUMMARY!D:D, SUMMARY!B:B, A50, SUMMARY!A:A, "Y3S BARILI"), 0)</f>
        <v>0</v>
      </c>
      <c r="AB50" s="24">
        <f>IFERROR(SUMIFS(SUMMARY!D:D, SUMMARY!B:B, A50, SUMMARY!A:A, "BARILI MB"), 0)</f>
        <v>0</v>
      </c>
      <c r="AC50" s="24">
        <f>IFERROR(SUMIFS(SUMMARY!D:D, SUMMARY!B:B, A50, SUMMARY!A:A, "SIERRA BULLONES"), 0)</f>
        <v>0</v>
      </c>
      <c r="AD50" s="24">
        <f>IFERROR(SUMIFS(SUMMARY!D:D, SUMMARY!B:B, A50, SUMMARY!A:A, "PITOGO"), 0)</f>
        <v>0</v>
      </c>
      <c r="AE50" s="24">
        <f>IFERROR(SUMIFS(SUMMARY!D:D, SUMMARY!B:B, A50, SUMMARY!A:A, "TAYUD CONSOLACION"), 0)</f>
        <v>0</v>
      </c>
      <c r="AF50" s="24">
        <f>IFERROR(SUMIFS(SUMMARY!D:D, SUMMARY!B:B, A50, SUMMARY!A:A, "PINAMUNGAJAN"), 0)</f>
        <v>0</v>
      </c>
      <c r="AG50" s="24">
        <f>IFERROR(SUMIFS(SUMMARY!D:D, SUMMARY!B:B, A50, SUMMARY!A:A, "CANDIJAY"), 0)</f>
        <v>0</v>
      </c>
      <c r="AH50" s="24">
        <f>IFERROR(SUMIFS(SUMMARY!D:D, SUMMARY!B:B, A50, SUMMARY!A:A, "YATI LILOAN"), 0)</f>
        <v>0</v>
      </c>
      <c r="AI50" s="27">
        <f>IFERROR(SUMIFS(SUMMARY!D:D, SUMMARY!B:B, A50, SUMMARY!A:A, "CAMOTES"), 0)</f>
        <v>0</v>
      </c>
      <c r="AJ50" s="28">
        <f t="shared" si="1"/>
        <v>0</v>
      </c>
    </row>
    <row r="51" ht="15.75" customHeight="1">
      <c r="A51" s="23" t="s">
        <v>668</v>
      </c>
      <c r="B51" s="23" t="s">
        <v>669</v>
      </c>
      <c r="C51" s="24" t="s">
        <v>21</v>
      </c>
      <c r="D51" s="25">
        <f>IFERROR(SUMIFS(SUMMARY!D:D, SUMMARY!B:B, A51, SUMMARY!A:A, "ADMIN"), 0)</f>
        <v>0</v>
      </c>
      <c r="E51" s="25">
        <f>IFERROR(SUMIFS(SUMMARY!D:D, SUMMARY!B:B, A51, SUMMARY!A:A, "WAREHOUSE"), 0)</f>
        <v>0</v>
      </c>
      <c r="F51" s="24">
        <f>IFERROR(SUMIFS(SUMMARY!D:D, SUMMARY!B:B, A51, SUMMARY!A:A, "LAGTANG"), 0)</f>
        <v>0</v>
      </c>
      <c r="G51" s="26">
        <f>IFERROR(SUMIFS(SUMMARY!D:D, SUMMARY!B:B, A51, SUMMARY!A:A, "V-RAMA"), 0)</f>
        <v>0</v>
      </c>
      <c r="H51" s="24">
        <f>IFERROR(SUMIFS(SUMMARY!D:D, SUMMARY!B:B, A51, SUMMARY!A:A, "BULACAO"), 0)</f>
        <v>0</v>
      </c>
      <c r="I51" s="24">
        <f>IFERROR(SUMIFS(SUMMARY!D:D, SUMMARY!B:B, A51, SUMMARY!A:A, "Y3S TALISAY"), 0)</f>
        <v>0</v>
      </c>
      <c r="J51" s="24">
        <f>IFERROR(SUMIFS(SUMMARY!D:D, SUMMARY!B:B, A51, SUMMARY!A:A, "MINGLANILLA"), 0)</f>
        <v>0</v>
      </c>
      <c r="K51" s="24">
        <f>IFERROR(SUMIFS(SUMMARY!D:D, SUMMARY!B:B, A51, SUMMARY!A:A, "Y3S PARDO"), 0)</f>
        <v>0</v>
      </c>
      <c r="L51" s="24">
        <f>IFERROR(SUMIFS(SUMMARY!D:D, SUMMARY!B:B, A51, SUMMARY!A:A, "LAPU-LAPU"), 0)</f>
        <v>0</v>
      </c>
      <c r="M51" s="24">
        <f>IFERROR(SUMIFS(SUMMARY!D:D, SUMMARY!B:B, A51, SUMMARY!A:A, "BACAYAN"), 0)</f>
        <v>0</v>
      </c>
      <c r="N51" s="24">
        <f>IFERROR(SUMIFS(SUMMARY!D:D, SUMMARY!B:B, A51, SUMMARY!A:A, "SAN FERNANDO MB"), 0)</f>
        <v>0</v>
      </c>
      <c r="O51" s="24">
        <f>IFERROR(SUMIFS(SUMMARY!D:D, SUMMARY!B:B, A51, SUMMARY!A:A, "Y3S SAN FERNANDO"), 0)</f>
        <v>0</v>
      </c>
      <c r="P51" s="24">
        <f>IFERROR(SUMIFS(SUMMARY!D:D, SUMMARY!B:B, A51, SUMMARY!A:A, "LILOAN"), 0)</f>
        <v>0</v>
      </c>
      <c r="Q51" s="24">
        <f>IFERROR(SUMIFS(SUMMARY!D:D, SUMMARY!B:B, A51, SUMMARY!A:A, "CORDOVA MB"), 0)</f>
        <v>0</v>
      </c>
      <c r="R51" s="24">
        <f>IFERROR(SUMIFS(SUMMARY!D:D, SUMMARY!B:B, A51, SUMMARY!A:A, "Y3S CORDOVA"), 0)</f>
        <v>0</v>
      </c>
      <c r="S51" s="24">
        <f>IFERROR(SUMIFS(SUMMARY!D:D, SUMMARY!B:B, A51, SUMMARY!A:A, "CLARIN"), 0)</f>
        <v>0</v>
      </c>
      <c r="T51" s="24">
        <f>IFERROR(SUMIFS(SUMMARY!D:D, SUMMARY!B:B, A51, SUMMARY!A:A, "TOLEDO"), 0)</f>
        <v>0</v>
      </c>
      <c r="U51" s="24">
        <f>IFERROR(SUMIFS(SUMMARY!D:D, SUMMARY!B:B, A51, SUMMARY!A:A, "UBAY"), 0)</f>
        <v>0</v>
      </c>
      <c r="V51" s="24">
        <f>IFERROR(SUMIFS(SUMMARY!D:D, SUMMARY!B:B, A51, SUMMARY!A:A, "CARMEN"), 0)</f>
        <v>0</v>
      </c>
      <c r="W51" s="24">
        <f>IFERROR(SUMIFS(SUMMARY!D:D, SUMMARY!B:B, A51, SUMMARY!A:A, "TUBIGON"), 0)</f>
        <v>0</v>
      </c>
      <c r="X51" s="24">
        <f>IFERROR(SUMIFS(SUMMARY!D:D, SUMMARY!B:B, A51, SUMMARY!A:A, "TALIBON"), 0)</f>
        <v>0</v>
      </c>
      <c r="Y51" s="24">
        <f>IFERROR(SUMIFS(SUMMARY!D:D, SUMMARY!B:B, A51, SUMMARY!A:A, "BOGO"), 0)</f>
        <v>0</v>
      </c>
      <c r="Z51" s="24">
        <f>IFERROR(SUMIFS(SUMMARY!D:D, SUMMARY!B:B, A51, SUMMARY!A:A, "BALAMBAN"), 0)</f>
        <v>0</v>
      </c>
      <c r="AA51" s="24">
        <f>IFERROR(SUMIFS(SUMMARY!D:D, SUMMARY!B:B, A51, SUMMARY!A:A, "Y3S BARILI"), 0)</f>
        <v>0</v>
      </c>
      <c r="AB51" s="24">
        <f>IFERROR(SUMIFS(SUMMARY!D:D, SUMMARY!B:B, A51, SUMMARY!A:A, "BARILI MB"), 0)</f>
        <v>0</v>
      </c>
      <c r="AC51" s="24">
        <f>IFERROR(SUMIFS(SUMMARY!D:D, SUMMARY!B:B, A51, SUMMARY!A:A, "SIERRA BULLONES"), 0)</f>
        <v>0</v>
      </c>
      <c r="AD51" s="24">
        <f>IFERROR(SUMIFS(SUMMARY!D:D, SUMMARY!B:B, A51, SUMMARY!A:A, "PITOGO"), 0)</f>
        <v>0</v>
      </c>
      <c r="AE51" s="24">
        <f>IFERROR(SUMIFS(SUMMARY!D:D, SUMMARY!B:B, A51, SUMMARY!A:A, "TAYUD CONSOLACION"), 0)</f>
        <v>0</v>
      </c>
      <c r="AF51" s="24">
        <f>IFERROR(SUMIFS(SUMMARY!D:D, SUMMARY!B:B, A51, SUMMARY!A:A, "PINAMUNGAJAN"), 0)</f>
        <v>0</v>
      </c>
      <c r="AG51" s="24">
        <f>IFERROR(SUMIFS(SUMMARY!D:D, SUMMARY!B:B, A51, SUMMARY!A:A, "CANDIJAY"), 0)</f>
        <v>0</v>
      </c>
      <c r="AH51" s="24">
        <f>IFERROR(SUMIFS(SUMMARY!D:D, SUMMARY!B:B, A51, SUMMARY!A:A, "YATI LILOAN"), 0)</f>
        <v>0</v>
      </c>
      <c r="AI51" s="27">
        <f>IFERROR(SUMIFS(SUMMARY!D:D, SUMMARY!B:B, A51, SUMMARY!A:A, "CAMOTES"), 0)</f>
        <v>0</v>
      </c>
      <c r="AJ51" s="28">
        <f t="shared" si="1"/>
        <v>0</v>
      </c>
    </row>
    <row r="52" ht="15.75" customHeight="1">
      <c r="A52" s="23" t="s">
        <v>670</v>
      </c>
      <c r="B52" s="23" t="s">
        <v>671</v>
      </c>
      <c r="C52" s="24" t="s">
        <v>21</v>
      </c>
      <c r="D52" s="25">
        <f>IFERROR(SUMIFS(SUMMARY!D:D, SUMMARY!B:B, A52, SUMMARY!A:A, "ADMIN"), 0)</f>
        <v>0</v>
      </c>
      <c r="E52" s="25">
        <f>IFERROR(SUMIFS(SUMMARY!D:D, SUMMARY!B:B, A52, SUMMARY!A:A, "WAREHOUSE"), 0)</f>
        <v>0</v>
      </c>
      <c r="F52" s="24">
        <f>IFERROR(SUMIFS(SUMMARY!D:D, SUMMARY!B:B, A52, SUMMARY!A:A, "LAGTANG"), 0)</f>
        <v>0</v>
      </c>
      <c r="G52" s="26">
        <f>IFERROR(SUMIFS(SUMMARY!D:D, SUMMARY!B:B, A52, SUMMARY!A:A, "V-RAMA"), 0)</f>
        <v>0</v>
      </c>
      <c r="H52" s="24">
        <f>IFERROR(SUMIFS(SUMMARY!D:D, SUMMARY!B:B, A52, SUMMARY!A:A, "BULACAO"), 0)</f>
        <v>0</v>
      </c>
      <c r="I52" s="24">
        <f>IFERROR(SUMIFS(SUMMARY!D:D, SUMMARY!B:B, A52, SUMMARY!A:A, "Y3S TALISAY"), 0)</f>
        <v>0</v>
      </c>
      <c r="J52" s="24">
        <f>IFERROR(SUMIFS(SUMMARY!D:D, SUMMARY!B:B, A52, SUMMARY!A:A, "MINGLANILLA"), 0)</f>
        <v>0</v>
      </c>
      <c r="K52" s="24">
        <f>IFERROR(SUMIFS(SUMMARY!D:D, SUMMARY!B:B, A52, SUMMARY!A:A, "Y3S PARDO"), 0)</f>
        <v>0</v>
      </c>
      <c r="L52" s="24">
        <f>IFERROR(SUMIFS(SUMMARY!D:D, SUMMARY!B:B, A52, SUMMARY!A:A, "LAPU-LAPU"), 0)</f>
        <v>0</v>
      </c>
      <c r="M52" s="24">
        <f>IFERROR(SUMIFS(SUMMARY!D:D, SUMMARY!B:B, A52, SUMMARY!A:A, "BACAYAN"), 0)</f>
        <v>0</v>
      </c>
      <c r="N52" s="24">
        <f>IFERROR(SUMIFS(SUMMARY!D:D, SUMMARY!B:B, A52, SUMMARY!A:A, "SAN FERNANDO MB"), 0)</f>
        <v>0</v>
      </c>
      <c r="O52" s="24">
        <f>IFERROR(SUMIFS(SUMMARY!D:D, SUMMARY!B:B, A52, SUMMARY!A:A, "Y3S SAN FERNANDO"), 0)</f>
        <v>0</v>
      </c>
      <c r="P52" s="24">
        <f>IFERROR(SUMIFS(SUMMARY!D:D, SUMMARY!B:B, A52, SUMMARY!A:A, "LILOAN"), 0)</f>
        <v>0</v>
      </c>
      <c r="Q52" s="24">
        <f>IFERROR(SUMIFS(SUMMARY!D:D, SUMMARY!B:B, A52, SUMMARY!A:A, "CORDOVA MB"), 0)</f>
        <v>0</v>
      </c>
      <c r="R52" s="24">
        <f>IFERROR(SUMIFS(SUMMARY!D:D, SUMMARY!B:B, A52, SUMMARY!A:A, "Y3S CORDOVA"), 0)</f>
        <v>0</v>
      </c>
      <c r="S52" s="24">
        <f>IFERROR(SUMIFS(SUMMARY!D:D, SUMMARY!B:B, A52, SUMMARY!A:A, "CLARIN"), 0)</f>
        <v>0</v>
      </c>
      <c r="T52" s="24">
        <f>IFERROR(SUMIFS(SUMMARY!D:D, SUMMARY!B:B, A52, SUMMARY!A:A, "TOLEDO"), 0)</f>
        <v>0</v>
      </c>
      <c r="U52" s="24">
        <f>IFERROR(SUMIFS(SUMMARY!D:D, SUMMARY!B:B, A52, SUMMARY!A:A, "UBAY"), 0)</f>
        <v>0</v>
      </c>
      <c r="V52" s="24">
        <f>IFERROR(SUMIFS(SUMMARY!D:D, SUMMARY!B:B, A52, SUMMARY!A:A, "CARMEN"), 0)</f>
        <v>0</v>
      </c>
      <c r="W52" s="24">
        <f>IFERROR(SUMIFS(SUMMARY!D:D, SUMMARY!B:B, A52, SUMMARY!A:A, "TUBIGON"), 0)</f>
        <v>0</v>
      </c>
      <c r="X52" s="24">
        <f>IFERROR(SUMIFS(SUMMARY!D:D, SUMMARY!B:B, A52, SUMMARY!A:A, "TALIBON"), 0)</f>
        <v>0</v>
      </c>
      <c r="Y52" s="24">
        <f>IFERROR(SUMIFS(SUMMARY!D:D, SUMMARY!B:B, A52, SUMMARY!A:A, "BOGO"), 0)</f>
        <v>0</v>
      </c>
      <c r="Z52" s="24">
        <f>IFERROR(SUMIFS(SUMMARY!D:D, SUMMARY!B:B, A52, SUMMARY!A:A, "BALAMBAN"), 0)</f>
        <v>0</v>
      </c>
      <c r="AA52" s="24">
        <f>IFERROR(SUMIFS(SUMMARY!D:D, SUMMARY!B:B, A52, SUMMARY!A:A, "Y3S BARILI"), 0)</f>
        <v>0</v>
      </c>
      <c r="AB52" s="24">
        <f>IFERROR(SUMIFS(SUMMARY!D:D, SUMMARY!B:B, A52, SUMMARY!A:A, "BARILI MB"), 0)</f>
        <v>0</v>
      </c>
      <c r="AC52" s="24">
        <f>IFERROR(SUMIFS(SUMMARY!D:D, SUMMARY!B:B, A52, SUMMARY!A:A, "SIERRA BULLONES"), 0)</f>
        <v>0</v>
      </c>
      <c r="AD52" s="24">
        <f>IFERROR(SUMIFS(SUMMARY!D:D, SUMMARY!B:B, A52, SUMMARY!A:A, "PITOGO"), 0)</f>
        <v>0</v>
      </c>
      <c r="AE52" s="24">
        <f>IFERROR(SUMIFS(SUMMARY!D:D, SUMMARY!B:B, A52, SUMMARY!A:A, "TAYUD CONSOLACION"), 0)</f>
        <v>0</v>
      </c>
      <c r="AF52" s="24">
        <f>IFERROR(SUMIFS(SUMMARY!D:D, SUMMARY!B:B, A52, SUMMARY!A:A, "PINAMUNGAJAN"), 0)</f>
        <v>0</v>
      </c>
      <c r="AG52" s="24">
        <f>IFERROR(SUMIFS(SUMMARY!D:D, SUMMARY!B:B, A52, SUMMARY!A:A, "CANDIJAY"), 0)</f>
        <v>0</v>
      </c>
      <c r="AH52" s="24">
        <f>IFERROR(SUMIFS(SUMMARY!D:D, SUMMARY!B:B, A52, SUMMARY!A:A, "YATI LILOAN"), 0)</f>
        <v>0</v>
      </c>
      <c r="AI52" s="27">
        <f>IFERROR(SUMIFS(SUMMARY!D:D, SUMMARY!B:B, A52, SUMMARY!A:A, "CAMOTES"), 0)</f>
        <v>0</v>
      </c>
      <c r="AJ52" s="28">
        <f t="shared" si="1"/>
        <v>0</v>
      </c>
    </row>
    <row r="53" ht="15.75" customHeight="1">
      <c r="A53" s="23" t="s">
        <v>672</v>
      </c>
      <c r="B53" s="23" t="s">
        <v>673</v>
      </c>
      <c r="C53" s="24" t="s">
        <v>21</v>
      </c>
      <c r="D53" s="25">
        <f>IFERROR(SUMIFS(SUMMARY!D:D, SUMMARY!B:B, A53, SUMMARY!A:A, "ADMIN"), 0)</f>
        <v>0</v>
      </c>
      <c r="E53" s="25">
        <f>IFERROR(SUMIFS(SUMMARY!D:D, SUMMARY!B:B, A53, SUMMARY!A:A, "WAREHOUSE"), 0)</f>
        <v>0</v>
      </c>
      <c r="F53" s="24">
        <f>IFERROR(SUMIFS(SUMMARY!D:D, SUMMARY!B:B, A53, SUMMARY!A:A, "LAGTANG"), 0)</f>
        <v>0</v>
      </c>
      <c r="G53" s="26">
        <f>IFERROR(SUMIFS(SUMMARY!D:D, SUMMARY!B:B, A53, SUMMARY!A:A, "V-RAMA"), 0)</f>
        <v>0</v>
      </c>
      <c r="H53" s="24">
        <f>IFERROR(SUMIFS(SUMMARY!D:D, SUMMARY!B:B, A53, SUMMARY!A:A, "BULACAO"), 0)</f>
        <v>0</v>
      </c>
      <c r="I53" s="24">
        <f>IFERROR(SUMIFS(SUMMARY!D:D, SUMMARY!B:B, A53, SUMMARY!A:A, "Y3S TALISAY"), 0)</f>
        <v>0</v>
      </c>
      <c r="J53" s="24">
        <f>IFERROR(SUMIFS(SUMMARY!D:D, SUMMARY!B:B, A53, SUMMARY!A:A, "MINGLANILLA"), 0)</f>
        <v>0</v>
      </c>
      <c r="K53" s="24">
        <f>IFERROR(SUMIFS(SUMMARY!D:D, SUMMARY!B:B, A53, SUMMARY!A:A, "Y3S PARDO"), 0)</f>
        <v>0</v>
      </c>
      <c r="L53" s="24">
        <f>IFERROR(SUMIFS(SUMMARY!D:D, SUMMARY!B:B, A53, SUMMARY!A:A, "LAPU-LAPU"), 0)</f>
        <v>0</v>
      </c>
      <c r="M53" s="24">
        <f>IFERROR(SUMIFS(SUMMARY!D:D, SUMMARY!B:B, A53, SUMMARY!A:A, "BACAYAN"), 0)</f>
        <v>0</v>
      </c>
      <c r="N53" s="24">
        <f>IFERROR(SUMIFS(SUMMARY!D:D, SUMMARY!B:B, A53, SUMMARY!A:A, "SAN FERNANDO MB"), 0)</f>
        <v>0</v>
      </c>
      <c r="O53" s="24">
        <f>IFERROR(SUMIFS(SUMMARY!D:D, SUMMARY!B:B, A53, SUMMARY!A:A, "Y3S SAN FERNANDO"), 0)</f>
        <v>0</v>
      </c>
      <c r="P53" s="24">
        <f>IFERROR(SUMIFS(SUMMARY!D:D, SUMMARY!B:B, A53, SUMMARY!A:A, "LILOAN"), 0)</f>
        <v>0</v>
      </c>
      <c r="Q53" s="24">
        <f>IFERROR(SUMIFS(SUMMARY!D:D, SUMMARY!B:B, A53, SUMMARY!A:A, "CORDOVA MB"), 0)</f>
        <v>0</v>
      </c>
      <c r="R53" s="24">
        <f>IFERROR(SUMIFS(SUMMARY!D:D, SUMMARY!B:B, A53, SUMMARY!A:A, "Y3S CORDOVA"), 0)</f>
        <v>0</v>
      </c>
      <c r="S53" s="24">
        <f>IFERROR(SUMIFS(SUMMARY!D:D, SUMMARY!B:B, A53, SUMMARY!A:A, "CLARIN"), 0)</f>
        <v>0</v>
      </c>
      <c r="T53" s="24">
        <f>IFERROR(SUMIFS(SUMMARY!D:D, SUMMARY!B:B, A53, SUMMARY!A:A, "TOLEDO"), 0)</f>
        <v>0</v>
      </c>
      <c r="U53" s="24">
        <f>IFERROR(SUMIFS(SUMMARY!D:D, SUMMARY!B:B, A53, SUMMARY!A:A, "UBAY"), 0)</f>
        <v>0</v>
      </c>
      <c r="V53" s="24">
        <f>IFERROR(SUMIFS(SUMMARY!D:D, SUMMARY!B:B, A53, SUMMARY!A:A, "CARMEN"), 0)</f>
        <v>0</v>
      </c>
      <c r="W53" s="24">
        <f>IFERROR(SUMIFS(SUMMARY!D:D, SUMMARY!B:B, A53, SUMMARY!A:A, "TUBIGON"), 0)</f>
        <v>0</v>
      </c>
      <c r="X53" s="24">
        <f>IFERROR(SUMIFS(SUMMARY!D:D, SUMMARY!B:B, A53, SUMMARY!A:A, "TALIBON"), 0)</f>
        <v>0</v>
      </c>
      <c r="Y53" s="24">
        <f>IFERROR(SUMIFS(SUMMARY!D:D, SUMMARY!B:B, A53, SUMMARY!A:A, "BOGO"), 0)</f>
        <v>0</v>
      </c>
      <c r="Z53" s="24">
        <f>IFERROR(SUMIFS(SUMMARY!D:D, SUMMARY!B:B, A53, SUMMARY!A:A, "BALAMBAN"), 0)</f>
        <v>0</v>
      </c>
      <c r="AA53" s="24">
        <f>IFERROR(SUMIFS(SUMMARY!D:D, SUMMARY!B:B, A53, SUMMARY!A:A, "Y3S BARILI"), 0)</f>
        <v>0</v>
      </c>
      <c r="AB53" s="24">
        <f>IFERROR(SUMIFS(SUMMARY!D:D, SUMMARY!B:B, A53, SUMMARY!A:A, "BARILI MB"), 0)</f>
        <v>0</v>
      </c>
      <c r="AC53" s="24">
        <f>IFERROR(SUMIFS(SUMMARY!D:D, SUMMARY!B:B, A53, SUMMARY!A:A, "SIERRA BULLONES"), 0)</f>
        <v>0</v>
      </c>
      <c r="AD53" s="24">
        <f>IFERROR(SUMIFS(SUMMARY!D:D, SUMMARY!B:B, A53, SUMMARY!A:A, "PITOGO"), 0)</f>
        <v>0</v>
      </c>
      <c r="AE53" s="24">
        <f>IFERROR(SUMIFS(SUMMARY!D:D, SUMMARY!B:B, A53, SUMMARY!A:A, "TAYUD CONSOLACION"), 0)</f>
        <v>0</v>
      </c>
      <c r="AF53" s="24">
        <f>IFERROR(SUMIFS(SUMMARY!D:D, SUMMARY!B:B, A53, SUMMARY!A:A, "PINAMUNGAJAN"), 0)</f>
        <v>0</v>
      </c>
      <c r="AG53" s="24">
        <f>IFERROR(SUMIFS(SUMMARY!D:D, SUMMARY!B:B, A53, SUMMARY!A:A, "CANDIJAY"), 0)</f>
        <v>0</v>
      </c>
      <c r="AH53" s="24">
        <f>IFERROR(SUMIFS(SUMMARY!D:D, SUMMARY!B:B, A53, SUMMARY!A:A, "YATI LILOAN"), 0)</f>
        <v>0</v>
      </c>
      <c r="AI53" s="27">
        <f>IFERROR(SUMIFS(SUMMARY!D:D, SUMMARY!B:B, A53, SUMMARY!A:A, "CAMOTES"), 0)</f>
        <v>0</v>
      </c>
      <c r="AJ53" s="28">
        <f t="shared" si="1"/>
        <v>0</v>
      </c>
    </row>
    <row r="54" ht="15.75" customHeight="1">
      <c r="A54" s="23" t="s">
        <v>674</v>
      </c>
      <c r="B54" s="23" t="s">
        <v>675</v>
      </c>
      <c r="C54" s="24" t="s">
        <v>21</v>
      </c>
      <c r="D54" s="25">
        <f>IFERROR(SUMIFS(SUMMARY!D:D, SUMMARY!B:B, A54, SUMMARY!A:A, "ADMIN"), 0)</f>
        <v>0</v>
      </c>
      <c r="E54" s="25">
        <f>IFERROR(SUMIFS(SUMMARY!D:D, SUMMARY!B:B, A54, SUMMARY!A:A, "WAREHOUSE"), 0)</f>
        <v>0</v>
      </c>
      <c r="F54" s="24">
        <f>IFERROR(SUMIFS(SUMMARY!D:D, SUMMARY!B:B, A54, SUMMARY!A:A, "LAGTANG"), 0)</f>
        <v>0</v>
      </c>
      <c r="G54" s="26">
        <f>IFERROR(SUMIFS(SUMMARY!D:D, SUMMARY!B:B, A54, SUMMARY!A:A, "V-RAMA"), 0)</f>
        <v>0</v>
      </c>
      <c r="H54" s="24">
        <f>IFERROR(SUMIFS(SUMMARY!D:D, SUMMARY!B:B, A54, SUMMARY!A:A, "BULACAO"), 0)</f>
        <v>0</v>
      </c>
      <c r="I54" s="24">
        <f>IFERROR(SUMIFS(SUMMARY!D:D, SUMMARY!B:B, A54, SUMMARY!A:A, "Y3S TALISAY"), 0)</f>
        <v>0</v>
      </c>
      <c r="J54" s="24">
        <f>IFERROR(SUMIFS(SUMMARY!D:D, SUMMARY!B:B, A54, SUMMARY!A:A, "MINGLANILLA"), 0)</f>
        <v>0</v>
      </c>
      <c r="K54" s="24">
        <f>IFERROR(SUMIFS(SUMMARY!D:D, SUMMARY!B:B, A54, SUMMARY!A:A, "Y3S PARDO"), 0)</f>
        <v>0</v>
      </c>
      <c r="L54" s="24">
        <f>IFERROR(SUMIFS(SUMMARY!D:D, SUMMARY!B:B, A54, SUMMARY!A:A, "LAPU-LAPU"), 0)</f>
        <v>0</v>
      </c>
      <c r="M54" s="24">
        <f>IFERROR(SUMIFS(SUMMARY!D:D, SUMMARY!B:B, A54, SUMMARY!A:A, "BACAYAN"), 0)</f>
        <v>0</v>
      </c>
      <c r="N54" s="24">
        <f>IFERROR(SUMIFS(SUMMARY!D:D, SUMMARY!B:B, A54, SUMMARY!A:A, "SAN FERNANDO MB"), 0)</f>
        <v>0</v>
      </c>
      <c r="O54" s="24">
        <f>IFERROR(SUMIFS(SUMMARY!D:D, SUMMARY!B:B, A54, SUMMARY!A:A, "Y3S SAN FERNANDO"), 0)</f>
        <v>0</v>
      </c>
      <c r="P54" s="24">
        <f>IFERROR(SUMIFS(SUMMARY!D:D, SUMMARY!B:B, A54, SUMMARY!A:A, "LILOAN"), 0)</f>
        <v>0</v>
      </c>
      <c r="Q54" s="24">
        <f>IFERROR(SUMIFS(SUMMARY!D:D, SUMMARY!B:B, A54, SUMMARY!A:A, "CORDOVA MB"), 0)</f>
        <v>0</v>
      </c>
      <c r="R54" s="24">
        <f>IFERROR(SUMIFS(SUMMARY!D:D, SUMMARY!B:B, A54, SUMMARY!A:A, "Y3S CORDOVA"), 0)</f>
        <v>0</v>
      </c>
      <c r="S54" s="24">
        <f>IFERROR(SUMIFS(SUMMARY!D:D, SUMMARY!B:B, A54, SUMMARY!A:A, "CLARIN"), 0)</f>
        <v>0</v>
      </c>
      <c r="T54" s="24">
        <f>IFERROR(SUMIFS(SUMMARY!D:D, SUMMARY!B:B, A54, SUMMARY!A:A, "TOLEDO"), 0)</f>
        <v>0</v>
      </c>
      <c r="U54" s="24">
        <f>IFERROR(SUMIFS(SUMMARY!D:D, SUMMARY!B:B, A54, SUMMARY!A:A, "UBAY"), 0)</f>
        <v>0</v>
      </c>
      <c r="V54" s="24">
        <f>IFERROR(SUMIFS(SUMMARY!D:D, SUMMARY!B:B, A54, SUMMARY!A:A, "CARMEN"), 0)</f>
        <v>0</v>
      </c>
      <c r="W54" s="24">
        <f>IFERROR(SUMIFS(SUMMARY!D:D, SUMMARY!B:B, A54, SUMMARY!A:A, "TUBIGON"), 0)</f>
        <v>0</v>
      </c>
      <c r="X54" s="24">
        <f>IFERROR(SUMIFS(SUMMARY!D:D, SUMMARY!B:B, A54, SUMMARY!A:A, "TALIBON"), 0)</f>
        <v>0</v>
      </c>
      <c r="Y54" s="24">
        <f>IFERROR(SUMIFS(SUMMARY!D:D, SUMMARY!B:B, A54, SUMMARY!A:A, "BOGO"), 0)</f>
        <v>0</v>
      </c>
      <c r="Z54" s="24">
        <f>IFERROR(SUMIFS(SUMMARY!D:D, SUMMARY!B:B, A54, SUMMARY!A:A, "BALAMBAN"), 0)</f>
        <v>0</v>
      </c>
      <c r="AA54" s="24">
        <f>IFERROR(SUMIFS(SUMMARY!D:D, SUMMARY!B:B, A54, SUMMARY!A:A, "Y3S BARILI"), 0)</f>
        <v>0</v>
      </c>
      <c r="AB54" s="24">
        <f>IFERROR(SUMIFS(SUMMARY!D:D, SUMMARY!B:B, A54, SUMMARY!A:A, "BARILI MB"), 0)</f>
        <v>0</v>
      </c>
      <c r="AC54" s="24">
        <f>IFERROR(SUMIFS(SUMMARY!D:D, SUMMARY!B:B, A54, SUMMARY!A:A, "SIERRA BULLONES"), 0)</f>
        <v>0</v>
      </c>
      <c r="AD54" s="24">
        <f>IFERROR(SUMIFS(SUMMARY!D:D, SUMMARY!B:B, A54, SUMMARY!A:A, "PITOGO"), 0)</f>
        <v>0</v>
      </c>
      <c r="AE54" s="24">
        <f>IFERROR(SUMIFS(SUMMARY!D:D, SUMMARY!B:B, A54, SUMMARY!A:A, "TAYUD CONSOLACION"), 0)</f>
        <v>0</v>
      </c>
      <c r="AF54" s="24">
        <f>IFERROR(SUMIFS(SUMMARY!D:D, SUMMARY!B:B, A54, SUMMARY!A:A, "PINAMUNGAJAN"), 0)</f>
        <v>0</v>
      </c>
      <c r="AG54" s="24">
        <f>IFERROR(SUMIFS(SUMMARY!D:D, SUMMARY!B:B, A54, SUMMARY!A:A, "CANDIJAY"), 0)</f>
        <v>0</v>
      </c>
      <c r="AH54" s="24">
        <f>IFERROR(SUMIFS(SUMMARY!D:D, SUMMARY!B:B, A54, SUMMARY!A:A, "YATI LILOAN"), 0)</f>
        <v>0</v>
      </c>
      <c r="AI54" s="27">
        <f>IFERROR(SUMIFS(SUMMARY!D:D, SUMMARY!B:B, A54, SUMMARY!A:A, "CAMOTES"), 0)</f>
        <v>0</v>
      </c>
      <c r="AJ54" s="28">
        <f t="shared" si="1"/>
        <v>0</v>
      </c>
    </row>
    <row r="55" ht="15.75" customHeight="1">
      <c r="A55" s="23" t="s">
        <v>676</v>
      </c>
      <c r="B55" s="23" t="s">
        <v>677</v>
      </c>
      <c r="C55" s="24" t="s">
        <v>21</v>
      </c>
      <c r="D55" s="25">
        <f>IFERROR(SUMIFS(SUMMARY!D:D, SUMMARY!B:B, A55, SUMMARY!A:A, "ADMIN"), 0)</f>
        <v>0</v>
      </c>
      <c r="E55" s="25">
        <f>IFERROR(SUMIFS(SUMMARY!D:D, SUMMARY!B:B, A55, SUMMARY!A:A, "WAREHOUSE"), 0)</f>
        <v>0</v>
      </c>
      <c r="F55" s="24">
        <f>IFERROR(SUMIFS(SUMMARY!D:D, SUMMARY!B:B, A55, SUMMARY!A:A, "LAGTANG"), 0)</f>
        <v>0</v>
      </c>
      <c r="G55" s="26">
        <f>IFERROR(SUMIFS(SUMMARY!D:D, SUMMARY!B:B, A55, SUMMARY!A:A, "V-RAMA"), 0)</f>
        <v>0</v>
      </c>
      <c r="H55" s="24">
        <f>IFERROR(SUMIFS(SUMMARY!D:D, SUMMARY!B:B, A55, SUMMARY!A:A, "BULACAO"), 0)</f>
        <v>0</v>
      </c>
      <c r="I55" s="24">
        <f>IFERROR(SUMIFS(SUMMARY!D:D, SUMMARY!B:B, A55, SUMMARY!A:A, "Y3S TALISAY"), 0)</f>
        <v>0</v>
      </c>
      <c r="J55" s="24">
        <f>IFERROR(SUMIFS(SUMMARY!D:D, SUMMARY!B:B, A55, SUMMARY!A:A, "MINGLANILLA"), 0)</f>
        <v>0</v>
      </c>
      <c r="K55" s="24">
        <f>IFERROR(SUMIFS(SUMMARY!D:D, SUMMARY!B:B, A55, SUMMARY!A:A, "Y3S PARDO"), 0)</f>
        <v>0</v>
      </c>
      <c r="L55" s="24">
        <f>IFERROR(SUMIFS(SUMMARY!D:D, SUMMARY!B:B, A55, SUMMARY!A:A, "LAPU-LAPU"), 0)</f>
        <v>0</v>
      </c>
      <c r="M55" s="24">
        <f>IFERROR(SUMIFS(SUMMARY!D:D, SUMMARY!B:B, A55, SUMMARY!A:A, "BACAYAN"), 0)</f>
        <v>0</v>
      </c>
      <c r="N55" s="24">
        <f>IFERROR(SUMIFS(SUMMARY!D:D, SUMMARY!B:B, A55, SUMMARY!A:A, "SAN FERNANDO MB"), 0)</f>
        <v>0</v>
      </c>
      <c r="O55" s="24">
        <f>IFERROR(SUMIFS(SUMMARY!D:D, SUMMARY!B:B, A55, SUMMARY!A:A, "Y3S SAN FERNANDO"), 0)</f>
        <v>0</v>
      </c>
      <c r="P55" s="24">
        <f>IFERROR(SUMIFS(SUMMARY!D:D, SUMMARY!B:B, A55, SUMMARY!A:A, "LILOAN"), 0)</f>
        <v>0</v>
      </c>
      <c r="Q55" s="24">
        <f>IFERROR(SUMIFS(SUMMARY!D:D, SUMMARY!B:B, A55, SUMMARY!A:A, "CORDOVA MB"), 0)</f>
        <v>0</v>
      </c>
      <c r="R55" s="24">
        <f>IFERROR(SUMIFS(SUMMARY!D:D, SUMMARY!B:B, A55, SUMMARY!A:A, "Y3S CORDOVA"), 0)</f>
        <v>0</v>
      </c>
      <c r="S55" s="24">
        <f>IFERROR(SUMIFS(SUMMARY!D:D, SUMMARY!B:B, A55, SUMMARY!A:A, "CLARIN"), 0)</f>
        <v>0</v>
      </c>
      <c r="T55" s="24">
        <f>IFERROR(SUMIFS(SUMMARY!D:D, SUMMARY!B:B, A55, SUMMARY!A:A, "TOLEDO"), 0)</f>
        <v>0</v>
      </c>
      <c r="U55" s="24">
        <f>IFERROR(SUMIFS(SUMMARY!D:D, SUMMARY!B:B, A55, SUMMARY!A:A, "UBAY"), 0)</f>
        <v>0</v>
      </c>
      <c r="V55" s="24">
        <f>IFERROR(SUMIFS(SUMMARY!D:D, SUMMARY!B:B, A55, SUMMARY!A:A, "CARMEN"), 0)</f>
        <v>0</v>
      </c>
      <c r="W55" s="24">
        <f>IFERROR(SUMIFS(SUMMARY!D:D, SUMMARY!B:B, A55, SUMMARY!A:A, "TUBIGON"), 0)</f>
        <v>0</v>
      </c>
      <c r="X55" s="24">
        <f>IFERROR(SUMIFS(SUMMARY!D:D, SUMMARY!B:B, A55, SUMMARY!A:A, "TALIBON"), 0)</f>
        <v>0</v>
      </c>
      <c r="Y55" s="24">
        <f>IFERROR(SUMIFS(SUMMARY!D:D, SUMMARY!B:B, A55, SUMMARY!A:A, "BOGO"), 0)</f>
        <v>0</v>
      </c>
      <c r="Z55" s="24">
        <f>IFERROR(SUMIFS(SUMMARY!D:D, SUMMARY!B:B, A55, SUMMARY!A:A, "BALAMBAN"), 0)</f>
        <v>0</v>
      </c>
      <c r="AA55" s="24">
        <f>IFERROR(SUMIFS(SUMMARY!D:D, SUMMARY!B:B, A55, SUMMARY!A:A, "Y3S BARILI"), 0)</f>
        <v>0</v>
      </c>
      <c r="AB55" s="24">
        <f>IFERROR(SUMIFS(SUMMARY!D:D, SUMMARY!B:B, A55, SUMMARY!A:A, "BARILI MB"), 0)</f>
        <v>0</v>
      </c>
      <c r="AC55" s="24">
        <f>IFERROR(SUMIFS(SUMMARY!D:D, SUMMARY!B:B, A55, SUMMARY!A:A, "SIERRA BULLONES"), 0)</f>
        <v>0</v>
      </c>
      <c r="AD55" s="24">
        <f>IFERROR(SUMIFS(SUMMARY!D:D, SUMMARY!B:B, A55, SUMMARY!A:A, "PITOGO"), 0)</f>
        <v>0</v>
      </c>
      <c r="AE55" s="24">
        <f>IFERROR(SUMIFS(SUMMARY!D:D, SUMMARY!B:B, A55, SUMMARY!A:A, "TAYUD CONSOLACION"), 0)</f>
        <v>0</v>
      </c>
      <c r="AF55" s="24">
        <f>IFERROR(SUMIFS(SUMMARY!D:D, SUMMARY!B:B, A55, SUMMARY!A:A, "PINAMUNGAJAN"), 0)</f>
        <v>0</v>
      </c>
      <c r="AG55" s="24">
        <f>IFERROR(SUMIFS(SUMMARY!D:D, SUMMARY!B:B, A55, SUMMARY!A:A, "CANDIJAY"), 0)</f>
        <v>0</v>
      </c>
      <c r="AH55" s="24">
        <f>IFERROR(SUMIFS(SUMMARY!D:D, SUMMARY!B:B, A55, SUMMARY!A:A, "YATI LILOAN"), 0)</f>
        <v>0</v>
      </c>
      <c r="AI55" s="27">
        <f>IFERROR(SUMIFS(SUMMARY!D:D, SUMMARY!B:B, A55, SUMMARY!A:A, "CAMOTES"), 0)</f>
        <v>0</v>
      </c>
      <c r="AJ55" s="28">
        <f t="shared" si="1"/>
        <v>0</v>
      </c>
    </row>
    <row r="56" ht="15.75" customHeight="1">
      <c r="A56" s="23" t="s">
        <v>678</v>
      </c>
      <c r="B56" s="23" t="s">
        <v>679</v>
      </c>
      <c r="C56" s="24" t="s">
        <v>21</v>
      </c>
      <c r="D56" s="25">
        <f>IFERROR(SUMIFS(SUMMARY!D:D, SUMMARY!B:B, A56, SUMMARY!A:A, "ADMIN"), 0)</f>
        <v>0</v>
      </c>
      <c r="E56" s="25">
        <f>IFERROR(SUMIFS(SUMMARY!D:D, SUMMARY!B:B, A56, SUMMARY!A:A, "WAREHOUSE"), 0)</f>
        <v>10</v>
      </c>
      <c r="F56" s="24">
        <f>IFERROR(SUMIFS(SUMMARY!D:D, SUMMARY!B:B, A56, SUMMARY!A:A, "LAGTANG"), 0)</f>
        <v>6</v>
      </c>
      <c r="G56" s="26">
        <f>IFERROR(SUMIFS(SUMMARY!D:D, SUMMARY!B:B, A56, SUMMARY!A:A, "V-RAMA"), 0)</f>
        <v>6</v>
      </c>
      <c r="H56" s="24">
        <f>IFERROR(SUMIFS(SUMMARY!D:D, SUMMARY!B:B, A56, SUMMARY!A:A, "BULACAO"), 0)</f>
        <v>12</v>
      </c>
      <c r="I56" s="24">
        <f>IFERROR(SUMIFS(SUMMARY!D:D, SUMMARY!B:B, A56, SUMMARY!A:A, "Y3S TALISAY"), 0)</f>
        <v>17</v>
      </c>
      <c r="J56" s="24">
        <f>IFERROR(SUMIFS(SUMMARY!D:D, SUMMARY!B:B, A56, SUMMARY!A:A, "MINGLANILLA"), 0)</f>
        <v>6</v>
      </c>
      <c r="K56" s="24">
        <f>IFERROR(SUMIFS(SUMMARY!D:D, SUMMARY!B:B, A56, SUMMARY!A:A, "Y3S PARDO"), 0)</f>
        <v>0</v>
      </c>
      <c r="L56" s="24">
        <f>IFERROR(SUMIFS(SUMMARY!D:D, SUMMARY!B:B, A56, SUMMARY!A:A, "LAPU-LAPU"), 0)</f>
        <v>0</v>
      </c>
      <c r="M56" s="24">
        <f>IFERROR(SUMIFS(SUMMARY!D:D, SUMMARY!B:B, A56, SUMMARY!A:A, "BACAYAN"), 0)</f>
        <v>0</v>
      </c>
      <c r="N56" s="24">
        <f>IFERROR(SUMIFS(SUMMARY!D:D, SUMMARY!B:B, A56, SUMMARY!A:A, "SAN FERNANDO MB"), 0)</f>
        <v>6</v>
      </c>
      <c r="O56" s="24">
        <f>IFERROR(SUMIFS(SUMMARY!D:D, SUMMARY!B:B, A56, SUMMARY!A:A, "Y3S SAN FERNANDO"), 0)</f>
        <v>6</v>
      </c>
      <c r="P56" s="24">
        <f>IFERROR(SUMIFS(SUMMARY!D:D, SUMMARY!B:B, A56, SUMMARY!A:A, "LILOAN"), 0)</f>
        <v>6</v>
      </c>
      <c r="Q56" s="24">
        <f>IFERROR(SUMIFS(SUMMARY!D:D, SUMMARY!B:B, A56, SUMMARY!A:A, "CORDOVA MB"), 0)</f>
        <v>6</v>
      </c>
      <c r="R56" s="24">
        <f>IFERROR(SUMIFS(SUMMARY!D:D, SUMMARY!B:B, A56, SUMMARY!A:A, "Y3S CORDOVA"), 0)</f>
        <v>24</v>
      </c>
      <c r="S56" s="24">
        <f>IFERROR(SUMIFS(SUMMARY!D:D, SUMMARY!B:B, A56, SUMMARY!A:A, "CLARIN"), 0)</f>
        <v>6</v>
      </c>
      <c r="T56" s="24">
        <f>IFERROR(SUMIFS(SUMMARY!D:D, SUMMARY!B:B, A56, SUMMARY!A:A, "TOLEDO"), 0)</f>
        <v>6</v>
      </c>
      <c r="U56" s="24">
        <f>IFERROR(SUMIFS(SUMMARY!D:D, SUMMARY!B:B, A56, SUMMARY!A:A, "UBAY"), 0)</f>
        <v>6</v>
      </c>
      <c r="V56" s="24">
        <f>IFERROR(SUMIFS(SUMMARY!D:D, SUMMARY!B:B, A56, SUMMARY!A:A, "CARMEN"), 0)</f>
        <v>0</v>
      </c>
      <c r="W56" s="24">
        <f>IFERROR(SUMIFS(SUMMARY!D:D, SUMMARY!B:B, A56, SUMMARY!A:A, "TUBIGON"), 0)</f>
        <v>6</v>
      </c>
      <c r="X56" s="24">
        <f>IFERROR(SUMIFS(SUMMARY!D:D, SUMMARY!B:B, A56, SUMMARY!A:A, "TALIBON"), 0)</f>
        <v>6</v>
      </c>
      <c r="Y56" s="24">
        <f>IFERROR(SUMIFS(SUMMARY!D:D, SUMMARY!B:B, A56, SUMMARY!A:A, "BOGO"), 0)</f>
        <v>6</v>
      </c>
      <c r="Z56" s="24">
        <f>IFERROR(SUMIFS(SUMMARY!D:D, SUMMARY!B:B, A56, SUMMARY!A:A, "BALAMBAN"), 0)</f>
        <v>6</v>
      </c>
      <c r="AA56" s="24">
        <f>IFERROR(SUMIFS(SUMMARY!D:D, SUMMARY!B:B, A56, SUMMARY!A:A, "Y3S BARILI"), 0)</f>
        <v>12</v>
      </c>
      <c r="AB56" s="24">
        <f>IFERROR(SUMIFS(SUMMARY!D:D, SUMMARY!B:B, A56, SUMMARY!A:A, "BARILI MB"), 0)</f>
        <v>18</v>
      </c>
      <c r="AC56" s="24">
        <f>IFERROR(SUMIFS(SUMMARY!D:D, SUMMARY!B:B, A56, SUMMARY!A:A, "SIERRA BULLONES"), 0)</f>
        <v>6</v>
      </c>
      <c r="AD56" s="24">
        <f>IFERROR(SUMIFS(SUMMARY!D:D, SUMMARY!B:B, A56, SUMMARY!A:A, "PITOGO"), 0)</f>
        <v>6</v>
      </c>
      <c r="AE56" s="24">
        <f>IFERROR(SUMIFS(SUMMARY!D:D, SUMMARY!B:B, A56, SUMMARY!A:A, "TAYUD CONSOLACION"), 0)</f>
        <v>0</v>
      </c>
      <c r="AF56" s="24">
        <f>IFERROR(SUMIFS(SUMMARY!D:D, SUMMARY!B:B, A56, SUMMARY!A:A, "PINAMUNGAJAN"), 0)</f>
        <v>6</v>
      </c>
      <c r="AG56" s="24">
        <f>IFERROR(SUMIFS(SUMMARY!D:D, SUMMARY!B:B, A56, SUMMARY!A:A, "CANDIJAY"), 0)</f>
        <v>0</v>
      </c>
      <c r="AH56" s="24">
        <f>IFERROR(SUMIFS(SUMMARY!D:D, SUMMARY!B:B, A56, SUMMARY!A:A, "YATI LILOAN"), 0)</f>
        <v>6</v>
      </c>
      <c r="AI56" s="27">
        <f>IFERROR(SUMIFS(SUMMARY!D:D, SUMMARY!B:B, A56, SUMMARY!A:A, "CAMOTES"), 0)</f>
        <v>0</v>
      </c>
      <c r="AJ56" s="28">
        <f t="shared" si="1"/>
        <v>201</v>
      </c>
    </row>
    <row r="57" ht="15.75" customHeight="1">
      <c r="A57" s="23" t="s">
        <v>680</v>
      </c>
      <c r="B57" s="23" t="s">
        <v>681</v>
      </c>
      <c r="C57" s="24" t="s">
        <v>21</v>
      </c>
      <c r="D57" s="25">
        <f>IFERROR(SUMIFS(SUMMARY!D:D, SUMMARY!B:B, A57, SUMMARY!A:A, "ADMIN"), 0)</f>
        <v>0</v>
      </c>
      <c r="E57" s="25">
        <f>IFERROR(SUMIFS(SUMMARY!D:D, SUMMARY!B:B, A57, SUMMARY!A:A, "WAREHOUSE"), 0)</f>
        <v>0</v>
      </c>
      <c r="F57" s="24">
        <f>IFERROR(SUMIFS(SUMMARY!D:D, SUMMARY!B:B, A57, SUMMARY!A:A, "LAGTANG"), 0)</f>
        <v>0</v>
      </c>
      <c r="G57" s="26">
        <f>IFERROR(SUMIFS(SUMMARY!D:D, SUMMARY!B:B, A57, SUMMARY!A:A, "V-RAMA"), 0)</f>
        <v>0</v>
      </c>
      <c r="H57" s="24">
        <f>IFERROR(SUMIFS(SUMMARY!D:D, SUMMARY!B:B, A57, SUMMARY!A:A, "BULACAO"), 0)</f>
        <v>0</v>
      </c>
      <c r="I57" s="24">
        <f>IFERROR(SUMIFS(SUMMARY!D:D, SUMMARY!B:B, A57, SUMMARY!A:A, "Y3S TALISAY"), 0)</f>
        <v>0</v>
      </c>
      <c r="J57" s="24">
        <f>IFERROR(SUMIFS(SUMMARY!D:D, SUMMARY!B:B, A57, SUMMARY!A:A, "MINGLANILLA"), 0)</f>
        <v>0</v>
      </c>
      <c r="K57" s="24">
        <f>IFERROR(SUMIFS(SUMMARY!D:D, SUMMARY!B:B, A57, SUMMARY!A:A, "Y3S PARDO"), 0)</f>
        <v>0</v>
      </c>
      <c r="L57" s="24">
        <f>IFERROR(SUMIFS(SUMMARY!D:D, SUMMARY!B:B, A57, SUMMARY!A:A, "LAPU-LAPU"), 0)</f>
        <v>0</v>
      </c>
      <c r="M57" s="24">
        <f>IFERROR(SUMIFS(SUMMARY!D:D, SUMMARY!B:B, A57, SUMMARY!A:A, "BACAYAN"), 0)</f>
        <v>1</v>
      </c>
      <c r="N57" s="24">
        <f>IFERROR(SUMIFS(SUMMARY!D:D, SUMMARY!B:B, A57, SUMMARY!A:A, "SAN FERNANDO MB"), 0)</f>
        <v>0</v>
      </c>
      <c r="O57" s="24">
        <f>IFERROR(SUMIFS(SUMMARY!D:D, SUMMARY!B:B, A57, SUMMARY!A:A, "Y3S SAN FERNANDO"), 0)</f>
        <v>0</v>
      </c>
      <c r="P57" s="24">
        <f>IFERROR(SUMIFS(SUMMARY!D:D, SUMMARY!B:B, A57, SUMMARY!A:A, "LILOAN"), 0)</f>
        <v>0</v>
      </c>
      <c r="Q57" s="24">
        <f>IFERROR(SUMIFS(SUMMARY!D:D, SUMMARY!B:B, A57, SUMMARY!A:A, "CORDOVA MB"), 0)</f>
        <v>0</v>
      </c>
      <c r="R57" s="24">
        <f>IFERROR(SUMIFS(SUMMARY!D:D, SUMMARY!B:B, A57, SUMMARY!A:A, "Y3S CORDOVA"), 0)</f>
        <v>0</v>
      </c>
      <c r="S57" s="24">
        <f>IFERROR(SUMIFS(SUMMARY!D:D, SUMMARY!B:B, A57, SUMMARY!A:A, "CLARIN"), 0)</f>
        <v>0</v>
      </c>
      <c r="T57" s="24">
        <f>IFERROR(SUMIFS(SUMMARY!D:D, SUMMARY!B:B, A57, SUMMARY!A:A, "TOLEDO"), 0)</f>
        <v>0</v>
      </c>
      <c r="U57" s="24">
        <f>IFERROR(SUMIFS(SUMMARY!D:D, SUMMARY!B:B, A57, SUMMARY!A:A, "UBAY"), 0)</f>
        <v>0</v>
      </c>
      <c r="V57" s="24">
        <f>IFERROR(SUMIFS(SUMMARY!D:D, SUMMARY!B:B, A57, SUMMARY!A:A, "CARMEN"), 0)</f>
        <v>0</v>
      </c>
      <c r="W57" s="24">
        <f>IFERROR(SUMIFS(SUMMARY!D:D, SUMMARY!B:B, A57, SUMMARY!A:A, "TUBIGON"), 0)</f>
        <v>0</v>
      </c>
      <c r="X57" s="24">
        <f>IFERROR(SUMIFS(SUMMARY!D:D, SUMMARY!B:B, A57, SUMMARY!A:A, "TALIBON"), 0)</f>
        <v>0</v>
      </c>
      <c r="Y57" s="24">
        <f>IFERROR(SUMIFS(SUMMARY!D:D, SUMMARY!B:B, A57, SUMMARY!A:A, "BOGO"), 0)</f>
        <v>0</v>
      </c>
      <c r="Z57" s="24">
        <f>IFERROR(SUMIFS(SUMMARY!D:D, SUMMARY!B:B, A57, SUMMARY!A:A, "BALAMBAN"), 0)</f>
        <v>0</v>
      </c>
      <c r="AA57" s="24">
        <f>IFERROR(SUMIFS(SUMMARY!D:D, SUMMARY!B:B, A57, SUMMARY!A:A, "Y3S BARILI"), 0)</f>
        <v>0</v>
      </c>
      <c r="AB57" s="24">
        <f>IFERROR(SUMIFS(SUMMARY!D:D, SUMMARY!B:B, A57, SUMMARY!A:A, "BARILI MB"), 0)</f>
        <v>0</v>
      </c>
      <c r="AC57" s="24">
        <f>IFERROR(SUMIFS(SUMMARY!D:D, SUMMARY!B:B, A57, SUMMARY!A:A, "SIERRA BULLONES"), 0)</f>
        <v>0</v>
      </c>
      <c r="AD57" s="24">
        <f>IFERROR(SUMIFS(SUMMARY!D:D, SUMMARY!B:B, A57, SUMMARY!A:A, "PITOGO"), 0)</f>
        <v>0</v>
      </c>
      <c r="AE57" s="24">
        <f>IFERROR(SUMIFS(SUMMARY!D:D, SUMMARY!B:B, A57, SUMMARY!A:A, "TAYUD CONSOLACION"), 0)</f>
        <v>0</v>
      </c>
      <c r="AF57" s="24">
        <f>IFERROR(SUMIFS(SUMMARY!D:D, SUMMARY!B:B, A57, SUMMARY!A:A, "PINAMUNGAJAN"), 0)</f>
        <v>0</v>
      </c>
      <c r="AG57" s="24">
        <f>IFERROR(SUMIFS(SUMMARY!D:D, SUMMARY!B:B, A57, SUMMARY!A:A, "CANDIJAY"), 0)</f>
        <v>0</v>
      </c>
      <c r="AH57" s="24">
        <f>IFERROR(SUMIFS(SUMMARY!D:D, SUMMARY!B:B, A57, SUMMARY!A:A, "YATI LILOAN"), 0)</f>
        <v>0</v>
      </c>
      <c r="AI57" s="27">
        <f>IFERROR(SUMIFS(SUMMARY!D:D, SUMMARY!B:B, A57, SUMMARY!A:A, "CAMOTES"), 0)</f>
        <v>0</v>
      </c>
      <c r="AJ57" s="28">
        <f t="shared" si="1"/>
        <v>1</v>
      </c>
    </row>
    <row r="58" ht="15.75" customHeight="1">
      <c r="A58" s="23" t="s">
        <v>682</v>
      </c>
      <c r="B58" s="23" t="s">
        <v>683</v>
      </c>
      <c r="C58" s="24" t="s">
        <v>21</v>
      </c>
      <c r="D58" s="25">
        <f>IFERROR(SUMIFS(SUMMARY!D:D, SUMMARY!B:B, A58, SUMMARY!A:A, "ADMIN"), 0)</f>
        <v>0</v>
      </c>
      <c r="E58" s="25">
        <f>IFERROR(SUMIFS(SUMMARY!D:D, SUMMARY!B:B, A58, SUMMARY!A:A, "WAREHOUSE"), 0)</f>
        <v>0</v>
      </c>
      <c r="F58" s="24">
        <f>IFERROR(SUMIFS(SUMMARY!D:D, SUMMARY!B:B, A58, SUMMARY!A:A, "LAGTANG"), 0)</f>
        <v>0</v>
      </c>
      <c r="G58" s="26">
        <f>IFERROR(SUMIFS(SUMMARY!D:D, SUMMARY!B:B, A58, SUMMARY!A:A, "V-RAMA"), 0)</f>
        <v>0</v>
      </c>
      <c r="H58" s="24">
        <f>IFERROR(SUMIFS(SUMMARY!D:D, SUMMARY!B:B, A58, SUMMARY!A:A, "BULACAO"), 0)</f>
        <v>0</v>
      </c>
      <c r="I58" s="24">
        <f>IFERROR(SUMIFS(SUMMARY!D:D, SUMMARY!B:B, A58, SUMMARY!A:A, "Y3S TALISAY"), 0)</f>
        <v>0</v>
      </c>
      <c r="J58" s="24">
        <f>IFERROR(SUMIFS(SUMMARY!D:D, SUMMARY!B:B, A58, SUMMARY!A:A, "MINGLANILLA"), 0)</f>
        <v>0</v>
      </c>
      <c r="K58" s="24">
        <f>IFERROR(SUMIFS(SUMMARY!D:D, SUMMARY!B:B, A58, SUMMARY!A:A, "Y3S PARDO"), 0)</f>
        <v>0</v>
      </c>
      <c r="L58" s="24">
        <f>IFERROR(SUMIFS(SUMMARY!D:D, SUMMARY!B:B, A58, SUMMARY!A:A, "LAPU-LAPU"), 0)</f>
        <v>0</v>
      </c>
      <c r="M58" s="24">
        <f>IFERROR(SUMIFS(SUMMARY!D:D, SUMMARY!B:B, A58, SUMMARY!A:A, "BACAYAN"), 0)</f>
        <v>1</v>
      </c>
      <c r="N58" s="24">
        <f>IFERROR(SUMIFS(SUMMARY!D:D, SUMMARY!B:B, A58, SUMMARY!A:A, "SAN FERNANDO MB"), 0)</f>
        <v>0</v>
      </c>
      <c r="O58" s="24">
        <f>IFERROR(SUMIFS(SUMMARY!D:D, SUMMARY!B:B, A58, SUMMARY!A:A, "Y3S SAN FERNANDO"), 0)</f>
        <v>0</v>
      </c>
      <c r="P58" s="24">
        <f>IFERROR(SUMIFS(SUMMARY!D:D, SUMMARY!B:B, A58, SUMMARY!A:A, "LILOAN"), 0)</f>
        <v>0</v>
      </c>
      <c r="Q58" s="24">
        <f>IFERROR(SUMIFS(SUMMARY!D:D, SUMMARY!B:B, A58, SUMMARY!A:A, "CORDOVA MB"), 0)</f>
        <v>0</v>
      </c>
      <c r="R58" s="24">
        <f>IFERROR(SUMIFS(SUMMARY!D:D, SUMMARY!B:B, A58, SUMMARY!A:A, "Y3S CORDOVA"), 0)</f>
        <v>0</v>
      </c>
      <c r="S58" s="24">
        <f>IFERROR(SUMIFS(SUMMARY!D:D, SUMMARY!B:B, A58, SUMMARY!A:A, "CLARIN"), 0)</f>
        <v>0</v>
      </c>
      <c r="T58" s="24">
        <f>IFERROR(SUMIFS(SUMMARY!D:D, SUMMARY!B:B, A58, SUMMARY!A:A, "TOLEDO"), 0)</f>
        <v>0</v>
      </c>
      <c r="U58" s="24">
        <f>IFERROR(SUMIFS(SUMMARY!D:D, SUMMARY!B:B, A58, SUMMARY!A:A, "UBAY"), 0)</f>
        <v>0</v>
      </c>
      <c r="V58" s="24">
        <f>IFERROR(SUMIFS(SUMMARY!D:D, SUMMARY!B:B, A58, SUMMARY!A:A, "CARMEN"), 0)</f>
        <v>0</v>
      </c>
      <c r="W58" s="24">
        <f>IFERROR(SUMIFS(SUMMARY!D:D, SUMMARY!B:B, A58, SUMMARY!A:A, "TUBIGON"), 0)</f>
        <v>0</v>
      </c>
      <c r="X58" s="24">
        <f>IFERROR(SUMIFS(SUMMARY!D:D, SUMMARY!B:B, A58, SUMMARY!A:A, "TALIBON"), 0)</f>
        <v>0</v>
      </c>
      <c r="Y58" s="24">
        <f>IFERROR(SUMIFS(SUMMARY!D:D, SUMMARY!B:B, A58, SUMMARY!A:A, "BOGO"), 0)</f>
        <v>0</v>
      </c>
      <c r="Z58" s="24">
        <f>IFERROR(SUMIFS(SUMMARY!D:D, SUMMARY!B:B, A58, SUMMARY!A:A, "BALAMBAN"), 0)</f>
        <v>0</v>
      </c>
      <c r="AA58" s="24">
        <f>IFERROR(SUMIFS(SUMMARY!D:D, SUMMARY!B:B, A58, SUMMARY!A:A, "Y3S BARILI"), 0)</f>
        <v>1</v>
      </c>
      <c r="AB58" s="24">
        <f>IFERROR(SUMIFS(SUMMARY!D:D, SUMMARY!B:B, A58, SUMMARY!A:A, "BARILI MB"), 0)</f>
        <v>0</v>
      </c>
      <c r="AC58" s="24">
        <f>IFERROR(SUMIFS(SUMMARY!D:D, SUMMARY!B:B, A58, SUMMARY!A:A, "SIERRA BULLONES"), 0)</f>
        <v>0</v>
      </c>
      <c r="AD58" s="24">
        <f>IFERROR(SUMIFS(SUMMARY!D:D, SUMMARY!B:B, A58, SUMMARY!A:A, "PITOGO"), 0)</f>
        <v>0</v>
      </c>
      <c r="AE58" s="24">
        <f>IFERROR(SUMIFS(SUMMARY!D:D, SUMMARY!B:B, A58, SUMMARY!A:A, "TAYUD CONSOLACION"), 0)</f>
        <v>0</v>
      </c>
      <c r="AF58" s="24">
        <f>IFERROR(SUMIFS(SUMMARY!D:D, SUMMARY!B:B, A58, SUMMARY!A:A, "PINAMUNGAJAN"), 0)</f>
        <v>0</v>
      </c>
      <c r="AG58" s="24">
        <f>IFERROR(SUMIFS(SUMMARY!D:D, SUMMARY!B:B, A58, SUMMARY!A:A, "CANDIJAY"), 0)</f>
        <v>0</v>
      </c>
      <c r="AH58" s="24">
        <f>IFERROR(SUMIFS(SUMMARY!D:D, SUMMARY!B:B, A58, SUMMARY!A:A, "YATI LILOAN"), 0)</f>
        <v>0</v>
      </c>
      <c r="AI58" s="27">
        <f>IFERROR(SUMIFS(SUMMARY!D:D, SUMMARY!B:B, A58, SUMMARY!A:A, "CAMOTES"), 0)</f>
        <v>0</v>
      </c>
      <c r="AJ58" s="28">
        <f t="shared" si="1"/>
        <v>2</v>
      </c>
    </row>
    <row r="59" ht="15.75" customHeight="1">
      <c r="A59" s="23" t="s">
        <v>684</v>
      </c>
      <c r="B59" s="23" t="s">
        <v>685</v>
      </c>
      <c r="C59" s="24" t="s">
        <v>21</v>
      </c>
      <c r="D59" s="25">
        <f>IFERROR(SUMIFS(SUMMARY!D:D, SUMMARY!B:B, A59, SUMMARY!A:A, "ADMIN"), 0)</f>
        <v>0</v>
      </c>
      <c r="E59" s="25">
        <f>IFERROR(SUMIFS(SUMMARY!D:D, SUMMARY!B:B, A59, SUMMARY!A:A, "WAREHOUSE"), 0)</f>
        <v>0</v>
      </c>
      <c r="F59" s="24">
        <f>IFERROR(SUMIFS(SUMMARY!D:D, SUMMARY!B:B, A59, SUMMARY!A:A, "LAGTANG"), 0)</f>
        <v>0</v>
      </c>
      <c r="G59" s="26">
        <f>IFERROR(SUMIFS(SUMMARY!D:D, SUMMARY!B:B, A59, SUMMARY!A:A, "V-RAMA"), 0)</f>
        <v>0</v>
      </c>
      <c r="H59" s="24">
        <f>IFERROR(SUMIFS(SUMMARY!D:D, SUMMARY!B:B, A59, SUMMARY!A:A, "BULACAO"), 0)</f>
        <v>0</v>
      </c>
      <c r="I59" s="24">
        <f>IFERROR(SUMIFS(SUMMARY!D:D, SUMMARY!B:B, A59, SUMMARY!A:A, "Y3S TALISAY"), 0)</f>
        <v>0</v>
      </c>
      <c r="J59" s="24">
        <f>IFERROR(SUMIFS(SUMMARY!D:D, SUMMARY!B:B, A59, SUMMARY!A:A, "MINGLANILLA"), 0)</f>
        <v>0</v>
      </c>
      <c r="K59" s="24">
        <f>IFERROR(SUMIFS(SUMMARY!D:D, SUMMARY!B:B, A59, SUMMARY!A:A, "Y3S PARDO"), 0)</f>
        <v>0</v>
      </c>
      <c r="L59" s="24">
        <f>IFERROR(SUMIFS(SUMMARY!D:D, SUMMARY!B:B, A59, SUMMARY!A:A, "LAPU-LAPU"), 0)</f>
        <v>0</v>
      </c>
      <c r="M59" s="24">
        <f>IFERROR(SUMIFS(SUMMARY!D:D, SUMMARY!B:B, A59, SUMMARY!A:A, "BACAYAN"), 0)</f>
        <v>0</v>
      </c>
      <c r="N59" s="24">
        <f>IFERROR(SUMIFS(SUMMARY!D:D, SUMMARY!B:B, A59, SUMMARY!A:A, "SAN FERNANDO MB"), 0)</f>
        <v>0</v>
      </c>
      <c r="O59" s="24">
        <f>IFERROR(SUMIFS(SUMMARY!D:D, SUMMARY!B:B, A59, SUMMARY!A:A, "Y3S SAN FERNANDO"), 0)</f>
        <v>0</v>
      </c>
      <c r="P59" s="24">
        <f>IFERROR(SUMIFS(SUMMARY!D:D, SUMMARY!B:B, A59, SUMMARY!A:A, "LILOAN"), 0)</f>
        <v>0</v>
      </c>
      <c r="Q59" s="24">
        <f>IFERROR(SUMIFS(SUMMARY!D:D, SUMMARY!B:B, A59, SUMMARY!A:A, "CORDOVA MB"), 0)</f>
        <v>0</v>
      </c>
      <c r="R59" s="24">
        <f>IFERROR(SUMIFS(SUMMARY!D:D, SUMMARY!B:B, A59, SUMMARY!A:A, "Y3S CORDOVA"), 0)</f>
        <v>0</v>
      </c>
      <c r="S59" s="24">
        <f>IFERROR(SUMIFS(SUMMARY!D:D, SUMMARY!B:B, A59, SUMMARY!A:A, "CLARIN"), 0)</f>
        <v>0</v>
      </c>
      <c r="T59" s="24">
        <f>IFERROR(SUMIFS(SUMMARY!D:D, SUMMARY!B:B, A59, SUMMARY!A:A, "TOLEDO"), 0)</f>
        <v>0</v>
      </c>
      <c r="U59" s="24">
        <f>IFERROR(SUMIFS(SUMMARY!D:D, SUMMARY!B:B, A59, SUMMARY!A:A, "UBAY"), 0)</f>
        <v>0</v>
      </c>
      <c r="V59" s="24">
        <f>IFERROR(SUMIFS(SUMMARY!D:D, SUMMARY!B:B, A59, SUMMARY!A:A, "CARMEN"), 0)</f>
        <v>0</v>
      </c>
      <c r="W59" s="24">
        <f>IFERROR(SUMIFS(SUMMARY!D:D, SUMMARY!B:B, A59, SUMMARY!A:A, "TUBIGON"), 0)</f>
        <v>0</v>
      </c>
      <c r="X59" s="24">
        <f>IFERROR(SUMIFS(SUMMARY!D:D, SUMMARY!B:B, A59, SUMMARY!A:A, "TALIBON"), 0)</f>
        <v>0</v>
      </c>
      <c r="Y59" s="24">
        <f>IFERROR(SUMIFS(SUMMARY!D:D, SUMMARY!B:B, A59, SUMMARY!A:A, "BOGO"), 0)</f>
        <v>0</v>
      </c>
      <c r="Z59" s="24">
        <f>IFERROR(SUMIFS(SUMMARY!D:D, SUMMARY!B:B, A59, SUMMARY!A:A, "BALAMBAN"), 0)</f>
        <v>0</v>
      </c>
      <c r="AA59" s="24">
        <f>IFERROR(SUMIFS(SUMMARY!D:D, SUMMARY!B:B, A59, SUMMARY!A:A, "Y3S BARILI"), 0)</f>
        <v>0</v>
      </c>
      <c r="AB59" s="24">
        <f>IFERROR(SUMIFS(SUMMARY!D:D, SUMMARY!B:B, A59, SUMMARY!A:A, "BARILI MB"), 0)</f>
        <v>0</v>
      </c>
      <c r="AC59" s="24">
        <f>IFERROR(SUMIFS(SUMMARY!D:D, SUMMARY!B:B, A59, SUMMARY!A:A, "SIERRA BULLONES"), 0)</f>
        <v>0</v>
      </c>
      <c r="AD59" s="24">
        <f>IFERROR(SUMIFS(SUMMARY!D:D, SUMMARY!B:B, A59, SUMMARY!A:A, "PITOGO"), 0)</f>
        <v>0</v>
      </c>
      <c r="AE59" s="24">
        <f>IFERROR(SUMIFS(SUMMARY!D:D, SUMMARY!B:B, A59, SUMMARY!A:A, "TAYUD CONSOLACION"), 0)</f>
        <v>0</v>
      </c>
      <c r="AF59" s="24">
        <f>IFERROR(SUMIFS(SUMMARY!D:D, SUMMARY!B:B, A59, SUMMARY!A:A, "PINAMUNGAJAN"), 0)</f>
        <v>0</v>
      </c>
      <c r="AG59" s="24">
        <f>IFERROR(SUMIFS(SUMMARY!D:D, SUMMARY!B:B, A59, SUMMARY!A:A, "CANDIJAY"), 0)</f>
        <v>0</v>
      </c>
      <c r="AH59" s="24">
        <f>IFERROR(SUMIFS(SUMMARY!D:D, SUMMARY!B:B, A59, SUMMARY!A:A, "YATI LILOAN"), 0)</f>
        <v>0</v>
      </c>
      <c r="AI59" s="27">
        <f>IFERROR(SUMIFS(SUMMARY!D:D, SUMMARY!B:B, A59, SUMMARY!A:A, "CAMOTES"), 0)</f>
        <v>0</v>
      </c>
      <c r="AJ59" s="28">
        <f t="shared" si="1"/>
        <v>0</v>
      </c>
    </row>
    <row r="60" ht="15.75" customHeight="1">
      <c r="A60" s="23" t="s">
        <v>686</v>
      </c>
      <c r="B60" s="23" t="s">
        <v>687</v>
      </c>
      <c r="C60" s="24" t="s">
        <v>21</v>
      </c>
      <c r="D60" s="25">
        <f>IFERROR(SUMIFS(SUMMARY!D:D, SUMMARY!B:B, A60, SUMMARY!A:A, "ADMIN"), 0)</f>
        <v>0</v>
      </c>
      <c r="E60" s="25">
        <f>IFERROR(SUMIFS(SUMMARY!D:D, SUMMARY!B:B, A60, SUMMARY!A:A, "WAREHOUSE"), 0)</f>
        <v>0</v>
      </c>
      <c r="F60" s="24">
        <f>IFERROR(SUMIFS(SUMMARY!D:D, SUMMARY!B:B, A60, SUMMARY!A:A, "LAGTANG"), 0)</f>
        <v>0</v>
      </c>
      <c r="G60" s="26">
        <f>IFERROR(SUMIFS(SUMMARY!D:D, SUMMARY!B:B, A60, SUMMARY!A:A, "V-RAMA"), 0)</f>
        <v>0</v>
      </c>
      <c r="H60" s="24">
        <f>IFERROR(SUMIFS(SUMMARY!D:D, SUMMARY!B:B, A60, SUMMARY!A:A, "BULACAO"), 0)</f>
        <v>0</v>
      </c>
      <c r="I60" s="24">
        <f>IFERROR(SUMIFS(SUMMARY!D:D, SUMMARY!B:B, A60, SUMMARY!A:A, "Y3S TALISAY"), 0)</f>
        <v>0</v>
      </c>
      <c r="J60" s="24">
        <f>IFERROR(SUMIFS(SUMMARY!D:D, SUMMARY!B:B, A60, SUMMARY!A:A, "MINGLANILLA"), 0)</f>
        <v>0</v>
      </c>
      <c r="K60" s="24">
        <f>IFERROR(SUMIFS(SUMMARY!D:D, SUMMARY!B:B, A60, SUMMARY!A:A, "Y3S PARDO"), 0)</f>
        <v>0</v>
      </c>
      <c r="L60" s="24">
        <f>IFERROR(SUMIFS(SUMMARY!D:D, SUMMARY!B:B, A60, SUMMARY!A:A, "LAPU-LAPU"), 0)</f>
        <v>0</v>
      </c>
      <c r="M60" s="24">
        <f>IFERROR(SUMIFS(SUMMARY!D:D, SUMMARY!B:B, A60, SUMMARY!A:A, "BACAYAN"), 0)</f>
        <v>0</v>
      </c>
      <c r="N60" s="24">
        <f>IFERROR(SUMIFS(SUMMARY!D:D, SUMMARY!B:B, A60, SUMMARY!A:A, "SAN FERNANDO MB"), 0)</f>
        <v>2</v>
      </c>
      <c r="O60" s="24">
        <f>IFERROR(SUMIFS(SUMMARY!D:D, SUMMARY!B:B, A60, SUMMARY!A:A, "Y3S SAN FERNANDO"), 0)</f>
        <v>0</v>
      </c>
      <c r="P60" s="24">
        <f>IFERROR(SUMIFS(SUMMARY!D:D, SUMMARY!B:B, A60, SUMMARY!A:A, "LILOAN"), 0)</f>
        <v>0</v>
      </c>
      <c r="Q60" s="24">
        <f>IFERROR(SUMIFS(SUMMARY!D:D, SUMMARY!B:B, A60, SUMMARY!A:A, "CORDOVA MB"), 0)</f>
        <v>0</v>
      </c>
      <c r="R60" s="24">
        <f>IFERROR(SUMIFS(SUMMARY!D:D, SUMMARY!B:B, A60, SUMMARY!A:A, "Y3S CORDOVA"), 0)</f>
        <v>0</v>
      </c>
      <c r="S60" s="24">
        <f>IFERROR(SUMIFS(SUMMARY!D:D, SUMMARY!B:B, A60, SUMMARY!A:A, "CLARIN"), 0)</f>
        <v>0</v>
      </c>
      <c r="T60" s="24">
        <f>IFERROR(SUMIFS(SUMMARY!D:D, SUMMARY!B:B, A60, SUMMARY!A:A, "TOLEDO"), 0)</f>
        <v>0</v>
      </c>
      <c r="U60" s="24">
        <f>IFERROR(SUMIFS(SUMMARY!D:D, SUMMARY!B:B, A60, SUMMARY!A:A, "UBAY"), 0)</f>
        <v>0</v>
      </c>
      <c r="V60" s="24">
        <f>IFERROR(SUMIFS(SUMMARY!D:D, SUMMARY!B:B, A60, SUMMARY!A:A, "CARMEN"), 0)</f>
        <v>0</v>
      </c>
      <c r="W60" s="24">
        <f>IFERROR(SUMIFS(SUMMARY!D:D, SUMMARY!B:B, A60, SUMMARY!A:A, "TUBIGON"), 0)</f>
        <v>1</v>
      </c>
      <c r="X60" s="24">
        <f>IFERROR(SUMIFS(SUMMARY!D:D, SUMMARY!B:B, A60, SUMMARY!A:A, "TALIBON"), 0)</f>
        <v>0</v>
      </c>
      <c r="Y60" s="24">
        <f>IFERROR(SUMIFS(SUMMARY!D:D, SUMMARY!B:B, A60, SUMMARY!A:A, "BOGO"), 0)</f>
        <v>0</v>
      </c>
      <c r="Z60" s="24">
        <f>IFERROR(SUMIFS(SUMMARY!D:D, SUMMARY!B:B, A60, SUMMARY!A:A, "BALAMBAN"), 0)</f>
        <v>0</v>
      </c>
      <c r="AA60" s="24">
        <f>IFERROR(SUMIFS(SUMMARY!D:D, SUMMARY!B:B, A60, SUMMARY!A:A, "Y3S BARILI"), 0)</f>
        <v>0</v>
      </c>
      <c r="AB60" s="24">
        <f>IFERROR(SUMIFS(SUMMARY!D:D, SUMMARY!B:B, A60, SUMMARY!A:A, "BARILI MB"), 0)</f>
        <v>0</v>
      </c>
      <c r="AC60" s="24">
        <f>IFERROR(SUMIFS(SUMMARY!D:D, SUMMARY!B:B, A60, SUMMARY!A:A, "SIERRA BULLONES"), 0)</f>
        <v>0</v>
      </c>
      <c r="AD60" s="24">
        <f>IFERROR(SUMIFS(SUMMARY!D:D, SUMMARY!B:B, A60, SUMMARY!A:A, "PITOGO"), 0)</f>
        <v>0</v>
      </c>
      <c r="AE60" s="24">
        <f>IFERROR(SUMIFS(SUMMARY!D:D, SUMMARY!B:B, A60, SUMMARY!A:A, "TAYUD CONSOLACION"), 0)</f>
        <v>0</v>
      </c>
      <c r="AF60" s="24">
        <f>IFERROR(SUMIFS(SUMMARY!D:D, SUMMARY!B:B, A60, SUMMARY!A:A, "PINAMUNGAJAN"), 0)</f>
        <v>1</v>
      </c>
      <c r="AG60" s="24">
        <f>IFERROR(SUMIFS(SUMMARY!D:D, SUMMARY!B:B, A60, SUMMARY!A:A, "CANDIJAY"), 0)</f>
        <v>0</v>
      </c>
      <c r="AH60" s="24">
        <f>IFERROR(SUMIFS(SUMMARY!D:D, SUMMARY!B:B, A60, SUMMARY!A:A, "YATI LILOAN"), 0)</f>
        <v>0</v>
      </c>
      <c r="AI60" s="27">
        <f>IFERROR(SUMIFS(SUMMARY!D:D, SUMMARY!B:B, A60, SUMMARY!A:A, "CAMOTES"), 0)</f>
        <v>0</v>
      </c>
      <c r="AJ60" s="28">
        <f t="shared" si="1"/>
        <v>4</v>
      </c>
    </row>
    <row r="61" ht="15.75" customHeight="1">
      <c r="A61" s="23" t="s">
        <v>688</v>
      </c>
      <c r="B61" s="23" t="s">
        <v>689</v>
      </c>
      <c r="C61" s="24" t="s">
        <v>21</v>
      </c>
      <c r="D61" s="25">
        <f>IFERROR(SUMIFS(SUMMARY!D:D, SUMMARY!B:B, A61, SUMMARY!A:A, "ADMIN"), 0)</f>
        <v>0</v>
      </c>
      <c r="E61" s="25">
        <f>IFERROR(SUMIFS(SUMMARY!D:D, SUMMARY!B:B, A61, SUMMARY!A:A, "WAREHOUSE"), 0)</f>
        <v>3</v>
      </c>
      <c r="F61" s="24">
        <f>IFERROR(SUMIFS(SUMMARY!D:D, SUMMARY!B:B, A61, SUMMARY!A:A, "LAGTANG"), 0)</f>
        <v>3</v>
      </c>
      <c r="G61" s="26">
        <f>IFERROR(SUMIFS(SUMMARY!D:D, SUMMARY!B:B, A61, SUMMARY!A:A, "V-RAMA"), 0)</f>
        <v>0</v>
      </c>
      <c r="H61" s="24">
        <f>IFERROR(SUMIFS(SUMMARY!D:D, SUMMARY!B:B, A61, SUMMARY!A:A, "BULACAO"), 0)</f>
        <v>0</v>
      </c>
      <c r="I61" s="24">
        <f>IFERROR(SUMIFS(SUMMARY!D:D, SUMMARY!B:B, A61, SUMMARY!A:A, "Y3S TALISAY"), 0)</f>
        <v>0</v>
      </c>
      <c r="J61" s="24">
        <f>IFERROR(SUMIFS(SUMMARY!D:D, SUMMARY!B:B, A61, SUMMARY!A:A, "MINGLANILLA"), 0)</f>
        <v>0</v>
      </c>
      <c r="K61" s="24">
        <f>IFERROR(SUMIFS(SUMMARY!D:D, SUMMARY!B:B, A61, SUMMARY!A:A, "Y3S PARDO"), 0)</f>
        <v>0</v>
      </c>
      <c r="L61" s="24">
        <f>IFERROR(SUMIFS(SUMMARY!D:D, SUMMARY!B:B, A61, SUMMARY!A:A, "LAPU-LAPU"), 0)</f>
        <v>0</v>
      </c>
      <c r="M61" s="24">
        <f>IFERROR(SUMIFS(SUMMARY!D:D, SUMMARY!B:B, A61, SUMMARY!A:A, "BACAYAN"), 0)</f>
        <v>0</v>
      </c>
      <c r="N61" s="24">
        <f>IFERROR(SUMIFS(SUMMARY!D:D, SUMMARY!B:B, A61, SUMMARY!A:A, "SAN FERNANDO MB"), 0)</f>
        <v>0</v>
      </c>
      <c r="O61" s="24">
        <f>IFERROR(SUMIFS(SUMMARY!D:D, SUMMARY!B:B, A61, SUMMARY!A:A, "Y3S SAN FERNANDO"), 0)</f>
        <v>0</v>
      </c>
      <c r="P61" s="24">
        <f>IFERROR(SUMIFS(SUMMARY!D:D, SUMMARY!B:B, A61, SUMMARY!A:A, "LILOAN"), 0)</f>
        <v>3</v>
      </c>
      <c r="Q61" s="24">
        <f>IFERROR(SUMIFS(SUMMARY!D:D, SUMMARY!B:B, A61, SUMMARY!A:A, "CORDOVA MB"), 0)</f>
        <v>0</v>
      </c>
      <c r="R61" s="24">
        <f>IFERROR(SUMIFS(SUMMARY!D:D, SUMMARY!B:B, A61, SUMMARY!A:A, "Y3S CORDOVA"), 0)</f>
        <v>17</v>
      </c>
      <c r="S61" s="24">
        <f>IFERROR(SUMIFS(SUMMARY!D:D, SUMMARY!B:B, A61, SUMMARY!A:A, "CLARIN"), 0)</f>
        <v>0</v>
      </c>
      <c r="T61" s="24">
        <f>IFERROR(SUMIFS(SUMMARY!D:D, SUMMARY!B:B, A61, SUMMARY!A:A, "TOLEDO"), 0)</f>
        <v>0</v>
      </c>
      <c r="U61" s="24">
        <f>IFERROR(SUMIFS(SUMMARY!D:D, SUMMARY!B:B, A61, SUMMARY!A:A, "UBAY"), 0)</f>
        <v>0</v>
      </c>
      <c r="V61" s="24">
        <f>IFERROR(SUMIFS(SUMMARY!D:D, SUMMARY!B:B, A61, SUMMARY!A:A, "CARMEN"), 0)</f>
        <v>0</v>
      </c>
      <c r="W61" s="24">
        <f>IFERROR(SUMIFS(SUMMARY!D:D, SUMMARY!B:B, A61, SUMMARY!A:A, "TUBIGON"), 0)</f>
        <v>6</v>
      </c>
      <c r="X61" s="24">
        <f>IFERROR(SUMIFS(SUMMARY!D:D, SUMMARY!B:B, A61, SUMMARY!A:A, "TALIBON"), 0)</f>
        <v>6</v>
      </c>
      <c r="Y61" s="24">
        <f>IFERROR(SUMIFS(SUMMARY!D:D, SUMMARY!B:B, A61, SUMMARY!A:A, "BOGO"), 0)</f>
        <v>0</v>
      </c>
      <c r="Z61" s="24">
        <f>IFERROR(SUMIFS(SUMMARY!D:D, SUMMARY!B:B, A61, SUMMARY!A:A, "BALAMBAN"), 0)</f>
        <v>0</v>
      </c>
      <c r="AA61" s="24">
        <f>IFERROR(SUMIFS(SUMMARY!D:D, SUMMARY!B:B, A61, SUMMARY!A:A, "Y3S BARILI"), 0)</f>
        <v>0</v>
      </c>
      <c r="AB61" s="24">
        <f>IFERROR(SUMIFS(SUMMARY!D:D, SUMMARY!B:B, A61, SUMMARY!A:A, "BARILI MB"), 0)</f>
        <v>0</v>
      </c>
      <c r="AC61" s="24">
        <f>IFERROR(SUMIFS(SUMMARY!D:D, SUMMARY!B:B, A61, SUMMARY!A:A, "SIERRA BULLONES"), 0)</f>
        <v>6</v>
      </c>
      <c r="AD61" s="24">
        <f>IFERROR(SUMIFS(SUMMARY!D:D, SUMMARY!B:B, A61, SUMMARY!A:A, "PITOGO"), 0)</f>
        <v>2</v>
      </c>
      <c r="AE61" s="24">
        <f>IFERROR(SUMIFS(SUMMARY!D:D, SUMMARY!B:B, A61, SUMMARY!A:A, "TAYUD CONSOLACION"), 0)</f>
        <v>0</v>
      </c>
      <c r="AF61" s="24">
        <f>IFERROR(SUMIFS(SUMMARY!D:D, SUMMARY!B:B, A61, SUMMARY!A:A, "PINAMUNGAJAN"), 0)</f>
        <v>2</v>
      </c>
      <c r="AG61" s="24">
        <f>IFERROR(SUMIFS(SUMMARY!D:D, SUMMARY!B:B, A61, SUMMARY!A:A, "CANDIJAY"), 0)</f>
        <v>5</v>
      </c>
      <c r="AH61" s="24">
        <f>IFERROR(SUMIFS(SUMMARY!D:D, SUMMARY!B:B, A61, SUMMARY!A:A, "YATI LILOAN"), 0)</f>
        <v>3</v>
      </c>
      <c r="AI61" s="27">
        <f>IFERROR(SUMIFS(SUMMARY!D:D, SUMMARY!B:B, A61, SUMMARY!A:A, "CAMOTES"), 0)</f>
        <v>0</v>
      </c>
      <c r="AJ61" s="28">
        <f t="shared" si="1"/>
        <v>56</v>
      </c>
    </row>
    <row r="62" ht="15.75" customHeight="1">
      <c r="A62" s="23" t="s">
        <v>690</v>
      </c>
      <c r="B62" s="23" t="s">
        <v>691</v>
      </c>
      <c r="C62" s="24" t="s">
        <v>21</v>
      </c>
      <c r="D62" s="25">
        <f>IFERROR(SUMIFS(SUMMARY!D:D, SUMMARY!B:B, A62, SUMMARY!A:A, "ADMIN"), 0)</f>
        <v>0</v>
      </c>
      <c r="E62" s="25">
        <f>IFERROR(SUMIFS(SUMMARY!D:D, SUMMARY!B:B, A62, SUMMARY!A:A, "WAREHOUSE"), 0)</f>
        <v>0</v>
      </c>
      <c r="F62" s="24">
        <f>IFERROR(SUMIFS(SUMMARY!D:D, SUMMARY!B:B, A62, SUMMARY!A:A, "LAGTANG"), 0)</f>
        <v>3</v>
      </c>
      <c r="G62" s="26">
        <f>IFERROR(SUMIFS(SUMMARY!D:D, SUMMARY!B:B, A62, SUMMARY!A:A, "V-RAMA"), 0)</f>
        <v>3</v>
      </c>
      <c r="H62" s="24">
        <f>IFERROR(SUMIFS(SUMMARY!D:D, SUMMARY!B:B, A62, SUMMARY!A:A, "BULACAO"), 0)</f>
        <v>0</v>
      </c>
      <c r="I62" s="24">
        <f>IFERROR(SUMIFS(SUMMARY!D:D, SUMMARY!B:B, A62, SUMMARY!A:A, "Y3S TALISAY"), 0)</f>
        <v>5</v>
      </c>
      <c r="J62" s="24">
        <f>IFERROR(SUMIFS(SUMMARY!D:D, SUMMARY!B:B, A62, SUMMARY!A:A, "MINGLANILLA"), 0)</f>
        <v>0</v>
      </c>
      <c r="K62" s="24">
        <f>IFERROR(SUMIFS(SUMMARY!D:D, SUMMARY!B:B, A62, SUMMARY!A:A, "Y3S PARDO"), 0)</f>
        <v>3</v>
      </c>
      <c r="L62" s="24">
        <f>IFERROR(SUMIFS(SUMMARY!D:D, SUMMARY!B:B, A62, SUMMARY!A:A, "LAPU-LAPU"), 0)</f>
        <v>0</v>
      </c>
      <c r="M62" s="24">
        <f>IFERROR(SUMIFS(SUMMARY!D:D, SUMMARY!B:B, A62, SUMMARY!A:A, "BACAYAN"), 0)</f>
        <v>0</v>
      </c>
      <c r="N62" s="24">
        <f>IFERROR(SUMIFS(SUMMARY!D:D, SUMMARY!B:B, A62, SUMMARY!A:A, "SAN FERNANDO MB"), 0)</f>
        <v>3</v>
      </c>
      <c r="O62" s="24">
        <f>IFERROR(SUMIFS(SUMMARY!D:D, SUMMARY!B:B, A62, SUMMARY!A:A, "Y3S SAN FERNANDO"), 0)</f>
        <v>2</v>
      </c>
      <c r="P62" s="24">
        <f>IFERROR(SUMIFS(SUMMARY!D:D, SUMMARY!B:B, A62, SUMMARY!A:A, "LILOAN"), 0)</f>
        <v>2</v>
      </c>
      <c r="Q62" s="24">
        <f>IFERROR(SUMIFS(SUMMARY!D:D, SUMMARY!B:B, A62, SUMMARY!A:A, "CORDOVA MB"), 0)</f>
        <v>0</v>
      </c>
      <c r="R62" s="24">
        <f>IFERROR(SUMIFS(SUMMARY!D:D, SUMMARY!B:B, A62, SUMMARY!A:A, "Y3S CORDOVA"), 0)</f>
        <v>10</v>
      </c>
      <c r="S62" s="24">
        <f>IFERROR(SUMIFS(SUMMARY!D:D, SUMMARY!B:B, A62, SUMMARY!A:A, "CLARIN"), 0)</f>
        <v>0</v>
      </c>
      <c r="T62" s="24">
        <f>IFERROR(SUMIFS(SUMMARY!D:D, SUMMARY!B:B, A62, SUMMARY!A:A, "TOLEDO"), 0)</f>
        <v>3</v>
      </c>
      <c r="U62" s="24">
        <f>IFERROR(SUMIFS(SUMMARY!D:D, SUMMARY!B:B, A62, SUMMARY!A:A, "UBAY"), 0)</f>
        <v>0</v>
      </c>
      <c r="V62" s="24">
        <f>IFERROR(SUMIFS(SUMMARY!D:D, SUMMARY!B:B, A62, SUMMARY!A:A, "CARMEN"), 0)</f>
        <v>0</v>
      </c>
      <c r="W62" s="24">
        <f>IFERROR(SUMIFS(SUMMARY!D:D, SUMMARY!B:B, A62, SUMMARY!A:A, "TUBIGON"), 0)</f>
        <v>3</v>
      </c>
      <c r="X62" s="24">
        <f>IFERROR(SUMIFS(SUMMARY!D:D, SUMMARY!B:B, A62, SUMMARY!A:A, "TALIBON"), 0)</f>
        <v>0</v>
      </c>
      <c r="Y62" s="24">
        <f>IFERROR(SUMIFS(SUMMARY!D:D, SUMMARY!B:B, A62, SUMMARY!A:A, "BOGO"), 0)</f>
        <v>0</v>
      </c>
      <c r="Z62" s="24">
        <f>IFERROR(SUMIFS(SUMMARY!D:D, SUMMARY!B:B, A62, SUMMARY!A:A, "BALAMBAN"), 0)</f>
        <v>2</v>
      </c>
      <c r="AA62" s="24">
        <f>IFERROR(SUMIFS(SUMMARY!D:D, SUMMARY!B:B, A62, SUMMARY!A:A, "Y3S BARILI"), 0)</f>
        <v>6</v>
      </c>
      <c r="AB62" s="24">
        <f>IFERROR(SUMIFS(SUMMARY!D:D, SUMMARY!B:B, A62, SUMMARY!A:A, "BARILI MB"), 0)</f>
        <v>0</v>
      </c>
      <c r="AC62" s="24">
        <f>IFERROR(SUMIFS(SUMMARY!D:D, SUMMARY!B:B, A62, SUMMARY!A:A, "SIERRA BULLONES"), 0)</f>
        <v>0</v>
      </c>
      <c r="AD62" s="24">
        <f>IFERROR(SUMIFS(SUMMARY!D:D, SUMMARY!B:B, A62, SUMMARY!A:A, "PITOGO"), 0)</f>
        <v>0</v>
      </c>
      <c r="AE62" s="24">
        <f>IFERROR(SUMIFS(SUMMARY!D:D, SUMMARY!B:B, A62, SUMMARY!A:A, "TAYUD CONSOLACION"), 0)</f>
        <v>0</v>
      </c>
      <c r="AF62" s="24">
        <f>IFERROR(SUMIFS(SUMMARY!D:D, SUMMARY!B:B, A62, SUMMARY!A:A, "PINAMUNGAJAN"), 0)</f>
        <v>0</v>
      </c>
      <c r="AG62" s="24">
        <f>IFERROR(SUMIFS(SUMMARY!D:D, SUMMARY!B:B, A62, SUMMARY!A:A, "CANDIJAY"), 0)</f>
        <v>0</v>
      </c>
      <c r="AH62" s="24">
        <f>IFERROR(SUMIFS(SUMMARY!D:D, SUMMARY!B:B, A62, SUMMARY!A:A, "YATI LILOAN"), 0)</f>
        <v>0</v>
      </c>
      <c r="AI62" s="27">
        <f>IFERROR(SUMIFS(SUMMARY!D:D, SUMMARY!B:B, A62, SUMMARY!A:A, "CAMOTES"), 0)</f>
        <v>0</v>
      </c>
      <c r="AJ62" s="28">
        <f t="shared" si="1"/>
        <v>45</v>
      </c>
    </row>
    <row r="63" ht="15.75" customHeight="1">
      <c r="A63" s="23" t="s">
        <v>692</v>
      </c>
      <c r="B63" s="23" t="s">
        <v>693</v>
      </c>
      <c r="C63" s="24" t="s">
        <v>21</v>
      </c>
      <c r="D63" s="25">
        <f>IFERROR(SUMIFS(SUMMARY!D:D, SUMMARY!B:B, A63, SUMMARY!A:A, "ADMIN"), 0)</f>
        <v>0</v>
      </c>
      <c r="E63" s="25">
        <f>IFERROR(SUMIFS(SUMMARY!D:D, SUMMARY!B:B, A63, SUMMARY!A:A, "WAREHOUSE"), 0)</f>
        <v>0</v>
      </c>
      <c r="F63" s="24">
        <f>IFERROR(SUMIFS(SUMMARY!D:D, SUMMARY!B:B, A63, SUMMARY!A:A, "LAGTANG"), 0)</f>
        <v>1</v>
      </c>
      <c r="G63" s="26">
        <f>IFERROR(SUMIFS(SUMMARY!D:D, SUMMARY!B:B, A63, SUMMARY!A:A, "V-RAMA"), 0)</f>
        <v>0</v>
      </c>
      <c r="H63" s="24">
        <f>IFERROR(SUMIFS(SUMMARY!D:D, SUMMARY!B:B, A63, SUMMARY!A:A, "BULACAO"), 0)</f>
        <v>1</v>
      </c>
      <c r="I63" s="24">
        <f>IFERROR(SUMIFS(SUMMARY!D:D, SUMMARY!B:B, A63, SUMMARY!A:A, "Y3S TALISAY"), 0)</f>
        <v>0</v>
      </c>
      <c r="J63" s="24">
        <f>IFERROR(SUMIFS(SUMMARY!D:D, SUMMARY!B:B, A63, SUMMARY!A:A, "MINGLANILLA"), 0)</f>
        <v>1</v>
      </c>
      <c r="K63" s="24">
        <f>IFERROR(SUMIFS(SUMMARY!D:D, SUMMARY!B:B, A63, SUMMARY!A:A, "Y3S PARDO"), 0)</f>
        <v>0</v>
      </c>
      <c r="L63" s="24">
        <f>IFERROR(SUMIFS(SUMMARY!D:D, SUMMARY!B:B, A63, SUMMARY!A:A, "LAPU-LAPU"), 0)</f>
        <v>0</v>
      </c>
      <c r="M63" s="24">
        <f>IFERROR(SUMIFS(SUMMARY!D:D, SUMMARY!B:B, A63, SUMMARY!A:A, "BACAYAN"), 0)</f>
        <v>0</v>
      </c>
      <c r="N63" s="24">
        <f>IFERROR(SUMIFS(SUMMARY!D:D, SUMMARY!B:B, A63, SUMMARY!A:A, "SAN FERNANDO MB"), 0)</f>
        <v>0</v>
      </c>
      <c r="O63" s="24">
        <f>IFERROR(SUMIFS(SUMMARY!D:D, SUMMARY!B:B, A63, SUMMARY!A:A, "Y3S SAN FERNANDO"), 0)</f>
        <v>0</v>
      </c>
      <c r="P63" s="24">
        <f>IFERROR(SUMIFS(SUMMARY!D:D, SUMMARY!B:B, A63, SUMMARY!A:A, "LILOAN"), 0)</f>
        <v>1</v>
      </c>
      <c r="Q63" s="24">
        <f>IFERROR(SUMIFS(SUMMARY!D:D, SUMMARY!B:B, A63, SUMMARY!A:A, "CORDOVA MB"), 0)</f>
        <v>0</v>
      </c>
      <c r="R63" s="24">
        <f>IFERROR(SUMIFS(SUMMARY!D:D, SUMMARY!B:B, A63, SUMMARY!A:A, "Y3S CORDOVA"), 0)</f>
        <v>2</v>
      </c>
      <c r="S63" s="24">
        <f>IFERROR(SUMIFS(SUMMARY!D:D, SUMMARY!B:B, A63, SUMMARY!A:A, "CLARIN"), 0)</f>
        <v>0</v>
      </c>
      <c r="T63" s="24">
        <f>IFERROR(SUMIFS(SUMMARY!D:D, SUMMARY!B:B, A63, SUMMARY!A:A, "TOLEDO"), 0)</f>
        <v>0</v>
      </c>
      <c r="U63" s="24">
        <f>IFERROR(SUMIFS(SUMMARY!D:D, SUMMARY!B:B, A63, SUMMARY!A:A, "UBAY"), 0)</f>
        <v>1</v>
      </c>
      <c r="V63" s="24">
        <f>IFERROR(SUMIFS(SUMMARY!D:D, SUMMARY!B:B, A63, SUMMARY!A:A, "CARMEN"), 0)</f>
        <v>0</v>
      </c>
      <c r="W63" s="24">
        <f>IFERROR(SUMIFS(SUMMARY!D:D, SUMMARY!B:B, A63, SUMMARY!A:A, "TUBIGON"), 0)</f>
        <v>1</v>
      </c>
      <c r="X63" s="24">
        <f>IFERROR(SUMIFS(SUMMARY!D:D, SUMMARY!B:B, A63, SUMMARY!A:A, "TALIBON"), 0)</f>
        <v>1</v>
      </c>
      <c r="Y63" s="24">
        <f>IFERROR(SUMIFS(SUMMARY!D:D, SUMMARY!B:B, A63, SUMMARY!A:A, "BOGO"), 0)</f>
        <v>0</v>
      </c>
      <c r="Z63" s="24">
        <f>IFERROR(SUMIFS(SUMMARY!D:D, SUMMARY!B:B, A63, SUMMARY!A:A, "BALAMBAN"), 0)</f>
        <v>0</v>
      </c>
      <c r="AA63" s="24">
        <f>IFERROR(SUMIFS(SUMMARY!D:D, SUMMARY!B:B, A63, SUMMARY!A:A, "Y3S BARILI"), 0)</f>
        <v>0</v>
      </c>
      <c r="AB63" s="24">
        <f>IFERROR(SUMIFS(SUMMARY!D:D, SUMMARY!B:B, A63, SUMMARY!A:A, "BARILI MB"), 0)</f>
        <v>0</v>
      </c>
      <c r="AC63" s="24">
        <f>IFERROR(SUMIFS(SUMMARY!D:D, SUMMARY!B:B, A63, SUMMARY!A:A, "SIERRA BULLONES"), 0)</f>
        <v>0</v>
      </c>
      <c r="AD63" s="24">
        <f>IFERROR(SUMIFS(SUMMARY!D:D, SUMMARY!B:B, A63, SUMMARY!A:A, "PITOGO"), 0)</f>
        <v>0</v>
      </c>
      <c r="AE63" s="24">
        <f>IFERROR(SUMIFS(SUMMARY!D:D, SUMMARY!B:B, A63, SUMMARY!A:A, "TAYUD CONSOLACION"), 0)</f>
        <v>1</v>
      </c>
      <c r="AF63" s="24">
        <f>IFERROR(SUMIFS(SUMMARY!D:D, SUMMARY!B:B, A63, SUMMARY!A:A, "PINAMUNGAJAN"), 0)</f>
        <v>0</v>
      </c>
      <c r="AG63" s="24">
        <f>IFERROR(SUMIFS(SUMMARY!D:D, SUMMARY!B:B, A63, SUMMARY!A:A, "CANDIJAY"), 0)</f>
        <v>0</v>
      </c>
      <c r="AH63" s="24">
        <f>IFERROR(SUMIFS(SUMMARY!D:D, SUMMARY!B:B, A63, SUMMARY!A:A, "YATI LILOAN"), 0)</f>
        <v>0</v>
      </c>
      <c r="AI63" s="27">
        <f>IFERROR(SUMIFS(SUMMARY!D:D, SUMMARY!B:B, A63, SUMMARY!A:A, "CAMOTES"), 0)</f>
        <v>0</v>
      </c>
      <c r="AJ63" s="28">
        <f t="shared" si="1"/>
        <v>10</v>
      </c>
    </row>
    <row r="64" ht="15.75" customHeight="1">
      <c r="A64" s="23" t="s">
        <v>694</v>
      </c>
      <c r="B64" s="23" t="s">
        <v>695</v>
      </c>
      <c r="C64" s="24" t="s">
        <v>696</v>
      </c>
      <c r="D64" s="25">
        <f>IFERROR(SUMIFS(SUMMARY!D:D, SUMMARY!B:B, A64, SUMMARY!A:A, "ADMIN"), 0)</f>
        <v>0</v>
      </c>
      <c r="E64" s="25">
        <f>IFERROR(SUMIFS(SUMMARY!D:D, SUMMARY!B:B, A64, SUMMARY!A:A, "WAREHOUSE"), 0)</f>
        <v>0</v>
      </c>
      <c r="F64" s="24">
        <f>IFERROR(SUMIFS(SUMMARY!D:D, SUMMARY!B:B, A64, SUMMARY!A:A, "LAGTANG"), 0)</f>
        <v>1</v>
      </c>
      <c r="G64" s="26">
        <f>IFERROR(SUMIFS(SUMMARY!D:D, SUMMARY!B:B, A64, SUMMARY!A:A, "V-RAMA"), 0)</f>
        <v>3</v>
      </c>
      <c r="H64" s="24">
        <f>IFERROR(SUMIFS(SUMMARY!D:D, SUMMARY!B:B, A64, SUMMARY!A:A, "BULACAO"), 0)</f>
        <v>0</v>
      </c>
      <c r="I64" s="24">
        <f>IFERROR(SUMIFS(SUMMARY!D:D, SUMMARY!B:B, A64, SUMMARY!A:A, "Y3S TALISAY"), 0)</f>
        <v>0</v>
      </c>
      <c r="J64" s="24">
        <f>IFERROR(SUMIFS(SUMMARY!D:D, SUMMARY!B:B, A64, SUMMARY!A:A, "MINGLANILLA"), 0)</f>
        <v>0</v>
      </c>
      <c r="K64" s="24">
        <f>IFERROR(SUMIFS(SUMMARY!D:D, SUMMARY!B:B, A64, SUMMARY!A:A, "Y3S PARDO"), 0)</f>
        <v>0</v>
      </c>
      <c r="L64" s="24">
        <f>IFERROR(SUMIFS(SUMMARY!D:D, SUMMARY!B:B, A64, SUMMARY!A:A, "LAPU-LAPU"), 0)</f>
        <v>0</v>
      </c>
      <c r="M64" s="24">
        <f>IFERROR(SUMIFS(SUMMARY!D:D, SUMMARY!B:B, A64, SUMMARY!A:A, "BACAYAN"), 0)</f>
        <v>0</v>
      </c>
      <c r="N64" s="24">
        <f>IFERROR(SUMIFS(SUMMARY!D:D, SUMMARY!B:B, A64, SUMMARY!A:A, "SAN FERNANDO MB"), 0)</f>
        <v>0</v>
      </c>
      <c r="O64" s="24">
        <f>IFERROR(SUMIFS(SUMMARY!D:D, SUMMARY!B:B, A64, SUMMARY!A:A, "Y3S SAN FERNANDO"), 0)</f>
        <v>2</v>
      </c>
      <c r="P64" s="24">
        <f>IFERROR(SUMIFS(SUMMARY!D:D, SUMMARY!B:B, A64, SUMMARY!A:A, "LILOAN"), 0)</f>
        <v>1</v>
      </c>
      <c r="Q64" s="24">
        <f>IFERROR(SUMIFS(SUMMARY!D:D, SUMMARY!B:B, A64, SUMMARY!A:A, "CORDOVA MB"), 0)</f>
        <v>0</v>
      </c>
      <c r="R64" s="24">
        <f>IFERROR(SUMIFS(SUMMARY!D:D, SUMMARY!B:B, A64, SUMMARY!A:A, "Y3S CORDOVA"), 0)</f>
        <v>2</v>
      </c>
      <c r="S64" s="24">
        <f>IFERROR(SUMIFS(SUMMARY!D:D, SUMMARY!B:B, A64, SUMMARY!A:A, "CLARIN"), 0)</f>
        <v>2</v>
      </c>
      <c r="T64" s="24">
        <f>IFERROR(SUMIFS(SUMMARY!D:D, SUMMARY!B:B, A64, SUMMARY!A:A, "TOLEDO"), 0)</f>
        <v>2</v>
      </c>
      <c r="U64" s="24">
        <f>IFERROR(SUMIFS(SUMMARY!D:D, SUMMARY!B:B, A64, SUMMARY!A:A, "UBAY"), 0)</f>
        <v>2</v>
      </c>
      <c r="V64" s="24">
        <f>IFERROR(SUMIFS(SUMMARY!D:D, SUMMARY!B:B, A64, SUMMARY!A:A, "CARMEN"), 0)</f>
        <v>3</v>
      </c>
      <c r="W64" s="24">
        <f>IFERROR(SUMIFS(SUMMARY!D:D, SUMMARY!B:B, A64, SUMMARY!A:A, "TUBIGON"), 0)</f>
        <v>0</v>
      </c>
      <c r="X64" s="24">
        <f>IFERROR(SUMIFS(SUMMARY!D:D, SUMMARY!B:B, A64, SUMMARY!A:A, "TALIBON"), 0)</f>
        <v>0</v>
      </c>
      <c r="Y64" s="24">
        <f>IFERROR(SUMIFS(SUMMARY!D:D, SUMMARY!B:B, A64, SUMMARY!A:A, "BOGO"), 0)</f>
        <v>0</v>
      </c>
      <c r="Z64" s="24">
        <f>IFERROR(SUMIFS(SUMMARY!D:D, SUMMARY!B:B, A64, SUMMARY!A:A, "BALAMBAN"), 0)</f>
        <v>0</v>
      </c>
      <c r="AA64" s="24">
        <f>IFERROR(SUMIFS(SUMMARY!D:D, SUMMARY!B:B, A64, SUMMARY!A:A, "Y3S BARILI"), 0)</f>
        <v>0</v>
      </c>
      <c r="AB64" s="24">
        <f>IFERROR(SUMIFS(SUMMARY!D:D, SUMMARY!B:B, A64, SUMMARY!A:A, "BARILI MB"), 0)</f>
        <v>0</v>
      </c>
      <c r="AC64" s="24">
        <f>IFERROR(SUMIFS(SUMMARY!D:D, SUMMARY!B:B, A64, SUMMARY!A:A, "SIERRA BULLONES"), 0)</f>
        <v>0</v>
      </c>
      <c r="AD64" s="24">
        <f>IFERROR(SUMIFS(SUMMARY!D:D, SUMMARY!B:B, A64, SUMMARY!A:A, "PITOGO"), 0)</f>
        <v>0</v>
      </c>
      <c r="AE64" s="24">
        <f>IFERROR(SUMIFS(SUMMARY!D:D, SUMMARY!B:B, A64, SUMMARY!A:A, "TAYUD CONSOLACION"), 0)</f>
        <v>0</v>
      </c>
      <c r="AF64" s="24">
        <f>IFERROR(SUMIFS(SUMMARY!D:D, SUMMARY!B:B, A64, SUMMARY!A:A, "PINAMUNGAJAN"), 0)</f>
        <v>1</v>
      </c>
      <c r="AG64" s="24">
        <f>IFERROR(SUMIFS(SUMMARY!D:D, SUMMARY!B:B, A64, SUMMARY!A:A, "CANDIJAY"), 0)</f>
        <v>0</v>
      </c>
      <c r="AH64" s="24">
        <f>IFERROR(SUMIFS(SUMMARY!D:D, SUMMARY!B:B, A64, SUMMARY!A:A, "YATI LILOAN"), 0)</f>
        <v>0</v>
      </c>
      <c r="AI64" s="27">
        <f>IFERROR(SUMIFS(SUMMARY!D:D, SUMMARY!B:B, A64, SUMMARY!A:A, "CAMOTES"), 0)</f>
        <v>0</v>
      </c>
      <c r="AJ64" s="28">
        <f t="shared" si="1"/>
        <v>19</v>
      </c>
    </row>
    <row r="65" ht="15.75" customHeight="1">
      <c r="A65" s="23" t="s">
        <v>697</v>
      </c>
      <c r="B65" s="23" t="s">
        <v>698</v>
      </c>
      <c r="C65" s="24" t="s">
        <v>696</v>
      </c>
      <c r="D65" s="25">
        <f>IFERROR(SUMIFS(SUMMARY!D:D, SUMMARY!B:B, A65, SUMMARY!A:A, "ADMIN"), 0)</f>
        <v>0</v>
      </c>
      <c r="E65" s="25">
        <f>IFERROR(SUMIFS(SUMMARY!D:D, SUMMARY!B:B, A65, SUMMARY!A:A, "WAREHOUSE"), 0)</f>
        <v>0</v>
      </c>
      <c r="F65" s="24">
        <f>IFERROR(SUMIFS(SUMMARY!D:D, SUMMARY!B:B, A65, SUMMARY!A:A, "LAGTANG"), 0)</f>
        <v>0</v>
      </c>
      <c r="G65" s="26">
        <f>IFERROR(SUMIFS(SUMMARY!D:D, SUMMARY!B:B, A65, SUMMARY!A:A, "V-RAMA"), 0)</f>
        <v>0</v>
      </c>
      <c r="H65" s="24">
        <f>IFERROR(SUMIFS(SUMMARY!D:D, SUMMARY!B:B, A65, SUMMARY!A:A, "BULACAO"), 0)</f>
        <v>0</v>
      </c>
      <c r="I65" s="24">
        <f>IFERROR(SUMIFS(SUMMARY!D:D, SUMMARY!B:B, A65, SUMMARY!A:A, "Y3S TALISAY"), 0)</f>
        <v>0</v>
      </c>
      <c r="J65" s="24">
        <f>IFERROR(SUMIFS(SUMMARY!D:D, SUMMARY!B:B, A65, SUMMARY!A:A, "MINGLANILLA"), 0)</f>
        <v>0</v>
      </c>
      <c r="K65" s="24">
        <f>IFERROR(SUMIFS(SUMMARY!D:D, SUMMARY!B:B, A65, SUMMARY!A:A, "Y3S PARDO"), 0)</f>
        <v>0</v>
      </c>
      <c r="L65" s="24">
        <f>IFERROR(SUMIFS(SUMMARY!D:D, SUMMARY!B:B, A65, SUMMARY!A:A, "LAPU-LAPU"), 0)</f>
        <v>0</v>
      </c>
      <c r="M65" s="24">
        <f>IFERROR(SUMIFS(SUMMARY!D:D, SUMMARY!B:B, A65, SUMMARY!A:A, "BACAYAN"), 0)</f>
        <v>0</v>
      </c>
      <c r="N65" s="24">
        <f>IFERROR(SUMIFS(SUMMARY!D:D, SUMMARY!B:B, A65, SUMMARY!A:A, "SAN FERNANDO MB"), 0)</f>
        <v>0</v>
      </c>
      <c r="O65" s="24">
        <f>IFERROR(SUMIFS(SUMMARY!D:D, SUMMARY!B:B, A65, SUMMARY!A:A, "Y3S SAN FERNANDO"), 0)</f>
        <v>0</v>
      </c>
      <c r="P65" s="24">
        <f>IFERROR(SUMIFS(SUMMARY!D:D, SUMMARY!B:B, A65, SUMMARY!A:A, "LILOAN"), 0)</f>
        <v>0</v>
      </c>
      <c r="Q65" s="24">
        <f>IFERROR(SUMIFS(SUMMARY!D:D, SUMMARY!B:B, A65, SUMMARY!A:A, "CORDOVA MB"), 0)</f>
        <v>0</v>
      </c>
      <c r="R65" s="24">
        <f>IFERROR(SUMIFS(SUMMARY!D:D, SUMMARY!B:B, A65, SUMMARY!A:A, "Y3S CORDOVA"), 0)</f>
        <v>0</v>
      </c>
      <c r="S65" s="24">
        <f>IFERROR(SUMIFS(SUMMARY!D:D, SUMMARY!B:B, A65, SUMMARY!A:A, "CLARIN"), 0)</f>
        <v>0</v>
      </c>
      <c r="T65" s="24">
        <f>IFERROR(SUMIFS(SUMMARY!D:D, SUMMARY!B:B, A65, SUMMARY!A:A, "TOLEDO"), 0)</f>
        <v>0</v>
      </c>
      <c r="U65" s="24">
        <f>IFERROR(SUMIFS(SUMMARY!D:D, SUMMARY!B:B, A65, SUMMARY!A:A, "UBAY"), 0)</f>
        <v>0</v>
      </c>
      <c r="V65" s="24">
        <f>IFERROR(SUMIFS(SUMMARY!D:D, SUMMARY!B:B, A65, SUMMARY!A:A, "CARMEN"), 0)</f>
        <v>0</v>
      </c>
      <c r="W65" s="24">
        <f>IFERROR(SUMIFS(SUMMARY!D:D, SUMMARY!B:B, A65, SUMMARY!A:A, "TUBIGON"), 0)</f>
        <v>0</v>
      </c>
      <c r="X65" s="24">
        <f>IFERROR(SUMIFS(SUMMARY!D:D, SUMMARY!B:B, A65, SUMMARY!A:A, "TALIBON"), 0)</f>
        <v>0</v>
      </c>
      <c r="Y65" s="24">
        <f>IFERROR(SUMIFS(SUMMARY!D:D, SUMMARY!B:B, A65, SUMMARY!A:A, "BOGO"), 0)</f>
        <v>0</v>
      </c>
      <c r="Z65" s="24">
        <f>IFERROR(SUMIFS(SUMMARY!D:D, SUMMARY!B:B, A65, SUMMARY!A:A, "BALAMBAN"), 0)</f>
        <v>0</v>
      </c>
      <c r="AA65" s="24">
        <f>IFERROR(SUMIFS(SUMMARY!D:D, SUMMARY!B:B, A65, SUMMARY!A:A, "Y3S BARILI"), 0)</f>
        <v>0</v>
      </c>
      <c r="AB65" s="24">
        <f>IFERROR(SUMIFS(SUMMARY!D:D, SUMMARY!B:B, A65, SUMMARY!A:A, "BARILI MB"), 0)</f>
        <v>0</v>
      </c>
      <c r="AC65" s="24">
        <f>IFERROR(SUMIFS(SUMMARY!D:D, SUMMARY!B:B, A65, SUMMARY!A:A, "SIERRA BULLONES"), 0)</f>
        <v>0</v>
      </c>
      <c r="AD65" s="24">
        <f>IFERROR(SUMIFS(SUMMARY!D:D, SUMMARY!B:B, A65, SUMMARY!A:A, "PITOGO"), 0)</f>
        <v>0</v>
      </c>
      <c r="AE65" s="24">
        <f>IFERROR(SUMIFS(SUMMARY!D:D, SUMMARY!B:B, A65, SUMMARY!A:A, "TAYUD CONSOLACION"), 0)</f>
        <v>0</v>
      </c>
      <c r="AF65" s="24">
        <f>IFERROR(SUMIFS(SUMMARY!D:D, SUMMARY!B:B, A65, SUMMARY!A:A, "PINAMUNGAJAN"), 0)</f>
        <v>0</v>
      </c>
      <c r="AG65" s="24">
        <f>IFERROR(SUMIFS(SUMMARY!D:D, SUMMARY!B:B, A65, SUMMARY!A:A, "CANDIJAY"), 0)</f>
        <v>0</v>
      </c>
      <c r="AH65" s="24">
        <f>IFERROR(SUMIFS(SUMMARY!D:D, SUMMARY!B:B, A65, SUMMARY!A:A, "YATI LILOAN"), 0)</f>
        <v>0</v>
      </c>
      <c r="AI65" s="27">
        <f>IFERROR(SUMIFS(SUMMARY!D:D, SUMMARY!B:B, A65, SUMMARY!A:A, "CAMOTES"), 0)</f>
        <v>0</v>
      </c>
      <c r="AJ65" s="28">
        <f t="shared" si="1"/>
        <v>0</v>
      </c>
    </row>
    <row r="66" ht="15.75" customHeight="1">
      <c r="A66" s="23" t="s">
        <v>699</v>
      </c>
      <c r="B66" s="23" t="s">
        <v>700</v>
      </c>
      <c r="C66" s="24" t="s">
        <v>696</v>
      </c>
      <c r="D66" s="25">
        <f>IFERROR(SUMIFS(SUMMARY!D:D, SUMMARY!B:B, A66, SUMMARY!A:A, "ADMIN"), 0)</f>
        <v>0</v>
      </c>
      <c r="E66" s="25">
        <f>IFERROR(SUMIFS(SUMMARY!D:D, SUMMARY!B:B, A66, SUMMARY!A:A, "WAREHOUSE"), 0)</f>
        <v>0</v>
      </c>
      <c r="F66" s="24">
        <f>IFERROR(SUMIFS(SUMMARY!D:D, SUMMARY!B:B, A66, SUMMARY!A:A, "LAGTANG"), 0)</f>
        <v>0</v>
      </c>
      <c r="G66" s="26">
        <f>IFERROR(SUMIFS(SUMMARY!D:D, SUMMARY!B:B, A66, SUMMARY!A:A, "V-RAMA"), 0)</f>
        <v>0</v>
      </c>
      <c r="H66" s="24">
        <f>IFERROR(SUMIFS(SUMMARY!D:D, SUMMARY!B:B, A66, SUMMARY!A:A, "BULACAO"), 0)</f>
        <v>0</v>
      </c>
      <c r="I66" s="24">
        <f>IFERROR(SUMIFS(SUMMARY!D:D, SUMMARY!B:B, A66, SUMMARY!A:A, "Y3S TALISAY"), 0)</f>
        <v>0</v>
      </c>
      <c r="J66" s="24">
        <f>IFERROR(SUMIFS(SUMMARY!D:D, SUMMARY!B:B, A66, SUMMARY!A:A, "MINGLANILLA"), 0)</f>
        <v>0</v>
      </c>
      <c r="K66" s="24">
        <f>IFERROR(SUMIFS(SUMMARY!D:D, SUMMARY!B:B, A66, SUMMARY!A:A, "Y3S PARDO"), 0)</f>
        <v>0</v>
      </c>
      <c r="L66" s="24">
        <f>IFERROR(SUMIFS(SUMMARY!D:D, SUMMARY!B:B, A66, SUMMARY!A:A, "LAPU-LAPU"), 0)</f>
        <v>0</v>
      </c>
      <c r="M66" s="24">
        <f>IFERROR(SUMIFS(SUMMARY!D:D, SUMMARY!B:B, A66, SUMMARY!A:A, "BACAYAN"), 0)</f>
        <v>0</v>
      </c>
      <c r="N66" s="24">
        <f>IFERROR(SUMIFS(SUMMARY!D:D, SUMMARY!B:B, A66, SUMMARY!A:A, "SAN FERNANDO MB"), 0)</f>
        <v>0</v>
      </c>
      <c r="O66" s="24">
        <f>IFERROR(SUMIFS(SUMMARY!D:D, SUMMARY!B:B, A66, SUMMARY!A:A, "Y3S SAN FERNANDO"), 0)</f>
        <v>0</v>
      </c>
      <c r="P66" s="24">
        <f>IFERROR(SUMIFS(SUMMARY!D:D, SUMMARY!B:B, A66, SUMMARY!A:A, "LILOAN"), 0)</f>
        <v>0</v>
      </c>
      <c r="Q66" s="24">
        <f>IFERROR(SUMIFS(SUMMARY!D:D, SUMMARY!B:B, A66, SUMMARY!A:A, "CORDOVA MB"), 0)</f>
        <v>0</v>
      </c>
      <c r="R66" s="24">
        <f>IFERROR(SUMIFS(SUMMARY!D:D, SUMMARY!B:B, A66, SUMMARY!A:A, "Y3S CORDOVA"), 0)</f>
        <v>0</v>
      </c>
      <c r="S66" s="24">
        <f>IFERROR(SUMIFS(SUMMARY!D:D, SUMMARY!B:B, A66, SUMMARY!A:A, "CLARIN"), 0)</f>
        <v>0</v>
      </c>
      <c r="T66" s="24">
        <f>IFERROR(SUMIFS(SUMMARY!D:D, SUMMARY!B:B, A66, SUMMARY!A:A, "TOLEDO"), 0)</f>
        <v>0</v>
      </c>
      <c r="U66" s="24">
        <f>IFERROR(SUMIFS(SUMMARY!D:D, SUMMARY!B:B, A66, SUMMARY!A:A, "UBAY"), 0)</f>
        <v>0</v>
      </c>
      <c r="V66" s="24">
        <f>IFERROR(SUMIFS(SUMMARY!D:D, SUMMARY!B:B, A66, SUMMARY!A:A, "CARMEN"), 0)</f>
        <v>0</v>
      </c>
      <c r="W66" s="24">
        <f>IFERROR(SUMIFS(SUMMARY!D:D, SUMMARY!B:B, A66, SUMMARY!A:A, "TUBIGON"), 0)</f>
        <v>0</v>
      </c>
      <c r="X66" s="24">
        <f>IFERROR(SUMIFS(SUMMARY!D:D, SUMMARY!B:B, A66, SUMMARY!A:A, "TALIBON"), 0)</f>
        <v>0</v>
      </c>
      <c r="Y66" s="24">
        <f>IFERROR(SUMIFS(SUMMARY!D:D, SUMMARY!B:B, A66, SUMMARY!A:A, "BOGO"), 0)</f>
        <v>0</v>
      </c>
      <c r="Z66" s="24">
        <f>IFERROR(SUMIFS(SUMMARY!D:D, SUMMARY!B:B, A66, SUMMARY!A:A, "BALAMBAN"), 0)</f>
        <v>0</v>
      </c>
      <c r="AA66" s="24">
        <f>IFERROR(SUMIFS(SUMMARY!D:D, SUMMARY!B:B, A66, SUMMARY!A:A, "Y3S BARILI"), 0)</f>
        <v>0</v>
      </c>
      <c r="AB66" s="24">
        <f>IFERROR(SUMIFS(SUMMARY!D:D, SUMMARY!B:B, A66, SUMMARY!A:A, "BARILI MB"), 0)</f>
        <v>0</v>
      </c>
      <c r="AC66" s="24">
        <f>IFERROR(SUMIFS(SUMMARY!D:D, SUMMARY!B:B, A66, SUMMARY!A:A, "SIERRA BULLONES"), 0)</f>
        <v>0</v>
      </c>
      <c r="AD66" s="24">
        <f>IFERROR(SUMIFS(SUMMARY!D:D, SUMMARY!B:B, A66, SUMMARY!A:A, "PITOGO"), 0)</f>
        <v>0</v>
      </c>
      <c r="AE66" s="24">
        <f>IFERROR(SUMIFS(SUMMARY!D:D, SUMMARY!B:B, A66, SUMMARY!A:A, "TAYUD CONSOLACION"), 0)</f>
        <v>0</v>
      </c>
      <c r="AF66" s="24">
        <f>IFERROR(SUMIFS(SUMMARY!D:D, SUMMARY!B:B, A66, SUMMARY!A:A, "PINAMUNGAJAN"), 0)</f>
        <v>0</v>
      </c>
      <c r="AG66" s="24">
        <f>IFERROR(SUMIFS(SUMMARY!D:D, SUMMARY!B:B, A66, SUMMARY!A:A, "CANDIJAY"), 0)</f>
        <v>0</v>
      </c>
      <c r="AH66" s="24">
        <f>IFERROR(SUMIFS(SUMMARY!D:D, SUMMARY!B:B, A66, SUMMARY!A:A, "YATI LILOAN"), 0)</f>
        <v>0</v>
      </c>
      <c r="AI66" s="27">
        <f>IFERROR(SUMIFS(SUMMARY!D:D, SUMMARY!B:B, A66, SUMMARY!A:A, "CAMOTES"), 0)</f>
        <v>0</v>
      </c>
      <c r="AJ66" s="28">
        <f t="shared" si="1"/>
        <v>0</v>
      </c>
    </row>
    <row r="67" ht="15.75" customHeight="1">
      <c r="A67" s="23" t="s">
        <v>701</v>
      </c>
      <c r="B67" s="23" t="s">
        <v>702</v>
      </c>
      <c r="C67" s="24" t="s">
        <v>703</v>
      </c>
      <c r="D67" s="25">
        <f>IFERROR(SUMIFS(SUMMARY!D:D, SUMMARY!B:B, A67, SUMMARY!A:A, "ADMIN"), 0)</f>
        <v>0</v>
      </c>
      <c r="E67" s="25">
        <f>IFERROR(SUMIFS(SUMMARY!D:D, SUMMARY!B:B, A67, SUMMARY!A:A, "WAREHOUSE"), 0)</f>
        <v>0</v>
      </c>
      <c r="F67" s="24">
        <f>IFERROR(SUMIFS(SUMMARY!D:D, SUMMARY!B:B, A67, SUMMARY!A:A, "LAGTANG"), 0)</f>
        <v>0</v>
      </c>
      <c r="G67" s="26">
        <f>IFERROR(SUMIFS(SUMMARY!D:D, SUMMARY!B:B, A67, SUMMARY!A:A, "V-RAMA"), 0)</f>
        <v>1</v>
      </c>
      <c r="H67" s="24">
        <f>IFERROR(SUMIFS(SUMMARY!D:D, SUMMARY!B:B, A67, SUMMARY!A:A, "BULACAO"), 0)</f>
        <v>1</v>
      </c>
      <c r="I67" s="24">
        <f>IFERROR(SUMIFS(SUMMARY!D:D, SUMMARY!B:B, A67, SUMMARY!A:A, "Y3S TALISAY"), 0)</f>
        <v>1</v>
      </c>
      <c r="J67" s="24">
        <f>IFERROR(SUMIFS(SUMMARY!D:D, SUMMARY!B:B, A67, SUMMARY!A:A, "MINGLANILLA"), 0)</f>
        <v>0</v>
      </c>
      <c r="K67" s="24">
        <f>IFERROR(SUMIFS(SUMMARY!D:D, SUMMARY!B:B, A67, SUMMARY!A:A, "Y3S PARDO"), 0)</f>
        <v>0</v>
      </c>
      <c r="L67" s="24">
        <f>IFERROR(SUMIFS(SUMMARY!D:D, SUMMARY!B:B, A67, SUMMARY!A:A, "LAPU-LAPU"), 0)</f>
        <v>0</v>
      </c>
      <c r="M67" s="24">
        <f>IFERROR(SUMIFS(SUMMARY!D:D, SUMMARY!B:B, A67, SUMMARY!A:A, "BACAYAN"), 0)</f>
        <v>1</v>
      </c>
      <c r="N67" s="24">
        <f>IFERROR(SUMIFS(SUMMARY!D:D, SUMMARY!B:B, A67, SUMMARY!A:A, "SAN FERNANDO MB"), 0)</f>
        <v>0</v>
      </c>
      <c r="O67" s="24">
        <f>IFERROR(SUMIFS(SUMMARY!D:D, SUMMARY!B:B, A67, SUMMARY!A:A, "Y3S SAN FERNANDO"), 0)</f>
        <v>0</v>
      </c>
      <c r="P67" s="24">
        <f>IFERROR(SUMIFS(SUMMARY!D:D, SUMMARY!B:B, A67, SUMMARY!A:A, "LILOAN"), 0)</f>
        <v>0</v>
      </c>
      <c r="Q67" s="24">
        <f>IFERROR(SUMIFS(SUMMARY!D:D, SUMMARY!B:B, A67, SUMMARY!A:A, "CORDOVA MB"), 0)</f>
        <v>1</v>
      </c>
      <c r="R67" s="24">
        <f>IFERROR(SUMIFS(SUMMARY!D:D, SUMMARY!B:B, A67, SUMMARY!A:A, "Y3S CORDOVA"), 0)</f>
        <v>1</v>
      </c>
      <c r="S67" s="24">
        <f>IFERROR(SUMIFS(SUMMARY!D:D, SUMMARY!B:B, A67, SUMMARY!A:A, "CLARIN"), 0)</f>
        <v>1</v>
      </c>
      <c r="T67" s="24">
        <f>IFERROR(SUMIFS(SUMMARY!D:D, SUMMARY!B:B, A67, SUMMARY!A:A, "TOLEDO"), 0)</f>
        <v>0</v>
      </c>
      <c r="U67" s="24">
        <f>IFERROR(SUMIFS(SUMMARY!D:D, SUMMARY!B:B, A67, SUMMARY!A:A, "UBAY"), 0)</f>
        <v>0</v>
      </c>
      <c r="V67" s="24">
        <f>IFERROR(SUMIFS(SUMMARY!D:D, SUMMARY!B:B, A67, SUMMARY!A:A, "CARMEN"), 0)</f>
        <v>1</v>
      </c>
      <c r="W67" s="24">
        <f>IFERROR(SUMIFS(SUMMARY!D:D, SUMMARY!B:B, A67, SUMMARY!A:A, "TUBIGON"), 0)</f>
        <v>1</v>
      </c>
      <c r="X67" s="24">
        <f>IFERROR(SUMIFS(SUMMARY!D:D, SUMMARY!B:B, A67, SUMMARY!A:A, "TALIBON"), 0)</f>
        <v>0</v>
      </c>
      <c r="Y67" s="24">
        <f>IFERROR(SUMIFS(SUMMARY!D:D, SUMMARY!B:B, A67, SUMMARY!A:A, "BOGO"), 0)</f>
        <v>0</v>
      </c>
      <c r="Z67" s="24">
        <f>IFERROR(SUMIFS(SUMMARY!D:D, SUMMARY!B:B, A67, SUMMARY!A:A, "BALAMBAN"), 0)</f>
        <v>0</v>
      </c>
      <c r="AA67" s="24">
        <f>IFERROR(SUMIFS(SUMMARY!D:D, SUMMARY!B:B, A67, SUMMARY!A:A, "Y3S BARILI"), 0)</f>
        <v>1</v>
      </c>
      <c r="AB67" s="24">
        <f>IFERROR(SUMIFS(SUMMARY!D:D, SUMMARY!B:B, A67, SUMMARY!A:A, "BARILI MB"), 0)</f>
        <v>0</v>
      </c>
      <c r="AC67" s="24">
        <f>IFERROR(SUMIFS(SUMMARY!D:D, SUMMARY!B:B, A67, SUMMARY!A:A, "SIERRA BULLONES"), 0)</f>
        <v>0</v>
      </c>
      <c r="AD67" s="24">
        <f>IFERROR(SUMIFS(SUMMARY!D:D, SUMMARY!B:B, A67, SUMMARY!A:A, "PITOGO"), 0)</f>
        <v>1</v>
      </c>
      <c r="AE67" s="24">
        <f>IFERROR(SUMIFS(SUMMARY!D:D, SUMMARY!B:B, A67, SUMMARY!A:A, "TAYUD CONSOLACION"), 0)</f>
        <v>0</v>
      </c>
      <c r="AF67" s="24">
        <f>IFERROR(SUMIFS(SUMMARY!D:D, SUMMARY!B:B, A67, SUMMARY!A:A, "PINAMUNGAJAN"), 0)</f>
        <v>0</v>
      </c>
      <c r="AG67" s="24">
        <f>IFERROR(SUMIFS(SUMMARY!D:D, SUMMARY!B:B, A67, SUMMARY!A:A, "CANDIJAY"), 0)</f>
        <v>0</v>
      </c>
      <c r="AH67" s="24">
        <f>IFERROR(SUMIFS(SUMMARY!D:D, SUMMARY!B:B, A67, SUMMARY!A:A, "YATI LILOAN"), 0)</f>
        <v>0</v>
      </c>
      <c r="AI67" s="27">
        <f>IFERROR(SUMIFS(SUMMARY!D:D, SUMMARY!B:B, A67, SUMMARY!A:A, "CAMOTES"), 0)</f>
        <v>0</v>
      </c>
      <c r="AJ67" s="28">
        <f t="shared" si="1"/>
        <v>11</v>
      </c>
    </row>
    <row r="68" ht="15.75" customHeight="1">
      <c r="A68" s="23" t="s">
        <v>704</v>
      </c>
      <c r="B68" s="23" t="s">
        <v>705</v>
      </c>
      <c r="C68" s="24" t="s">
        <v>703</v>
      </c>
      <c r="D68" s="25">
        <f>IFERROR(SUMIFS(SUMMARY!D:D, SUMMARY!B:B, A68, SUMMARY!A:A, "ADMIN"), 0)</f>
        <v>0</v>
      </c>
      <c r="E68" s="25">
        <f>IFERROR(SUMIFS(SUMMARY!D:D, SUMMARY!B:B, A68, SUMMARY!A:A, "WAREHOUSE"), 0)</f>
        <v>0</v>
      </c>
      <c r="F68" s="24">
        <f>IFERROR(SUMIFS(SUMMARY!D:D, SUMMARY!B:B, A68, SUMMARY!A:A, "LAGTANG"), 0)</f>
        <v>0</v>
      </c>
      <c r="G68" s="26">
        <f>IFERROR(SUMIFS(SUMMARY!D:D, SUMMARY!B:B, A68, SUMMARY!A:A, "V-RAMA"), 0)</f>
        <v>1</v>
      </c>
      <c r="H68" s="24">
        <f>IFERROR(SUMIFS(SUMMARY!D:D, SUMMARY!B:B, A68, SUMMARY!A:A, "BULACAO"), 0)</f>
        <v>0</v>
      </c>
      <c r="I68" s="24">
        <f>IFERROR(SUMIFS(SUMMARY!D:D, SUMMARY!B:B, A68, SUMMARY!A:A, "Y3S TALISAY"), 0)</f>
        <v>0</v>
      </c>
      <c r="J68" s="24">
        <f>IFERROR(SUMIFS(SUMMARY!D:D, SUMMARY!B:B, A68, SUMMARY!A:A, "MINGLANILLA"), 0)</f>
        <v>0</v>
      </c>
      <c r="K68" s="24">
        <f>IFERROR(SUMIFS(SUMMARY!D:D, SUMMARY!B:B, A68, SUMMARY!A:A, "Y3S PARDO"), 0)</f>
        <v>0</v>
      </c>
      <c r="L68" s="24">
        <f>IFERROR(SUMIFS(SUMMARY!D:D, SUMMARY!B:B, A68, SUMMARY!A:A, "LAPU-LAPU"), 0)</f>
        <v>0</v>
      </c>
      <c r="M68" s="24">
        <f>IFERROR(SUMIFS(SUMMARY!D:D, SUMMARY!B:B, A68, SUMMARY!A:A, "BACAYAN"), 0)</f>
        <v>0</v>
      </c>
      <c r="N68" s="24">
        <f>IFERROR(SUMIFS(SUMMARY!D:D, SUMMARY!B:B, A68, SUMMARY!A:A, "SAN FERNANDO MB"), 0)</f>
        <v>0</v>
      </c>
      <c r="O68" s="24">
        <f>IFERROR(SUMIFS(SUMMARY!D:D, SUMMARY!B:B, A68, SUMMARY!A:A, "Y3S SAN FERNANDO"), 0)</f>
        <v>0</v>
      </c>
      <c r="P68" s="24">
        <f>IFERROR(SUMIFS(SUMMARY!D:D, SUMMARY!B:B, A68, SUMMARY!A:A, "LILOAN"), 0)</f>
        <v>0</v>
      </c>
      <c r="Q68" s="24">
        <f>IFERROR(SUMIFS(SUMMARY!D:D, SUMMARY!B:B, A68, SUMMARY!A:A, "CORDOVA MB"), 0)</f>
        <v>0</v>
      </c>
      <c r="R68" s="24">
        <f>IFERROR(SUMIFS(SUMMARY!D:D, SUMMARY!B:B, A68, SUMMARY!A:A, "Y3S CORDOVA"), 0)</f>
        <v>0</v>
      </c>
      <c r="S68" s="24">
        <f>IFERROR(SUMIFS(SUMMARY!D:D, SUMMARY!B:B, A68, SUMMARY!A:A, "CLARIN"), 0)</f>
        <v>1</v>
      </c>
      <c r="T68" s="24">
        <f>IFERROR(SUMIFS(SUMMARY!D:D, SUMMARY!B:B, A68, SUMMARY!A:A, "TOLEDO"), 0)</f>
        <v>0</v>
      </c>
      <c r="U68" s="24">
        <f>IFERROR(SUMIFS(SUMMARY!D:D, SUMMARY!B:B, A68, SUMMARY!A:A, "UBAY"), 0)</f>
        <v>0</v>
      </c>
      <c r="V68" s="24">
        <f>IFERROR(SUMIFS(SUMMARY!D:D, SUMMARY!B:B, A68, SUMMARY!A:A, "CARMEN"), 0)</f>
        <v>0</v>
      </c>
      <c r="W68" s="24">
        <f>IFERROR(SUMIFS(SUMMARY!D:D, SUMMARY!B:B, A68, SUMMARY!A:A, "TUBIGON"), 0)</f>
        <v>1</v>
      </c>
      <c r="X68" s="24">
        <f>IFERROR(SUMIFS(SUMMARY!D:D, SUMMARY!B:B, A68, SUMMARY!A:A, "TALIBON"), 0)</f>
        <v>1</v>
      </c>
      <c r="Y68" s="24">
        <f>IFERROR(SUMIFS(SUMMARY!D:D, SUMMARY!B:B, A68, SUMMARY!A:A, "BOGO"), 0)</f>
        <v>0</v>
      </c>
      <c r="Z68" s="24">
        <f>IFERROR(SUMIFS(SUMMARY!D:D, SUMMARY!B:B, A68, SUMMARY!A:A, "BALAMBAN"), 0)</f>
        <v>0</v>
      </c>
      <c r="AA68" s="24">
        <f>IFERROR(SUMIFS(SUMMARY!D:D, SUMMARY!B:B, A68, SUMMARY!A:A, "Y3S BARILI"), 0)</f>
        <v>0</v>
      </c>
      <c r="AB68" s="24">
        <f>IFERROR(SUMIFS(SUMMARY!D:D, SUMMARY!B:B, A68, SUMMARY!A:A, "BARILI MB"), 0)</f>
        <v>0</v>
      </c>
      <c r="AC68" s="24">
        <f>IFERROR(SUMIFS(SUMMARY!D:D, SUMMARY!B:B, A68, SUMMARY!A:A, "SIERRA BULLONES"), 0)</f>
        <v>0</v>
      </c>
      <c r="AD68" s="24">
        <f>IFERROR(SUMIFS(SUMMARY!D:D, SUMMARY!B:B, A68, SUMMARY!A:A, "PITOGO"), 0)</f>
        <v>1</v>
      </c>
      <c r="AE68" s="24">
        <f>IFERROR(SUMIFS(SUMMARY!D:D, SUMMARY!B:B, A68, SUMMARY!A:A, "TAYUD CONSOLACION"), 0)</f>
        <v>0</v>
      </c>
      <c r="AF68" s="24">
        <f>IFERROR(SUMIFS(SUMMARY!D:D, SUMMARY!B:B, A68, SUMMARY!A:A, "PINAMUNGAJAN"), 0)</f>
        <v>0</v>
      </c>
      <c r="AG68" s="24">
        <f>IFERROR(SUMIFS(SUMMARY!D:D, SUMMARY!B:B, A68, SUMMARY!A:A, "CANDIJAY"), 0)</f>
        <v>0</v>
      </c>
      <c r="AH68" s="24">
        <f>IFERROR(SUMIFS(SUMMARY!D:D, SUMMARY!B:B, A68, SUMMARY!A:A, "YATI LILOAN"), 0)</f>
        <v>0</v>
      </c>
      <c r="AI68" s="27">
        <f>IFERROR(SUMIFS(SUMMARY!D:D, SUMMARY!B:B, A68, SUMMARY!A:A, "CAMOTES"), 0)</f>
        <v>0</v>
      </c>
      <c r="AJ68" s="28">
        <f t="shared" si="1"/>
        <v>5</v>
      </c>
    </row>
    <row r="69" ht="15.75" customHeight="1">
      <c r="A69" s="23" t="s">
        <v>706</v>
      </c>
      <c r="B69" s="29" t="s">
        <v>707</v>
      </c>
      <c r="C69" s="24" t="s">
        <v>703</v>
      </c>
      <c r="D69" s="25">
        <f>IFERROR(SUMIFS(SUMMARY!D:D, SUMMARY!B:B, A69, SUMMARY!A:A, "ADMIN"), 0)</f>
        <v>0</v>
      </c>
      <c r="E69" s="25">
        <f>IFERROR(SUMIFS(SUMMARY!D:D, SUMMARY!B:B, A69, SUMMARY!A:A, "WAREHOUSE"), 0)</f>
        <v>0</v>
      </c>
      <c r="F69" s="24">
        <f>IFERROR(SUMIFS(SUMMARY!D:D, SUMMARY!B:B, A69, SUMMARY!A:A, "LAGTANG"), 0)</f>
        <v>0</v>
      </c>
      <c r="G69" s="26">
        <f>IFERROR(SUMIFS(SUMMARY!D:D, SUMMARY!B:B, A69, SUMMARY!A:A, "V-RAMA"), 0)</f>
        <v>0</v>
      </c>
      <c r="H69" s="24">
        <f>IFERROR(SUMIFS(SUMMARY!D:D, SUMMARY!B:B, A69, SUMMARY!A:A, "BULACAO"), 0)</f>
        <v>0</v>
      </c>
      <c r="I69" s="24">
        <f>IFERROR(SUMIFS(SUMMARY!D:D, SUMMARY!B:B, A69, SUMMARY!A:A, "Y3S TALISAY"), 0)</f>
        <v>0</v>
      </c>
      <c r="J69" s="24">
        <f>IFERROR(SUMIFS(SUMMARY!D:D, SUMMARY!B:B, A69, SUMMARY!A:A, "MINGLANILLA"), 0)</f>
        <v>0</v>
      </c>
      <c r="K69" s="24">
        <f>IFERROR(SUMIFS(SUMMARY!D:D, SUMMARY!B:B, A69, SUMMARY!A:A, "Y3S PARDO"), 0)</f>
        <v>0</v>
      </c>
      <c r="L69" s="24">
        <f>IFERROR(SUMIFS(SUMMARY!D:D, SUMMARY!B:B, A69, SUMMARY!A:A, "LAPU-LAPU"), 0)</f>
        <v>0</v>
      </c>
      <c r="M69" s="24">
        <f>IFERROR(SUMIFS(SUMMARY!D:D, SUMMARY!B:B, A69, SUMMARY!A:A, "BACAYAN"), 0)</f>
        <v>0</v>
      </c>
      <c r="N69" s="24">
        <f>IFERROR(SUMIFS(SUMMARY!D:D, SUMMARY!B:B, A69, SUMMARY!A:A, "SAN FERNANDO MB"), 0)</f>
        <v>0</v>
      </c>
      <c r="O69" s="24">
        <f>IFERROR(SUMIFS(SUMMARY!D:D, SUMMARY!B:B, A69, SUMMARY!A:A, "Y3S SAN FERNANDO"), 0)</f>
        <v>0</v>
      </c>
      <c r="P69" s="24">
        <f>IFERROR(SUMIFS(SUMMARY!D:D, SUMMARY!B:B, A69, SUMMARY!A:A, "LILOAN"), 0)</f>
        <v>0</v>
      </c>
      <c r="Q69" s="24">
        <f>IFERROR(SUMIFS(SUMMARY!D:D, SUMMARY!B:B, A69, SUMMARY!A:A, "CORDOVA MB"), 0)</f>
        <v>0</v>
      </c>
      <c r="R69" s="24">
        <f>IFERROR(SUMIFS(SUMMARY!D:D, SUMMARY!B:B, A69, SUMMARY!A:A, "Y3S CORDOVA"), 0)</f>
        <v>0</v>
      </c>
      <c r="S69" s="24">
        <f>IFERROR(SUMIFS(SUMMARY!D:D, SUMMARY!B:B, A69, SUMMARY!A:A, "CLARIN"), 0)</f>
        <v>0</v>
      </c>
      <c r="T69" s="24">
        <f>IFERROR(SUMIFS(SUMMARY!D:D, SUMMARY!B:B, A69, SUMMARY!A:A, "TOLEDO"), 0)</f>
        <v>0</v>
      </c>
      <c r="U69" s="24">
        <f>IFERROR(SUMIFS(SUMMARY!D:D, SUMMARY!B:B, A69, SUMMARY!A:A, "UBAY"), 0)</f>
        <v>0</v>
      </c>
      <c r="V69" s="24">
        <f>IFERROR(SUMIFS(SUMMARY!D:D, SUMMARY!B:B, A69, SUMMARY!A:A, "CARMEN"), 0)</f>
        <v>0</v>
      </c>
      <c r="W69" s="24">
        <f>IFERROR(SUMIFS(SUMMARY!D:D, SUMMARY!B:B, A69, SUMMARY!A:A, "TUBIGON"), 0)</f>
        <v>0</v>
      </c>
      <c r="X69" s="24">
        <f>IFERROR(SUMIFS(SUMMARY!D:D, SUMMARY!B:B, A69, SUMMARY!A:A, "TALIBON"), 0)</f>
        <v>0</v>
      </c>
      <c r="Y69" s="24">
        <f>IFERROR(SUMIFS(SUMMARY!D:D, SUMMARY!B:B, A69, SUMMARY!A:A, "BOGO"), 0)</f>
        <v>0</v>
      </c>
      <c r="Z69" s="24">
        <f>IFERROR(SUMIFS(SUMMARY!D:D, SUMMARY!B:B, A69, SUMMARY!A:A, "BALAMBAN"), 0)</f>
        <v>0</v>
      </c>
      <c r="AA69" s="24">
        <f>IFERROR(SUMIFS(SUMMARY!D:D, SUMMARY!B:B, A69, SUMMARY!A:A, "Y3S BARILI"), 0)</f>
        <v>0</v>
      </c>
      <c r="AB69" s="24">
        <f>IFERROR(SUMIFS(SUMMARY!D:D, SUMMARY!B:B, A69, SUMMARY!A:A, "BARILI MB"), 0)</f>
        <v>0</v>
      </c>
      <c r="AC69" s="24">
        <f>IFERROR(SUMIFS(SUMMARY!D:D, SUMMARY!B:B, A69, SUMMARY!A:A, "SIERRA BULLONES"), 0)</f>
        <v>0</v>
      </c>
      <c r="AD69" s="24">
        <f>IFERROR(SUMIFS(SUMMARY!D:D, SUMMARY!B:B, A69, SUMMARY!A:A, "PITOGO"), 0)</f>
        <v>0</v>
      </c>
      <c r="AE69" s="24">
        <f>IFERROR(SUMIFS(SUMMARY!D:D, SUMMARY!B:B, A69, SUMMARY!A:A, "TAYUD CONSOLACION"), 0)</f>
        <v>0</v>
      </c>
      <c r="AF69" s="24">
        <f>IFERROR(SUMIFS(SUMMARY!D:D, SUMMARY!B:B, A69, SUMMARY!A:A, "PINAMUNGAJAN"), 0)</f>
        <v>0</v>
      </c>
      <c r="AG69" s="24">
        <f>IFERROR(SUMIFS(SUMMARY!D:D, SUMMARY!B:B, A69, SUMMARY!A:A, "CANDIJAY"), 0)</f>
        <v>0</v>
      </c>
      <c r="AH69" s="24">
        <f>IFERROR(SUMIFS(SUMMARY!D:D, SUMMARY!B:B, A69, SUMMARY!A:A, "YATI LILOAN"), 0)</f>
        <v>0</v>
      </c>
      <c r="AI69" s="27">
        <f>IFERROR(SUMIFS(SUMMARY!D:D, SUMMARY!B:B, A69, SUMMARY!A:A, "CAMOTES"), 0)</f>
        <v>0</v>
      </c>
      <c r="AJ69" s="28">
        <f t="shared" si="1"/>
        <v>0</v>
      </c>
    </row>
    <row r="70" ht="15.75" customHeight="1">
      <c r="A70" s="23" t="s">
        <v>708</v>
      </c>
      <c r="B70" s="29" t="s">
        <v>709</v>
      </c>
      <c r="C70" s="24" t="s">
        <v>703</v>
      </c>
      <c r="D70" s="25">
        <f>IFERROR(SUMIFS(SUMMARY!D:D, SUMMARY!B:B, A70, SUMMARY!A:A, "ADMIN"), 0)</f>
        <v>0</v>
      </c>
      <c r="E70" s="25">
        <f>IFERROR(SUMIFS(SUMMARY!D:D, SUMMARY!B:B, A70, SUMMARY!A:A, "WAREHOUSE"), 0)</f>
        <v>0</v>
      </c>
      <c r="F70" s="24">
        <f>IFERROR(SUMIFS(SUMMARY!D:D, SUMMARY!B:B, A70, SUMMARY!A:A, "LAGTANG"), 0)</f>
        <v>0</v>
      </c>
      <c r="G70" s="26">
        <f>IFERROR(SUMIFS(SUMMARY!D:D, SUMMARY!B:B, A70, SUMMARY!A:A, "V-RAMA"), 0)</f>
        <v>0</v>
      </c>
      <c r="H70" s="24">
        <f>IFERROR(SUMIFS(SUMMARY!D:D, SUMMARY!B:B, A70, SUMMARY!A:A, "BULACAO"), 0)</f>
        <v>0</v>
      </c>
      <c r="I70" s="24">
        <f>IFERROR(SUMIFS(SUMMARY!D:D, SUMMARY!B:B, A70, SUMMARY!A:A, "Y3S TALISAY"), 0)</f>
        <v>0</v>
      </c>
      <c r="J70" s="24">
        <f>IFERROR(SUMIFS(SUMMARY!D:D, SUMMARY!B:B, A70, SUMMARY!A:A, "MINGLANILLA"), 0)</f>
        <v>0</v>
      </c>
      <c r="K70" s="24">
        <f>IFERROR(SUMIFS(SUMMARY!D:D, SUMMARY!B:B, A70, SUMMARY!A:A, "Y3S PARDO"), 0)</f>
        <v>0</v>
      </c>
      <c r="L70" s="24">
        <f>IFERROR(SUMIFS(SUMMARY!D:D, SUMMARY!B:B, A70, SUMMARY!A:A, "LAPU-LAPU"), 0)</f>
        <v>0</v>
      </c>
      <c r="M70" s="24">
        <f>IFERROR(SUMIFS(SUMMARY!D:D, SUMMARY!B:B, A70, SUMMARY!A:A, "BACAYAN"), 0)</f>
        <v>0</v>
      </c>
      <c r="N70" s="24">
        <f>IFERROR(SUMIFS(SUMMARY!D:D, SUMMARY!B:B, A70, SUMMARY!A:A, "SAN FERNANDO MB"), 0)</f>
        <v>0</v>
      </c>
      <c r="O70" s="24">
        <f>IFERROR(SUMIFS(SUMMARY!D:D, SUMMARY!B:B, A70, SUMMARY!A:A, "Y3S SAN FERNANDO"), 0)</f>
        <v>0</v>
      </c>
      <c r="P70" s="24">
        <f>IFERROR(SUMIFS(SUMMARY!D:D, SUMMARY!B:B, A70, SUMMARY!A:A, "LILOAN"), 0)</f>
        <v>0</v>
      </c>
      <c r="Q70" s="24">
        <f>IFERROR(SUMIFS(SUMMARY!D:D, SUMMARY!B:B, A70, SUMMARY!A:A, "CORDOVA MB"), 0)</f>
        <v>0</v>
      </c>
      <c r="R70" s="24">
        <f>IFERROR(SUMIFS(SUMMARY!D:D, SUMMARY!B:B, A70, SUMMARY!A:A, "Y3S CORDOVA"), 0)</f>
        <v>0</v>
      </c>
      <c r="S70" s="24">
        <f>IFERROR(SUMIFS(SUMMARY!D:D, SUMMARY!B:B, A70, SUMMARY!A:A, "CLARIN"), 0)</f>
        <v>0</v>
      </c>
      <c r="T70" s="24">
        <f>IFERROR(SUMIFS(SUMMARY!D:D, SUMMARY!B:B, A70, SUMMARY!A:A, "TOLEDO"), 0)</f>
        <v>0</v>
      </c>
      <c r="U70" s="24">
        <f>IFERROR(SUMIFS(SUMMARY!D:D, SUMMARY!B:B, A70, SUMMARY!A:A, "UBAY"), 0)</f>
        <v>0</v>
      </c>
      <c r="V70" s="24">
        <f>IFERROR(SUMIFS(SUMMARY!D:D, SUMMARY!B:B, A70, SUMMARY!A:A, "CARMEN"), 0)</f>
        <v>0</v>
      </c>
      <c r="W70" s="24">
        <f>IFERROR(SUMIFS(SUMMARY!D:D, SUMMARY!B:B, A70, SUMMARY!A:A, "TUBIGON"), 0)</f>
        <v>0</v>
      </c>
      <c r="X70" s="24">
        <f>IFERROR(SUMIFS(SUMMARY!D:D, SUMMARY!B:B, A70, SUMMARY!A:A, "TALIBON"), 0)</f>
        <v>0</v>
      </c>
      <c r="Y70" s="24">
        <f>IFERROR(SUMIFS(SUMMARY!D:D, SUMMARY!B:B, A70, SUMMARY!A:A, "BOGO"), 0)</f>
        <v>0</v>
      </c>
      <c r="Z70" s="24">
        <f>IFERROR(SUMIFS(SUMMARY!D:D, SUMMARY!B:B, A70, SUMMARY!A:A, "BALAMBAN"), 0)</f>
        <v>0</v>
      </c>
      <c r="AA70" s="24">
        <f>IFERROR(SUMIFS(SUMMARY!D:D, SUMMARY!B:B, A70, SUMMARY!A:A, "Y3S BARILI"), 0)</f>
        <v>1</v>
      </c>
      <c r="AB70" s="24">
        <f>IFERROR(SUMIFS(SUMMARY!D:D, SUMMARY!B:B, A70, SUMMARY!A:A, "BARILI MB"), 0)</f>
        <v>0</v>
      </c>
      <c r="AC70" s="24">
        <f>IFERROR(SUMIFS(SUMMARY!D:D, SUMMARY!B:B, A70, SUMMARY!A:A, "SIERRA BULLONES"), 0)</f>
        <v>0</v>
      </c>
      <c r="AD70" s="24">
        <f>IFERROR(SUMIFS(SUMMARY!D:D, SUMMARY!B:B, A70, SUMMARY!A:A, "PITOGO"), 0)</f>
        <v>0</v>
      </c>
      <c r="AE70" s="24">
        <f>IFERROR(SUMIFS(SUMMARY!D:D, SUMMARY!B:B, A70, SUMMARY!A:A, "TAYUD CONSOLACION"), 0)</f>
        <v>0</v>
      </c>
      <c r="AF70" s="24">
        <f>IFERROR(SUMIFS(SUMMARY!D:D, SUMMARY!B:B, A70, SUMMARY!A:A, "PINAMUNGAJAN"), 0)</f>
        <v>0</v>
      </c>
      <c r="AG70" s="24">
        <f>IFERROR(SUMIFS(SUMMARY!D:D, SUMMARY!B:B, A70, SUMMARY!A:A, "CANDIJAY"), 0)</f>
        <v>0</v>
      </c>
      <c r="AH70" s="24">
        <f>IFERROR(SUMIFS(SUMMARY!D:D, SUMMARY!B:B, A70, SUMMARY!A:A, "YATI LILOAN"), 0)</f>
        <v>0</v>
      </c>
      <c r="AI70" s="27">
        <f>IFERROR(SUMIFS(SUMMARY!D:D, SUMMARY!B:B, A70, SUMMARY!A:A, "CAMOTES"), 0)</f>
        <v>0</v>
      </c>
      <c r="AJ70" s="28">
        <f t="shared" si="1"/>
        <v>1</v>
      </c>
    </row>
    <row r="71" ht="15.75" customHeight="1">
      <c r="A71" s="23" t="s">
        <v>710</v>
      </c>
      <c r="B71" s="29" t="s">
        <v>711</v>
      </c>
      <c r="C71" s="24" t="s">
        <v>703</v>
      </c>
      <c r="D71" s="25">
        <f>IFERROR(SUMIFS(SUMMARY!D:D, SUMMARY!B:B, A71, SUMMARY!A:A, "ADMIN"), 0)</f>
        <v>0</v>
      </c>
      <c r="E71" s="25">
        <f>IFERROR(SUMIFS(SUMMARY!D:D, SUMMARY!B:B, A71, SUMMARY!A:A, "WAREHOUSE"), 0)</f>
        <v>0</v>
      </c>
      <c r="F71" s="24">
        <f>IFERROR(SUMIFS(SUMMARY!D:D, SUMMARY!B:B, A71, SUMMARY!A:A, "LAGTANG"), 0)</f>
        <v>0</v>
      </c>
      <c r="G71" s="26">
        <f>IFERROR(SUMIFS(SUMMARY!D:D, SUMMARY!B:B, A71, SUMMARY!A:A, "V-RAMA"), 0)</f>
        <v>0</v>
      </c>
      <c r="H71" s="24">
        <f>IFERROR(SUMIFS(SUMMARY!D:D, SUMMARY!B:B, A71, SUMMARY!A:A, "BULACAO"), 0)</f>
        <v>0</v>
      </c>
      <c r="I71" s="24">
        <f>IFERROR(SUMIFS(SUMMARY!D:D, SUMMARY!B:B, A71, SUMMARY!A:A, "Y3S TALISAY"), 0)</f>
        <v>0</v>
      </c>
      <c r="J71" s="24">
        <f>IFERROR(SUMIFS(SUMMARY!D:D, SUMMARY!B:B, A71, SUMMARY!A:A, "MINGLANILLA"), 0)</f>
        <v>0</v>
      </c>
      <c r="K71" s="24">
        <f>IFERROR(SUMIFS(SUMMARY!D:D, SUMMARY!B:B, A71, SUMMARY!A:A, "Y3S PARDO"), 0)</f>
        <v>0</v>
      </c>
      <c r="L71" s="24">
        <f>IFERROR(SUMIFS(SUMMARY!D:D, SUMMARY!B:B, A71, SUMMARY!A:A, "LAPU-LAPU"), 0)</f>
        <v>0</v>
      </c>
      <c r="M71" s="24">
        <f>IFERROR(SUMIFS(SUMMARY!D:D, SUMMARY!B:B, A71, SUMMARY!A:A, "BACAYAN"), 0)</f>
        <v>0</v>
      </c>
      <c r="N71" s="24">
        <f>IFERROR(SUMIFS(SUMMARY!D:D, SUMMARY!B:B, A71, SUMMARY!A:A, "SAN FERNANDO MB"), 0)</f>
        <v>0</v>
      </c>
      <c r="O71" s="24">
        <f>IFERROR(SUMIFS(SUMMARY!D:D, SUMMARY!B:B, A71, SUMMARY!A:A, "Y3S SAN FERNANDO"), 0)</f>
        <v>0</v>
      </c>
      <c r="P71" s="24">
        <f>IFERROR(SUMIFS(SUMMARY!D:D, SUMMARY!B:B, A71, SUMMARY!A:A, "LILOAN"), 0)</f>
        <v>0</v>
      </c>
      <c r="Q71" s="24">
        <f>IFERROR(SUMIFS(SUMMARY!D:D, SUMMARY!B:B, A71, SUMMARY!A:A, "CORDOVA MB"), 0)</f>
        <v>0</v>
      </c>
      <c r="R71" s="24">
        <f>IFERROR(SUMIFS(SUMMARY!D:D, SUMMARY!B:B, A71, SUMMARY!A:A, "Y3S CORDOVA"), 0)</f>
        <v>0</v>
      </c>
      <c r="S71" s="24">
        <f>IFERROR(SUMIFS(SUMMARY!D:D, SUMMARY!B:B, A71, SUMMARY!A:A, "CLARIN"), 0)</f>
        <v>0</v>
      </c>
      <c r="T71" s="24">
        <f>IFERROR(SUMIFS(SUMMARY!D:D, SUMMARY!B:B, A71, SUMMARY!A:A, "TOLEDO"), 0)</f>
        <v>0</v>
      </c>
      <c r="U71" s="24">
        <f>IFERROR(SUMIFS(SUMMARY!D:D, SUMMARY!B:B, A71, SUMMARY!A:A, "UBAY"), 0)</f>
        <v>0</v>
      </c>
      <c r="V71" s="24">
        <f>IFERROR(SUMIFS(SUMMARY!D:D, SUMMARY!B:B, A71, SUMMARY!A:A, "CARMEN"), 0)</f>
        <v>0</v>
      </c>
      <c r="W71" s="24">
        <f>IFERROR(SUMIFS(SUMMARY!D:D, SUMMARY!B:B, A71, SUMMARY!A:A, "TUBIGON"), 0)</f>
        <v>0</v>
      </c>
      <c r="X71" s="24">
        <f>IFERROR(SUMIFS(SUMMARY!D:D, SUMMARY!B:B, A71, SUMMARY!A:A, "TALIBON"), 0)</f>
        <v>0</v>
      </c>
      <c r="Y71" s="24">
        <f>IFERROR(SUMIFS(SUMMARY!D:D, SUMMARY!B:B, A71, SUMMARY!A:A, "BOGO"), 0)</f>
        <v>0</v>
      </c>
      <c r="Z71" s="24">
        <f>IFERROR(SUMIFS(SUMMARY!D:D, SUMMARY!B:B, A71, SUMMARY!A:A, "BALAMBAN"), 0)</f>
        <v>1</v>
      </c>
      <c r="AA71" s="24">
        <f>IFERROR(SUMIFS(SUMMARY!D:D, SUMMARY!B:B, A71, SUMMARY!A:A, "Y3S BARILI"), 0)</f>
        <v>0</v>
      </c>
      <c r="AB71" s="24">
        <f>IFERROR(SUMIFS(SUMMARY!D:D, SUMMARY!B:B, A71, SUMMARY!A:A, "BARILI MB"), 0)</f>
        <v>0</v>
      </c>
      <c r="AC71" s="24">
        <f>IFERROR(SUMIFS(SUMMARY!D:D, SUMMARY!B:B, A71, SUMMARY!A:A, "SIERRA BULLONES"), 0)</f>
        <v>0</v>
      </c>
      <c r="AD71" s="24">
        <f>IFERROR(SUMIFS(SUMMARY!D:D, SUMMARY!B:B, A71, SUMMARY!A:A, "PITOGO"), 0)</f>
        <v>0</v>
      </c>
      <c r="AE71" s="24">
        <f>IFERROR(SUMIFS(SUMMARY!D:D, SUMMARY!B:B, A71, SUMMARY!A:A, "TAYUD CONSOLACION"), 0)</f>
        <v>0</v>
      </c>
      <c r="AF71" s="24">
        <f>IFERROR(SUMIFS(SUMMARY!D:D, SUMMARY!B:B, A71, SUMMARY!A:A, "PINAMUNGAJAN"), 0)</f>
        <v>0</v>
      </c>
      <c r="AG71" s="24">
        <f>IFERROR(SUMIFS(SUMMARY!D:D, SUMMARY!B:B, A71, SUMMARY!A:A, "CANDIJAY"), 0)</f>
        <v>0</v>
      </c>
      <c r="AH71" s="24">
        <f>IFERROR(SUMIFS(SUMMARY!D:D, SUMMARY!B:B, A71, SUMMARY!A:A, "YATI LILOAN"), 0)</f>
        <v>0</v>
      </c>
      <c r="AI71" s="27">
        <f>IFERROR(SUMIFS(SUMMARY!D:D, SUMMARY!B:B, A71, SUMMARY!A:A, "CAMOTES"), 0)</f>
        <v>0</v>
      </c>
      <c r="AJ71" s="28">
        <f t="shared" si="1"/>
        <v>1</v>
      </c>
    </row>
    <row r="72" ht="15.75" customHeight="1">
      <c r="A72" s="23" t="s">
        <v>712</v>
      </c>
      <c r="B72" s="29" t="s">
        <v>713</v>
      </c>
      <c r="C72" s="24" t="s">
        <v>703</v>
      </c>
      <c r="D72" s="25">
        <f>IFERROR(SUMIFS(SUMMARY!D:D, SUMMARY!B:B, A72, SUMMARY!A:A, "ADMIN"), 0)</f>
        <v>0</v>
      </c>
      <c r="E72" s="25">
        <f>IFERROR(SUMIFS(SUMMARY!D:D, SUMMARY!B:B, A72, SUMMARY!A:A, "WAREHOUSE"), 0)</f>
        <v>0</v>
      </c>
      <c r="F72" s="24">
        <f>IFERROR(SUMIFS(SUMMARY!D:D, SUMMARY!B:B, A72, SUMMARY!A:A, "LAGTANG"), 0)</f>
        <v>0</v>
      </c>
      <c r="G72" s="26">
        <f>IFERROR(SUMIFS(SUMMARY!D:D, SUMMARY!B:B, A72, SUMMARY!A:A, "V-RAMA"), 0)</f>
        <v>1</v>
      </c>
      <c r="H72" s="24">
        <f>IFERROR(SUMIFS(SUMMARY!D:D, SUMMARY!B:B, A72, SUMMARY!A:A, "BULACAO"), 0)</f>
        <v>0</v>
      </c>
      <c r="I72" s="24">
        <f>IFERROR(SUMIFS(SUMMARY!D:D, SUMMARY!B:B, A72, SUMMARY!A:A, "Y3S TALISAY"), 0)</f>
        <v>0</v>
      </c>
      <c r="J72" s="24">
        <f>IFERROR(SUMIFS(SUMMARY!D:D, SUMMARY!B:B, A72, SUMMARY!A:A, "MINGLANILLA"), 0)</f>
        <v>0</v>
      </c>
      <c r="K72" s="24">
        <f>IFERROR(SUMIFS(SUMMARY!D:D, SUMMARY!B:B, A72, SUMMARY!A:A, "Y3S PARDO"), 0)</f>
        <v>0</v>
      </c>
      <c r="L72" s="24">
        <f>IFERROR(SUMIFS(SUMMARY!D:D, SUMMARY!B:B, A72, SUMMARY!A:A, "LAPU-LAPU"), 0)</f>
        <v>0</v>
      </c>
      <c r="M72" s="24">
        <f>IFERROR(SUMIFS(SUMMARY!D:D, SUMMARY!B:B, A72, SUMMARY!A:A, "BACAYAN"), 0)</f>
        <v>0</v>
      </c>
      <c r="N72" s="24">
        <f>IFERROR(SUMIFS(SUMMARY!D:D, SUMMARY!B:B, A72, SUMMARY!A:A, "SAN FERNANDO MB"), 0)</f>
        <v>0</v>
      </c>
      <c r="O72" s="24">
        <f>IFERROR(SUMIFS(SUMMARY!D:D, SUMMARY!B:B, A72, SUMMARY!A:A, "Y3S SAN FERNANDO"), 0)</f>
        <v>0</v>
      </c>
      <c r="P72" s="24">
        <f>IFERROR(SUMIFS(SUMMARY!D:D, SUMMARY!B:B, A72, SUMMARY!A:A, "LILOAN"), 0)</f>
        <v>0</v>
      </c>
      <c r="Q72" s="24">
        <f>IFERROR(SUMIFS(SUMMARY!D:D, SUMMARY!B:B, A72, SUMMARY!A:A, "CORDOVA MB"), 0)</f>
        <v>0</v>
      </c>
      <c r="R72" s="24">
        <f>IFERROR(SUMIFS(SUMMARY!D:D, SUMMARY!B:B, A72, SUMMARY!A:A, "Y3S CORDOVA"), 0)</f>
        <v>0</v>
      </c>
      <c r="S72" s="24">
        <f>IFERROR(SUMIFS(SUMMARY!D:D, SUMMARY!B:B, A72, SUMMARY!A:A, "CLARIN"), 0)</f>
        <v>0</v>
      </c>
      <c r="T72" s="24">
        <f>IFERROR(SUMIFS(SUMMARY!D:D, SUMMARY!B:B, A72, SUMMARY!A:A, "TOLEDO"), 0)</f>
        <v>0</v>
      </c>
      <c r="U72" s="24">
        <f>IFERROR(SUMIFS(SUMMARY!D:D, SUMMARY!B:B, A72, SUMMARY!A:A, "UBAY"), 0)</f>
        <v>0</v>
      </c>
      <c r="V72" s="24">
        <f>IFERROR(SUMIFS(SUMMARY!D:D, SUMMARY!B:B, A72, SUMMARY!A:A, "CARMEN"), 0)</f>
        <v>0</v>
      </c>
      <c r="W72" s="24">
        <f>IFERROR(SUMIFS(SUMMARY!D:D, SUMMARY!B:B, A72, SUMMARY!A:A, "TUBIGON"), 0)</f>
        <v>0</v>
      </c>
      <c r="X72" s="24">
        <f>IFERROR(SUMIFS(SUMMARY!D:D, SUMMARY!B:B, A72, SUMMARY!A:A, "TALIBON"), 0)</f>
        <v>0</v>
      </c>
      <c r="Y72" s="24">
        <f>IFERROR(SUMIFS(SUMMARY!D:D, SUMMARY!B:B, A72, SUMMARY!A:A, "BOGO"), 0)</f>
        <v>0</v>
      </c>
      <c r="Z72" s="24">
        <f>IFERROR(SUMIFS(SUMMARY!D:D, SUMMARY!B:B, A72, SUMMARY!A:A, "BALAMBAN"), 0)</f>
        <v>0</v>
      </c>
      <c r="AA72" s="24">
        <f>IFERROR(SUMIFS(SUMMARY!D:D, SUMMARY!B:B, A72, SUMMARY!A:A, "Y3S BARILI"), 0)</f>
        <v>0</v>
      </c>
      <c r="AB72" s="24">
        <f>IFERROR(SUMIFS(SUMMARY!D:D, SUMMARY!B:B, A72, SUMMARY!A:A, "BARILI MB"), 0)</f>
        <v>0</v>
      </c>
      <c r="AC72" s="24">
        <f>IFERROR(SUMIFS(SUMMARY!D:D, SUMMARY!B:B, A72, SUMMARY!A:A, "SIERRA BULLONES"), 0)</f>
        <v>0</v>
      </c>
      <c r="AD72" s="24">
        <f>IFERROR(SUMIFS(SUMMARY!D:D, SUMMARY!B:B, A72, SUMMARY!A:A, "PITOGO"), 0)</f>
        <v>0</v>
      </c>
      <c r="AE72" s="24">
        <f>IFERROR(SUMIFS(SUMMARY!D:D, SUMMARY!B:B, A72, SUMMARY!A:A, "TAYUD CONSOLACION"), 0)</f>
        <v>0</v>
      </c>
      <c r="AF72" s="24">
        <f>IFERROR(SUMIFS(SUMMARY!D:D, SUMMARY!B:B, A72, SUMMARY!A:A, "PINAMUNGAJAN"), 0)</f>
        <v>0</v>
      </c>
      <c r="AG72" s="24">
        <f>IFERROR(SUMIFS(SUMMARY!D:D, SUMMARY!B:B, A72, SUMMARY!A:A, "CANDIJAY"), 0)</f>
        <v>0</v>
      </c>
      <c r="AH72" s="24">
        <f>IFERROR(SUMIFS(SUMMARY!D:D, SUMMARY!B:B, A72, SUMMARY!A:A, "YATI LILOAN"), 0)</f>
        <v>0</v>
      </c>
      <c r="AI72" s="27">
        <f>IFERROR(SUMIFS(SUMMARY!D:D, SUMMARY!B:B, A72, SUMMARY!A:A, "CAMOTES"), 0)</f>
        <v>0</v>
      </c>
      <c r="AJ72" s="28">
        <f t="shared" si="1"/>
        <v>1</v>
      </c>
    </row>
    <row r="73" ht="15.75" customHeight="1">
      <c r="A73" s="23" t="s">
        <v>714</v>
      </c>
      <c r="B73" s="29" t="s">
        <v>715</v>
      </c>
      <c r="C73" s="24" t="s">
        <v>703</v>
      </c>
      <c r="D73" s="25">
        <f>IFERROR(SUMIFS(SUMMARY!D:D, SUMMARY!B:B, A73, SUMMARY!A:A, "ADMIN"), 0)</f>
        <v>0</v>
      </c>
      <c r="E73" s="25">
        <f>IFERROR(SUMIFS(SUMMARY!D:D, SUMMARY!B:B, A73, SUMMARY!A:A, "WAREHOUSE"), 0)</f>
        <v>0</v>
      </c>
      <c r="F73" s="24">
        <f>IFERROR(SUMIFS(SUMMARY!D:D, SUMMARY!B:B, A73, SUMMARY!A:A, "LAGTANG"), 0)</f>
        <v>0</v>
      </c>
      <c r="G73" s="26">
        <f>IFERROR(SUMIFS(SUMMARY!D:D, SUMMARY!B:B, A73, SUMMARY!A:A, "V-RAMA"), 0)</f>
        <v>0</v>
      </c>
      <c r="H73" s="24">
        <f>IFERROR(SUMIFS(SUMMARY!D:D, SUMMARY!B:B, A73, SUMMARY!A:A, "BULACAO"), 0)</f>
        <v>0</v>
      </c>
      <c r="I73" s="24">
        <f>IFERROR(SUMIFS(SUMMARY!D:D, SUMMARY!B:B, A73, SUMMARY!A:A, "Y3S TALISAY"), 0)</f>
        <v>0</v>
      </c>
      <c r="J73" s="24">
        <f>IFERROR(SUMIFS(SUMMARY!D:D, SUMMARY!B:B, A73, SUMMARY!A:A, "MINGLANILLA"), 0)</f>
        <v>0</v>
      </c>
      <c r="K73" s="24">
        <f>IFERROR(SUMIFS(SUMMARY!D:D, SUMMARY!B:B, A73, SUMMARY!A:A, "Y3S PARDO"), 0)</f>
        <v>0</v>
      </c>
      <c r="L73" s="24">
        <f>IFERROR(SUMIFS(SUMMARY!D:D, SUMMARY!B:B, A73, SUMMARY!A:A, "LAPU-LAPU"), 0)</f>
        <v>0</v>
      </c>
      <c r="M73" s="24">
        <f>IFERROR(SUMIFS(SUMMARY!D:D, SUMMARY!B:B, A73, SUMMARY!A:A, "BACAYAN"), 0)</f>
        <v>0</v>
      </c>
      <c r="N73" s="24">
        <f>IFERROR(SUMIFS(SUMMARY!D:D, SUMMARY!B:B, A73, SUMMARY!A:A, "SAN FERNANDO MB"), 0)</f>
        <v>0</v>
      </c>
      <c r="O73" s="24">
        <f>IFERROR(SUMIFS(SUMMARY!D:D, SUMMARY!B:B, A73, SUMMARY!A:A, "Y3S SAN FERNANDO"), 0)</f>
        <v>0</v>
      </c>
      <c r="P73" s="24">
        <f>IFERROR(SUMIFS(SUMMARY!D:D, SUMMARY!B:B, A73, SUMMARY!A:A, "LILOAN"), 0)</f>
        <v>0</v>
      </c>
      <c r="Q73" s="24">
        <f>IFERROR(SUMIFS(SUMMARY!D:D, SUMMARY!B:B, A73, SUMMARY!A:A, "CORDOVA MB"), 0)</f>
        <v>0</v>
      </c>
      <c r="R73" s="24">
        <f>IFERROR(SUMIFS(SUMMARY!D:D, SUMMARY!B:B, A73, SUMMARY!A:A, "Y3S CORDOVA"), 0)</f>
        <v>0</v>
      </c>
      <c r="S73" s="24">
        <f>IFERROR(SUMIFS(SUMMARY!D:D, SUMMARY!B:B, A73, SUMMARY!A:A, "CLARIN"), 0)</f>
        <v>0</v>
      </c>
      <c r="T73" s="24">
        <f>IFERROR(SUMIFS(SUMMARY!D:D, SUMMARY!B:B, A73, SUMMARY!A:A, "TOLEDO"), 0)</f>
        <v>0</v>
      </c>
      <c r="U73" s="24">
        <f>IFERROR(SUMIFS(SUMMARY!D:D, SUMMARY!B:B, A73, SUMMARY!A:A, "UBAY"), 0)</f>
        <v>0</v>
      </c>
      <c r="V73" s="24">
        <f>IFERROR(SUMIFS(SUMMARY!D:D, SUMMARY!B:B, A73, SUMMARY!A:A, "CARMEN"), 0)</f>
        <v>0</v>
      </c>
      <c r="W73" s="24">
        <f>IFERROR(SUMIFS(SUMMARY!D:D, SUMMARY!B:B, A73, SUMMARY!A:A, "TUBIGON"), 0)</f>
        <v>0</v>
      </c>
      <c r="X73" s="24">
        <f>IFERROR(SUMIFS(SUMMARY!D:D, SUMMARY!B:B, A73, SUMMARY!A:A, "TALIBON"), 0)</f>
        <v>0</v>
      </c>
      <c r="Y73" s="24">
        <f>IFERROR(SUMIFS(SUMMARY!D:D, SUMMARY!B:B, A73, SUMMARY!A:A, "BOGO"), 0)</f>
        <v>0</v>
      </c>
      <c r="Z73" s="24">
        <f>IFERROR(SUMIFS(SUMMARY!D:D, SUMMARY!B:B, A73, SUMMARY!A:A, "BALAMBAN"), 0)</f>
        <v>1</v>
      </c>
      <c r="AA73" s="24">
        <f>IFERROR(SUMIFS(SUMMARY!D:D, SUMMARY!B:B, A73, SUMMARY!A:A, "Y3S BARILI"), 0)</f>
        <v>1</v>
      </c>
      <c r="AB73" s="24">
        <f>IFERROR(SUMIFS(SUMMARY!D:D, SUMMARY!B:B, A73, SUMMARY!A:A, "BARILI MB"), 0)</f>
        <v>0</v>
      </c>
      <c r="AC73" s="24">
        <f>IFERROR(SUMIFS(SUMMARY!D:D, SUMMARY!B:B, A73, SUMMARY!A:A, "SIERRA BULLONES"), 0)</f>
        <v>0</v>
      </c>
      <c r="AD73" s="24">
        <f>IFERROR(SUMIFS(SUMMARY!D:D, SUMMARY!B:B, A73, SUMMARY!A:A, "PITOGO"), 0)</f>
        <v>0</v>
      </c>
      <c r="AE73" s="24">
        <f>IFERROR(SUMIFS(SUMMARY!D:D, SUMMARY!B:B, A73, SUMMARY!A:A, "TAYUD CONSOLACION"), 0)</f>
        <v>0</v>
      </c>
      <c r="AF73" s="24">
        <f>IFERROR(SUMIFS(SUMMARY!D:D, SUMMARY!B:B, A73, SUMMARY!A:A, "PINAMUNGAJAN"), 0)</f>
        <v>0</v>
      </c>
      <c r="AG73" s="24">
        <f>IFERROR(SUMIFS(SUMMARY!D:D, SUMMARY!B:B, A73, SUMMARY!A:A, "CANDIJAY"), 0)</f>
        <v>0</v>
      </c>
      <c r="AH73" s="24">
        <f>IFERROR(SUMIFS(SUMMARY!D:D, SUMMARY!B:B, A73, SUMMARY!A:A, "YATI LILOAN"), 0)</f>
        <v>0</v>
      </c>
      <c r="AI73" s="27">
        <f>IFERROR(SUMIFS(SUMMARY!D:D, SUMMARY!B:B, A73, SUMMARY!A:A, "CAMOTES"), 0)</f>
        <v>0</v>
      </c>
      <c r="AJ73" s="28">
        <f t="shared" si="1"/>
        <v>2</v>
      </c>
    </row>
    <row r="74" ht="15.75" customHeight="1">
      <c r="A74" s="23" t="s">
        <v>716</v>
      </c>
      <c r="B74" s="29" t="s">
        <v>717</v>
      </c>
      <c r="C74" s="24" t="s">
        <v>703</v>
      </c>
      <c r="D74" s="25">
        <f>IFERROR(SUMIFS(SUMMARY!D:D, SUMMARY!B:B, A74, SUMMARY!A:A, "ADMIN"), 0)</f>
        <v>1</v>
      </c>
      <c r="E74" s="25">
        <f>IFERROR(SUMIFS(SUMMARY!D:D, SUMMARY!B:B, A74, SUMMARY!A:A, "WAREHOUSE"), 0)</f>
        <v>0</v>
      </c>
      <c r="F74" s="24">
        <f>IFERROR(SUMIFS(SUMMARY!D:D, SUMMARY!B:B, A74, SUMMARY!A:A, "LAGTANG"), 0)</f>
        <v>0</v>
      </c>
      <c r="G74" s="26">
        <f>IFERROR(SUMIFS(SUMMARY!D:D, SUMMARY!B:B, A74, SUMMARY!A:A, "V-RAMA"), 0)</f>
        <v>1</v>
      </c>
      <c r="H74" s="24">
        <f>IFERROR(SUMIFS(SUMMARY!D:D, SUMMARY!B:B, A74, SUMMARY!A:A, "BULACAO"), 0)</f>
        <v>0</v>
      </c>
      <c r="I74" s="24">
        <f>IFERROR(SUMIFS(SUMMARY!D:D, SUMMARY!B:B, A74, SUMMARY!A:A, "Y3S TALISAY"), 0)</f>
        <v>0</v>
      </c>
      <c r="J74" s="24">
        <f>IFERROR(SUMIFS(SUMMARY!D:D, SUMMARY!B:B, A74, SUMMARY!A:A, "MINGLANILLA"), 0)</f>
        <v>0</v>
      </c>
      <c r="K74" s="24">
        <f>IFERROR(SUMIFS(SUMMARY!D:D, SUMMARY!B:B, A74, SUMMARY!A:A, "Y3S PARDO"), 0)</f>
        <v>0</v>
      </c>
      <c r="L74" s="24">
        <f>IFERROR(SUMIFS(SUMMARY!D:D, SUMMARY!B:B, A74, SUMMARY!A:A, "LAPU-LAPU"), 0)</f>
        <v>0</v>
      </c>
      <c r="M74" s="24">
        <f>IFERROR(SUMIFS(SUMMARY!D:D, SUMMARY!B:B, A74, SUMMARY!A:A, "BACAYAN"), 0)</f>
        <v>1</v>
      </c>
      <c r="N74" s="24">
        <f>IFERROR(SUMIFS(SUMMARY!D:D, SUMMARY!B:B, A74, SUMMARY!A:A, "SAN FERNANDO MB"), 0)</f>
        <v>0</v>
      </c>
      <c r="O74" s="24">
        <f>IFERROR(SUMIFS(SUMMARY!D:D, SUMMARY!B:B, A74, SUMMARY!A:A, "Y3S SAN FERNANDO"), 0)</f>
        <v>0</v>
      </c>
      <c r="P74" s="24">
        <f>IFERROR(SUMIFS(SUMMARY!D:D, SUMMARY!B:B, A74, SUMMARY!A:A, "LILOAN"), 0)</f>
        <v>0</v>
      </c>
      <c r="Q74" s="24">
        <f>IFERROR(SUMIFS(SUMMARY!D:D, SUMMARY!B:B, A74, SUMMARY!A:A, "CORDOVA MB"), 0)</f>
        <v>0</v>
      </c>
      <c r="R74" s="24">
        <f>IFERROR(SUMIFS(SUMMARY!D:D, SUMMARY!B:B, A74, SUMMARY!A:A, "Y3S CORDOVA"), 0)</f>
        <v>1</v>
      </c>
      <c r="S74" s="24">
        <f>IFERROR(SUMIFS(SUMMARY!D:D, SUMMARY!B:B, A74, SUMMARY!A:A, "CLARIN"), 0)</f>
        <v>1</v>
      </c>
      <c r="T74" s="24">
        <f>IFERROR(SUMIFS(SUMMARY!D:D, SUMMARY!B:B, A74, SUMMARY!A:A, "TOLEDO"), 0)</f>
        <v>0</v>
      </c>
      <c r="U74" s="24">
        <f>IFERROR(SUMIFS(SUMMARY!D:D, SUMMARY!B:B, A74, SUMMARY!A:A, "UBAY"), 0)</f>
        <v>1</v>
      </c>
      <c r="V74" s="24">
        <f>IFERROR(SUMIFS(SUMMARY!D:D, SUMMARY!B:B, A74, SUMMARY!A:A, "CARMEN"), 0)</f>
        <v>0</v>
      </c>
      <c r="W74" s="24">
        <f>IFERROR(SUMIFS(SUMMARY!D:D, SUMMARY!B:B, A74, SUMMARY!A:A, "TUBIGON"), 0)</f>
        <v>0</v>
      </c>
      <c r="X74" s="24">
        <f>IFERROR(SUMIFS(SUMMARY!D:D, SUMMARY!B:B, A74, SUMMARY!A:A, "TALIBON"), 0)</f>
        <v>0</v>
      </c>
      <c r="Y74" s="24">
        <f>IFERROR(SUMIFS(SUMMARY!D:D, SUMMARY!B:B, A74, SUMMARY!A:A, "BOGO"), 0)</f>
        <v>0</v>
      </c>
      <c r="Z74" s="24">
        <f>IFERROR(SUMIFS(SUMMARY!D:D, SUMMARY!B:B, A74, SUMMARY!A:A, "BALAMBAN"), 0)</f>
        <v>0</v>
      </c>
      <c r="AA74" s="24">
        <f>IFERROR(SUMIFS(SUMMARY!D:D, SUMMARY!B:B, A74, SUMMARY!A:A, "Y3S BARILI"), 0)</f>
        <v>0</v>
      </c>
      <c r="AB74" s="24">
        <f>IFERROR(SUMIFS(SUMMARY!D:D, SUMMARY!B:B, A74, SUMMARY!A:A, "BARILI MB"), 0)</f>
        <v>0</v>
      </c>
      <c r="AC74" s="24">
        <f>IFERROR(SUMIFS(SUMMARY!D:D, SUMMARY!B:B, A74, SUMMARY!A:A, "SIERRA BULLONES"), 0)</f>
        <v>0</v>
      </c>
      <c r="AD74" s="24">
        <f>IFERROR(SUMIFS(SUMMARY!D:D, SUMMARY!B:B, A74, SUMMARY!A:A, "PITOGO"), 0)</f>
        <v>0</v>
      </c>
      <c r="AE74" s="24">
        <f>IFERROR(SUMIFS(SUMMARY!D:D, SUMMARY!B:B, A74, SUMMARY!A:A, "TAYUD CONSOLACION"), 0)</f>
        <v>0</v>
      </c>
      <c r="AF74" s="24">
        <f>IFERROR(SUMIFS(SUMMARY!D:D, SUMMARY!B:B, A74, SUMMARY!A:A, "PINAMUNGAJAN"), 0)</f>
        <v>0</v>
      </c>
      <c r="AG74" s="24">
        <f>IFERROR(SUMIFS(SUMMARY!D:D, SUMMARY!B:B, A74, SUMMARY!A:A, "CANDIJAY"), 0)</f>
        <v>0</v>
      </c>
      <c r="AH74" s="24">
        <f>IFERROR(SUMIFS(SUMMARY!D:D, SUMMARY!B:B, A74, SUMMARY!A:A, "YATI LILOAN"), 0)</f>
        <v>0</v>
      </c>
      <c r="AI74" s="27">
        <f>IFERROR(SUMIFS(SUMMARY!D:D, SUMMARY!B:B, A74, SUMMARY!A:A, "CAMOTES"), 0)</f>
        <v>0</v>
      </c>
      <c r="AJ74" s="28">
        <f t="shared" si="1"/>
        <v>6</v>
      </c>
    </row>
    <row r="75" ht="15.75" customHeight="1">
      <c r="A75" s="23" t="s">
        <v>718</v>
      </c>
      <c r="B75" s="29" t="s">
        <v>719</v>
      </c>
      <c r="C75" s="24" t="s">
        <v>703</v>
      </c>
      <c r="D75" s="25">
        <f>IFERROR(SUMIFS(SUMMARY!D:D, SUMMARY!B:B, A75, SUMMARY!A:A, "ADMIN"), 0)</f>
        <v>0</v>
      </c>
      <c r="E75" s="25">
        <f>IFERROR(SUMIFS(SUMMARY!D:D, SUMMARY!B:B, A75, SUMMARY!A:A, "WAREHOUSE"), 0)</f>
        <v>0</v>
      </c>
      <c r="F75" s="24">
        <f>IFERROR(SUMIFS(SUMMARY!D:D, SUMMARY!B:B, A75, SUMMARY!A:A, "LAGTANG"), 0)</f>
        <v>0</v>
      </c>
      <c r="G75" s="26">
        <f>IFERROR(SUMIFS(SUMMARY!D:D, SUMMARY!B:B, A75, SUMMARY!A:A, "V-RAMA"), 0)</f>
        <v>0</v>
      </c>
      <c r="H75" s="24">
        <f>IFERROR(SUMIFS(SUMMARY!D:D, SUMMARY!B:B, A75, SUMMARY!A:A, "BULACAO"), 0)</f>
        <v>0</v>
      </c>
      <c r="I75" s="24">
        <f>IFERROR(SUMIFS(SUMMARY!D:D, SUMMARY!B:B, A75, SUMMARY!A:A, "Y3S TALISAY"), 0)</f>
        <v>0</v>
      </c>
      <c r="J75" s="24">
        <f>IFERROR(SUMIFS(SUMMARY!D:D, SUMMARY!B:B, A75, SUMMARY!A:A, "MINGLANILLA"), 0)</f>
        <v>0</v>
      </c>
      <c r="K75" s="24">
        <f>IFERROR(SUMIFS(SUMMARY!D:D, SUMMARY!B:B, A75, SUMMARY!A:A, "Y3S PARDO"), 0)</f>
        <v>0</v>
      </c>
      <c r="L75" s="24">
        <f>IFERROR(SUMIFS(SUMMARY!D:D, SUMMARY!B:B, A75, SUMMARY!A:A, "LAPU-LAPU"), 0)</f>
        <v>0</v>
      </c>
      <c r="M75" s="24">
        <f>IFERROR(SUMIFS(SUMMARY!D:D, SUMMARY!B:B, A75, SUMMARY!A:A, "BACAYAN"), 0)</f>
        <v>0</v>
      </c>
      <c r="N75" s="24">
        <f>IFERROR(SUMIFS(SUMMARY!D:D, SUMMARY!B:B, A75, SUMMARY!A:A, "SAN FERNANDO MB"), 0)</f>
        <v>0</v>
      </c>
      <c r="O75" s="24">
        <f>IFERROR(SUMIFS(SUMMARY!D:D, SUMMARY!B:B, A75, SUMMARY!A:A, "Y3S SAN FERNANDO"), 0)</f>
        <v>0</v>
      </c>
      <c r="P75" s="24">
        <f>IFERROR(SUMIFS(SUMMARY!D:D, SUMMARY!B:B, A75, SUMMARY!A:A, "LILOAN"), 0)</f>
        <v>0</v>
      </c>
      <c r="Q75" s="24">
        <f>IFERROR(SUMIFS(SUMMARY!D:D, SUMMARY!B:B, A75, SUMMARY!A:A, "CORDOVA MB"), 0)</f>
        <v>0</v>
      </c>
      <c r="R75" s="24">
        <f>IFERROR(SUMIFS(SUMMARY!D:D, SUMMARY!B:B, A75, SUMMARY!A:A, "Y3S CORDOVA"), 0)</f>
        <v>0</v>
      </c>
      <c r="S75" s="24">
        <f>IFERROR(SUMIFS(SUMMARY!D:D, SUMMARY!B:B, A75, SUMMARY!A:A, "CLARIN"), 0)</f>
        <v>0</v>
      </c>
      <c r="T75" s="24">
        <f>IFERROR(SUMIFS(SUMMARY!D:D, SUMMARY!B:B, A75, SUMMARY!A:A, "TOLEDO"), 0)</f>
        <v>0</v>
      </c>
      <c r="U75" s="24">
        <f>IFERROR(SUMIFS(SUMMARY!D:D, SUMMARY!B:B, A75, SUMMARY!A:A, "UBAY"), 0)</f>
        <v>0</v>
      </c>
      <c r="V75" s="24">
        <f>IFERROR(SUMIFS(SUMMARY!D:D, SUMMARY!B:B, A75, SUMMARY!A:A, "CARMEN"), 0)</f>
        <v>0</v>
      </c>
      <c r="W75" s="24">
        <f>IFERROR(SUMIFS(SUMMARY!D:D, SUMMARY!B:B, A75, SUMMARY!A:A, "TUBIGON"), 0)</f>
        <v>0</v>
      </c>
      <c r="X75" s="24">
        <f>IFERROR(SUMIFS(SUMMARY!D:D, SUMMARY!B:B, A75, SUMMARY!A:A, "TALIBON"), 0)</f>
        <v>0</v>
      </c>
      <c r="Y75" s="24">
        <f>IFERROR(SUMIFS(SUMMARY!D:D, SUMMARY!B:B, A75, SUMMARY!A:A, "BOGO"), 0)</f>
        <v>0</v>
      </c>
      <c r="Z75" s="24">
        <f>IFERROR(SUMIFS(SUMMARY!D:D, SUMMARY!B:B, A75, SUMMARY!A:A, "BALAMBAN"), 0)</f>
        <v>0</v>
      </c>
      <c r="AA75" s="24">
        <f>IFERROR(SUMIFS(SUMMARY!D:D, SUMMARY!B:B, A75, SUMMARY!A:A, "Y3S BARILI"), 0)</f>
        <v>0</v>
      </c>
      <c r="AB75" s="24">
        <f>IFERROR(SUMIFS(SUMMARY!D:D, SUMMARY!B:B, A75, SUMMARY!A:A, "BARILI MB"), 0)</f>
        <v>0</v>
      </c>
      <c r="AC75" s="24">
        <f>IFERROR(SUMIFS(SUMMARY!D:D, SUMMARY!B:B, A75, SUMMARY!A:A, "SIERRA BULLONES"), 0)</f>
        <v>0</v>
      </c>
      <c r="AD75" s="24">
        <f>IFERROR(SUMIFS(SUMMARY!D:D, SUMMARY!B:B, A75, SUMMARY!A:A, "PITOGO"), 0)</f>
        <v>0</v>
      </c>
      <c r="AE75" s="24">
        <f>IFERROR(SUMIFS(SUMMARY!D:D, SUMMARY!B:B, A75, SUMMARY!A:A, "TAYUD CONSOLACION"), 0)</f>
        <v>0</v>
      </c>
      <c r="AF75" s="24">
        <f>IFERROR(SUMIFS(SUMMARY!D:D, SUMMARY!B:B, A75, SUMMARY!A:A, "PINAMUNGAJAN"), 0)</f>
        <v>0</v>
      </c>
      <c r="AG75" s="24">
        <f>IFERROR(SUMIFS(SUMMARY!D:D, SUMMARY!B:B, A75, SUMMARY!A:A, "CANDIJAY"), 0)</f>
        <v>0</v>
      </c>
      <c r="AH75" s="24">
        <f>IFERROR(SUMIFS(SUMMARY!D:D, SUMMARY!B:B, A75, SUMMARY!A:A, "YATI LILOAN"), 0)</f>
        <v>0</v>
      </c>
      <c r="AI75" s="27">
        <f>IFERROR(SUMIFS(SUMMARY!D:D, SUMMARY!B:B, A75, SUMMARY!A:A, "CAMOTES"), 0)</f>
        <v>0</v>
      </c>
      <c r="AJ75" s="28">
        <f t="shared" si="1"/>
        <v>0</v>
      </c>
    </row>
    <row r="76" ht="15.75" customHeight="1">
      <c r="A76" s="23" t="s">
        <v>720</v>
      </c>
      <c r="B76" s="23" t="s">
        <v>721</v>
      </c>
      <c r="C76" s="24" t="s">
        <v>722</v>
      </c>
      <c r="D76" s="25">
        <f>IFERROR(SUMIFS(SUMMARY!D:D, SUMMARY!B:B, A76, SUMMARY!A:A, "ADMIN"), 0)</f>
        <v>0</v>
      </c>
      <c r="E76" s="25">
        <f>IFERROR(SUMIFS(SUMMARY!D:D, SUMMARY!B:B, A76, SUMMARY!A:A, "WAREHOUSE"), 0)</f>
        <v>0</v>
      </c>
      <c r="F76" s="24">
        <f>IFERROR(SUMIFS(SUMMARY!D:D, SUMMARY!B:B, A76, SUMMARY!A:A, "LAGTANG"), 0)</f>
        <v>0</v>
      </c>
      <c r="G76" s="26">
        <f>IFERROR(SUMIFS(SUMMARY!D:D, SUMMARY!B:B, A76, SUMMARY!A:A, "V-RAMA"), 0)</f>
        <v>0</v>
      </c>
      <c r="H76" s="24">
        <f>IFERROR(SUMIFS(SUMMARY!D:D, SUMMARY!B:B, A76, SUMMARY!A:A, "BULACAO"), 0)</f>
        <v>0</v>
      </c>
      <c r="I76" s="24">
        <f>IFERROR(SUMIFS(SUMMARY!D:D, SUMMARY!B:B, A76, SUMMARY!A:A, "Y3S TALISAY"), 0)</f>
        <v>0</v>
      </c>
      <c r="J76" s="24">
        <f>IFERROR(SUMIFS(SUMMARY!D:D, SUMMARY!B:B, A76, SUMMARY!A:A, "MINGLANILLA"), 0)</f>
        <v>2</v>
      </c>
      <c r="K76" s="24">
        <f>IFERROR(SUMIFS(SUMMARY!D:D, SUMMARY!B:B, A76, SUMMARY!A:A, "Y3S PARDO"), 0)</f>
        <v>0</v>
      </c>
      <c r="L76" s="24">
        <f>IFERROR(SUMIFS(SUMMARY!D:D, SUMMARY!B:B, A76, SUMMARY!A:A, "LAPU-LAPU"), 0)</f>
        <v>0</v>
      </c>
      <c r="M76" s="24">
        <f>IFERROR(SUMIFS(SUMMARY!D:D, SUMMARY!B:B, A76, SUMMARY!A:A, "BACAYAN"), 0)</f>
        <v>0</v>
      </c>
      <c r="N76" s="24">
        <f>IFERROR(SUMIFS(SUMMARY!D:D, SUMMARY!B:B, A76, SUMMARY!A:A, "SAN FERNANDO MB"), 0)</f>
        <v>0</v>
      </c>
      <c r="O76" s="24">
        <f>IFERROR(SUMIFS(SUMMARY!D:D, SUMMARY!B:B, A76, SUMMARY!A:A, "Y3S SAN FERNANDO"), 0)</f>
        <v>0</v>
      </c>
      <c r="P76" s="24">
        <f>IFERROR(SUMIFS(SUMMARY!D:D, SUMMARY!B:B, A76, SUMMARY!A:A, "LILOAN"), 0)</f>
        <v>0</v>
      </c>
      <c r="Q76" s="24">
        <f>IFERROR(SUMIFS(SUMMARY!D:D, SUMMARY!B:B, A76, SUMMARY!A:A, "CORDOVA MB"), 0)</f>
        <v>0</v>
      </c>
      <c r="R76" s="24">
        <f>IFERROR(SUMIFS(SUMMARY!D:D, SUMMARY!B:B, A76, SUMMARY!A:A, "Y3S CORDOVA"), 0)</f>
        <v>0</v>
      </c>
      <c r="S76" s="24">
        <f>IFERROR(SUMIFS(SUMMARY!D:D, SUMMARY!B:B, A76, SUMMARY!A:A, "CLARIN"), 0)</f>
        <v>1</v>
      </c>
      <c r="T76" s="24">
        <f>IFERROR(SUMIFS(SUMMARY!D:D, SUMMARY!B:B, A76, SUMMARY!A:A, "TOLEDO"), 0)</f>
        <v>0</v>
      </c>
      <c r="U76" s="24">
        <f>IFERROR(SUMIFS(SUMMARY!D:D, SUMMARY!B:B, A76, SUMMARY!A:A, "UBAY"), 0)</f>
        <v>0</v>
      </c>
      <c r="V76" s="24">
        <f>IFERROR(SUMIFS(SUMMARY!D:D, SUMMARY!B:B, A76, SUMMARY!A:A, "CARMEN"), 0)</f>
        <v>0</v>
      </c>
      <c r="W76" s="24">
        <f>IFERROR(SUMIFS(SUMMARY!D:D, SUMMARY!B:B, A76, SUMMARY!A:A, "TUBIGON"), 0)</f>
        <v>0</v>
      </c>
      <c r="X76" s="24">
        <f>IFERROR(SUMIFS(SUMMARY!D:D, SUMMARY!B:B, A76, SUMMARY!A:A, "TALIBON"), 0)</f>
        <v>0</v>
      </c>
      <c r="Y76" s="24">
        <f>IFERROR(SUMIFS(SUMMARY!D:D, SUMMARY!B:B, A76, SUMMARY!A:A, "BOGO"), 0)</f>
        <v>0</v>
      </c>
      <c r="Z76" s="24">
        <f>IFERROR(SUMIFS(SUMMARY!D:D, SUMMARY!B:B, A76, SUMMARY!A:A, "BALAMBAN"), 0)</f>
        <v>0</v>
      </c>
      <c r="AA76" s="24">
        <f>IFERROR(SUMIFS(SUMMARY!D:D, SUMMARY!B:B, A76, SUMMARY!A:A, "Y3S BARILI"), 0)</f>
        <v>0</v>
      </c>
      <c r="AB76" s="24">
        <f>IFERROR(SUMIFS(SUMMARY!D:D, SUMMARY!B:B, A76, SUMMARY!A:A, "BARILI MB"), 0)</f>
        <v>0</v>
      </c>
      <c r="AC76" s="24">
        <f>IFERROR(SUMIFS(SUMMARY!D:D, SUMMARY!B:B, A76, SUMMARY!A:A, "SIERRA BULLONES"), 0)</f>
        <v>0</v>
      </c>
      <c r="AD76" s="24">
        <f>IFERROR(SUMIFS(SUMMARY!D:D, SUMMARY!B:B, A76, SUMMARY!A:A, "PITOGO"), 0)</f>
        <v>1</v>
      </c>
      <c r="AE76" s="24">
        <f>IFERROR(SUMIFS(SUMMARY!D:D, SUMMARY!B:B, A76, SUMMARY!A:A, "TAYUD CONSOLACION"), 0)</f>
        <v>0</v>
      </c>
      <c r="AF76" s="24">
        <f>IFERROR(SUMIFS(SUMMARY!D:D, SUMMARY!B:B, A76, SUMMARY!A:A, "PINAMUNGAJAN"), 0)</f>
        <v>0</v>
      </c>
      <c r="AG76" s="24">
        <f>IFERROR(SUMIFS(SUMMARY!D:D, SUMMARY!B:B, A76, SUMMARY!A:A, "CANDIJAY"), 0)</f>
        <v>0</v>
      </c>
      <c r="AH76" s="24">
        <f>IFERROR(SUMIFS(SUMMARY!D:D, SUMMARY!B:B, A76, SUMMARY!A:A, "YATI LILOAN"), 0)</f>
        <v>0</v>
      </c>
      <c r="AI76" s="27">
        <f>IFERROR(SUMIFS(SUMMARY!D:D, SUMMARY!B:B, A76, SUMMARY!A:A, "CAMOTES"), 0)</f>
        <v>0</v>
      </c>
      <c r="AJ76" s="28">
        <f t="shared" si="1"/>
        <v>4</v>
      </c>
    </row>
    <row r="77" ht="15.75" customHeight="1">
      <c r="A77" s="23" t="s">
        <v>367</v>
      </c>
      <c r="B77" s="23" t="s">
        <v>723</v>
      </c>
      <c r="C77" s="24" t="s">
        <v>722</v>
      </c>
      <c r="D77" s="25">
        <f>IFERROR(SUMIFS(SUMMARY!D:D, SUMMARY!B:B, A77, SUMMARY!A:A, "ADMIN"), 0)</f>
        <v>0</v>
      </c>
      <c r="E77" s="25">
        <f>IFERROR(SUMIFS(SUMMARY!D:D, SUMMARY!B:B, A77, SUMMARY!A:A, "WAREHOUSE"), 0)</f>
        <v>0</v>
      </c>
      <c r="F77" s="24">
        <f>IFERROR(SUMIFS(SUMMARY!D:D, SUMMARY!B:B, A77, SUMMARY!A:A, "LAGTANG"), 0)</f>
        <v>0</v>
      </c>
      <c r="G77" s="26">
        <f>IFERROR(SUMIFS(SUMMARY!D:D, SUMMARY!B:B, A77, SUMMARY!A:A, "V-RAMA"), 0)</f>
        <v>0</v>
      </c>
      <c r="H77" s="24">
        <f>IFERROR(SUMIFS(SUMMARY!D:D, SUMMARY!B:B, A77, SUMMARY!A:A, "BULACAO"), 0)</f>
        <v>0</v>
      </c>
      <c r="I77" s="24">
        <f>IFERROR(SUMIFS(SUMMARY!D:D, SUMMARY!B:B, A77, SUMMARY!A:A, "Y3S TALISAY"), 0)</f>
        <v>0</v>
      </c>
      <c r="J77" s="24">
        <f>IFERROR(SUMIFS(SUMMARY!D:D, SUMMARY!B:B, A77, SUMMARY!A:A, "MINGLANILLA"), 0)</f>
        <v>0</v>
      </c>
      <c r="K77" s="24">
        <f>IFERROR(SUMIFS(SUMMARY!D:D, SUMMARY!B:B, A77, SUMMARY!A:A, "Y3S PARDO"), 0)</f>
        <v>0</v>
      </c>
      <c r="L77" s="24">
        <f>IFERROR(SUMIFS(SUMMARY!D:D, SUMMARY!B:B, A77, SUMMARY!A:A, "LAPU-LAPU"), 0)</f>
        <v>0</v>
      </c>
      <c r="M77" s="24">
        <f>IFERROR(SUMIFS(SUMMARY!D:D, SUMMARY!B:B, A77, SUMMARY!A:A, "BACAYAN"), 0)</f>
        <v>0</v>
      </c>
      <c r="N77" s="24">
        <f>IFERROR(SUMIFS(SUMMARY!D:D, SUMMARY!B:B, A77, SUMMARY!A:A, "SAN FERNANDO MB"), 0)</f>
        <v>0</v>
      </c>
      <c r="O77" s="24">
        <f>IFERROR(SUMIFS(SUMMARY!D:D, SUMMARY!B:B, A77, SUMMARY!A:A, "Y3S SAN FERNANDO"), 0)</f>
        <v>0</v>
      </c>
      <c r="P77" s="24">
        <f>IFERROR(SUMIFS(SUMMARY!D:D, SUMMARY!B:B, A77, SUMMARY!A:A, "LILOAN"), 0)</f>
        <v>0</v>
      </c>
      <c r="Q77" s="24">
        <f>IFERROR(SUMIFS(SUMMARY!D:D, SUMMARY!B:B, A77, SUMMARY!A:A, "CORDOVA MB"), 0)</f>
        <v>0</v>
      </c>
      <c r="R77" s="24">
        <f>IFERROR(SUMIFS(SUMMARY!D:D, SUMMARY!B:B, A77, SUMMARY!A:A, "Y3S CORDOVA"), 0)</f>
        <v>0</v>
      </c>
      <c r="S77" s="24">
        <f>IFERROR(SUMIFS(SUMMARY!D:D, SUMMARY!B:B, A77, SUMMARY!A:A, "CLARIN"), 0)</f>
        <v>1</v>
      </c>
      <c r="T77" s="24">
        <f>IFERROR(SUMIFS(SUMMARY!D:D, SUMMARY!B:B, A77, SUMMARY!A:A, "TOLEDO"), 0)</f>
        <v>0</v>
      </c>
      <c r="U77" s="24">
        <f>IFERROR(SUMIFS(SUMMARY!D:D, SUMMARY!B:B, A77, SUMMARY!A:A, "UBAY"), 0)</f>
        <v>0</v>
      </c>
      <c r="V77" s="24">
        <f>IFERROR(SUMIFS(SUMMARY!D:D, SUMMARY!B:B, A77, SUMMARY!A:A, "CARMEN"), 0)</f>
        <v>0</v>
      </c>
      <c r="W77" s="24">
        <f>IFERROR(SUMIFS(SUMMARY!D:D, SUMMARY!B:B, A77, SUMMARY!A:A, "TUBIGON"), 0)</f>
        <v>0</v>
      </c>
      <c r="X77" s="24">
        <f>IFERROR(SUMIFS(SUMMARY!D:D, SUMMARY!B:B, A77, SUMMARY!A:A, "TALIBON"), 0)</f>
        <v>0</v>
      </c>
      <c r="Y77" s="24">
        <f>IFERROR(SUMIFS(SUMMARY!D:D, SUMMARY!B:B, A77, SUMMARY!A:A, "BOGO"), 0)</f>
        <v>0</v>
      </c>
      <c r="Z77" s="24">
        <f>IFERROR(SUMIFS(SUMMARY!D:D, SUMMARY!B:B, A77, SUMMARY!A:A, "BALAMBAN"), 0)</f>
        <v>0</v>
      </c>
      <c r="AA77" s="24">
        <f>IFERROR(SUMIFS(SUMMARY!D:D, SUMMARY!B:B, A77, SUMMARY!A:A, "Y3S BARILI"), 0)</f>
        <v>0</v>
      </c>
      <c r="AB77" s="24">
        <f>IFERROR(SUMIFS(SUMMARY!D:D, SUMMARY!B:B, A77, SUMMARY!A:A, "BARILI MB"), 0)</f>
        <v>1</v>
      </c>
      <c r="AC77" s="24">
        <f>IFERROR(SUMIFS(SUMMARY!D:D, SUMMARY!B:B, A77, SUMMARY!A:A, "SIERRA BULLONES"), 0)</f>
        <v>0</v>
      </c>
      <c r="AD77" s="24">
        <f>IFERROR(SUMIFS(SUMMARY!D:D, SUMMARY!B:B, A77, SUMMARY!A:A, "PITOGO"), 0)</f>
        <v>0</v>
      </c>
      <c r="AE77" s="24">
        <f>IFERROR(SUMIFS(SUMMARY!D:D, SUMMARY!B:B, A77, SUMMARY!A:A, "TAYUD CONSOLACION"), 0)</f>
        <v>0</v>
      </c>
      <c r="AF77" s="24">
        <f>IFERROR(SUMIFS(SUMMARY!D:D, SUMMARY!B:B, A77, SUMMARY!A:A, "PINAMUNGAJAN"), 0)</f>
        <v>1</v>
      </c>
      <c r="AG77" s="24">
        <f>IFERROR(SUMIFS(SUMMARY!D:D, SUMMARY!B:B, A77, SUMMARY!A:A, "CANDIJAY"), 0)</f>
        <v>0</v>
      </c>
      <c r="AH77" s="24">
        <f>IFERROR(SUMIFS(SUMMARY!D:D, SUMMARY!B:B, A77, SUMMARY!A:A, "YATI LILOAN"), 0)</f>
        <v>0</v>
      </c>
      <c r="AI77" s="27">
        <f>IFERROR(SUMIFS(SUMMARY!D:D, SUMMARY!B:B, A77, SUMMARY!A:A, "CAMOTES"), 0)</f>
        <v>0</v>
      </c>
      <c r="AJ77" s="28">
        <f t="shared" si="1"/>
        <v>3</v>
      </c>
    </row>
    <row r="78" ht="15.75" customHeight="1">
      <c r="A78" s="23" t="s">
        <v>724</v>
      </c>
      <c r="B78" s="23" t="s">
        <v>725</v>
      </c>
      <c r="C78" s="24" t="s">
        <v>722</v>
      </c>
      <c r="D78" s="25">
        <f>IFERROR(SUMIFS(SUMMARY!D:D, SUMMARY!B:B, A78, SUMMARY!A:A, "ADMIN"), 0)</f>
        <v>0</v>
      </c>
      <c r="E78" s="25">
        <f>IFERROR(SUMIFS(SUMMARY!D:D, SUMMARY!B:B, A78, SUMMARY!A:A, "WAREHOUSE"), 0)</f>
        <v>0</v>
      </c>
      <c r="F78" s="24">
        <f>IFERROR(SUMIFS(SUMMARY!D:D, SUMMARY!B:B, A78, SUMMARY!A:A, "LAGTANG"), 0)</f>
        <v>0</v>
      </c>
      <c r="G78" s="26">
        <f>IFERROR(SUMIFS(SUMMARY!D:D, SUMMARY!B:B, A78, SUMMARY!A:A, "V-RAMA"), 0)</f>
        <v>0</v>
      </c>
      <c r="H78" s="24">
        <f>IFERROR(SUMIFS(SUMMARY!D:D, SUMMARY!B:B, A78, SUMMARY!A:A, "BULACAO"), 0)</f>
        <v>0</v>
      </c>
      <c r="I78" s="24">
        <f>IFERROR(SUMIFS(SUMMARY!D:D, SUMMARY!B:B, A78, SUMMARY!A:A, "Y3S TALISAY"), 0)</f>
        <v>2</v>
      </c>
      <c r="J78" s="24">
        <f>IFERROR(SUMIFS(SUMMARY!D:D, SUMMARY!B:B, A78, SUMMARY!A:A, "MINGLANILLA"), 0)</f>
        <v>0</v>
      </c>
      <c r="K78" s="24">
        <f>IFERROR(SUMIFS(SUMMARY!D:D, SUMMARY!B:B, A78, SUMMARY!A:A, "Y3S PARDO"), 0)</f>
        <v>1</v>
      </c>
      <c r="L78" s="24">
        <f>IFERROR(SUMIFS(SUMMARY!D:D, SUMMARY!B:B, A78, SUMMARY!A:A, "LAPU-LAPU"), 0)</f>
        <v>0</v>
      </c>
      <c r="M78" s="24">
        <f>IFERROR(SUMIFS(SUMMARY!D:D, SUMMARY!B:B, A78, SUMMARY!A:A, "BACAYAN"), 0)</f>
        <v>0</v>
      </c>
      <c r="N78" s="24">
        <f>IFERROR(SUMIFS(SUMMARY!D:D, SUMMARY!B:B, A78, SUMMARY!A:A, "SAN FERNANDO MB"), 0)</f>
        <v>0</v>
      </c>
      <c r="O78" s="24">
        <f>IFERROR(SUMIFS(SUMMARY!D:D, SUMMARY!B:B, A78, SUMMARY!A:A, "Y3S SAN FERNANDO"), 0)</f>
        <v>1</v>
      </c>
      <c r="P78" s="24">
        <f>IFERROR(SUMIFS(SUMMARY!D:D, SUMMARY!B:B, A78, SUMMARY!A:A, "LILOAN"), 0)</f>
        <v>0</v>
      </c>
      <c r="Q78" s="24">
        <f>IFERROR(SUMIFS(SUMMARY!D:D, SUMMARY!B:B, A78, SUMMARY!A:A, "CORDOVA MB"), 0)</f>
        <v>0</v>
      </c>
      <c r="R78" s="24">
        <f>IFERROR(SUMIFS(SUMMARY!D:D, SUMMARY!B:B, A78, SUMMARY!A:A, "Y3S CORDOVA"), 0)</f>
        <v>2</v>
      </c>
      <c r="S78" s="24">
        <f>IFERROR(SUMIFS(SUMMARY!D:D, SUMMARY!B:B, A78, SUMMARY!A:A, "CLARIN"), 0)</f>
        <v>0</v>
      </c>
      <c r="T78" s="24">
        <f>IFERROR(SUMIFS(SUMMARY!D:D, SUMMARY!B:B, A78, SUMMARY!A:A, "TOLEDO"), 0)</f>
        <v>0</v>
      </c>
      <c r="U78" s="24">
        <f>IFERROR(SUMIFS(SUMMARY!D:D, SUMMARY!B:B, A78, SUMMARY!A:A, "UBAY"), 0)</f>
        <v>0</v>
      </c>
      <c r="V78" s="24">
        <f>IFERROR(SUMIFS(SUMMARY!D:D, SUMMARY!B:B, A78, SUMMARY!A:A, "CARMEN"), 0)</f>
        <v>0</v>
      </c>
      <c r="W78" s="24">
        <f>IFERROR(SUMIFS(SUMMARY!D:D, SUMMARY!B:B, A78, SUMMARY!A:A, "TUBIGON"), 0)</f>
        <v>0</v>
      </c>
      <c r="X78" s="24">
        <f>IFERROR(SUMIFS(SUMMARY!D:D, SUMMARY!B:B, A78, SUMMARY!A:A, "TALIBON"), 0)</f>
        <v>0</v>
      </c>
      <c r="Y78" s="24">
        <f>IFERROR(SUMIFS(SUMMARY!D:D, SUMMARY!B:B, A78, SUMMARY!A:A, "BOGO"), 0)</f>
        <v>0</v>
      </c>
      <c r="Z78" s="24">
        <f>IFERROR(SUMIFS(SUMMARY!D:D, SUMMARY!B:B, A78, SUMMARY!A:A, "BALAMBAN"), 0)</f>
        <v>0</v>
      </c>
      <c r="AA78" s="24">
        <f>IFERROR(SUMIFS(SUMMARY!D:D, SUMMARY!B:B, A78, SUMMARY!A:A, "Y3S BARILI"), 0)</f>
        <v>1</v>
      </c>
      <c r="AB78" s="24">
        <f>IFERROR(SUMIFS(SUMMARY!D:D, SUMMARY!B:B, A78, SUMMARY!A:A, "BARILI MB"), 0)</f>
        <v>0</v>
      </c>
      <c r="AC78" s="24">
        <f>IFERROR(SUMIFS(SUMMARY!D:D, SUMMARY!B:B, A78, SUMMARY!A:A, "SIERRA BULLONES"), 0)</f>
        <v>0</v>
      </c>
      <c r="AD78" s="24">
        <f>IFERROR(SUMIFS(SUMMARY!D:D, SUMMARY!B:B, A78, SUMMARY!A:A, "PITOGO"), 0)</f>
        <v>0</v>
      </c>
      <c r="AE78" s="24">
        <f>IFERROR(SUMIFS(SUMMARY!D:D, SUMMARY!B:B, A78, SUMMARY!A:A, "TAYUD CONSOLACION"), 0)</f>
        <v>0</v>
      </c>
      <c r="AF78" s="24">
        <f>IFERROR(SUMIFS(SUMMARY!D:D, SUMMARY!B:B, A78, SUMMARY!A:A, "PINAMUNGAJAN"), 0)</f>
        <v>0</v>
      </c>
      <c r="AG78" s="24">
        <f>IFERROR(SUMIFS(SUMMARY!D:D, SUMMARY!B:B, A78, SUMMARY!A:A, "CANDIJAY"), 0)</f>
        <v>0</v>
      </c>
      <c r="AH78" s="24">
        <f>IFERROR(SUMIFS(SUMMARY!D:D, SUMMARY!B:B, A78, SUMMARY!A:A, "YATI LILOAN"), 0)</f>
        <v>0</v>
      </c>
      <c r="AI78" s="27">
        <f>IFERROR(SUMIFS(SUMMARY!D:D, SUMMARY!B:B, A78, SUMMARY!A:A, "CAMOTES"), 0)</f>
        <v>0</v>
      </c>
      <c r="AJ78" s="28">
        <f t="shared" si="1"/>
        <v>7</v>
      </c>
    </row>
    <row r="79" ht="15.75" customHeight="1">
      <c r="A79" s="23" t="s">
        <v>726</v>
      </c>
      <c r="B79" s="23" t="s">
        <v>727</v>
      </c>
      <c r="C79" s="24" t="s">
        <v>722</v>
      </c>
      <c r="D79" s="25">
        <f>IFERROR(SUMIFS(SUMMARY!D:D, SUMMARY!B:B, A79, SUMMARY!A:A, "ADMIN"), 0)</f>
        <v>0</v>
      </c>
      <c r="E79" s="25">
        <f>IFERROR(SUMIFS(SUMMARY!D:D, SUMMARY!B:B, A79, SUMMARY!A:A, "WAREHOUSE"), 0)</f>
        <v>1</v>
      </c>
      <c r="F79" s="24">
        <f>IFERROR(SUMIFS(SUMMARY!D:D, SUMMARY!B:B, A79, SUMMARY!A:A, "LAGTANG"), 0)</f>
        <v>0</v>
      </c>
      <c r="G79" s="26">
        <f>IFERROR(SUMIFS(SUMMARY!D:D, SUMMARY!B:B, A79, SUMMARY!A:A, "V-RAMA"), 0)</f>
        <v>0</v>
      </c>
      <c r="H79" s="24">
        <f>IFERROR(SUMIFS(SUMMARY!D:D, SUMMARY!B:B, A79, SUMMARY!A:A, "BULACAO"), 0)</f>
        <v>0</v>
      </c>
      <c r="I79" s="24">
        <f>IFERROR(SUMIFS(SUMMARY!D:D, SUMMARY!B:B, A79, SUMMARY!A:A, "Y3S TALISAY"), 0)</f>
        <v>2</v>
      </c>
      <c r="J79" s="24">
        <f>IFERROR(SUMIFS(SUMMARY!D:D, SUMMARY!B:B, A79, SUMMARY!A:A, "MINGLANILLA"), 0)</f>
        <v>0</v>
      </c>
      <c r="K79" s="24">
        <f>IFERROR(SUMIFS(SUMMARY!D:D, SUMMARY!B:B, A79, SUMMARY!A:A, "Y3S PARDO"), 0)</f>
        <v>2</v>
      </c>
      <c r="L79" s="24">
        <f>IFERROR(SUMIFS(SUMMARY!D:D, SUMMARY!B:B, A79, SUMMARY!A:A, "LAPU-LAPU"), 0)</f>
        <v>0</v>
      </c>
      <c r="M79" s="24">
        <f>IFERROR(SUMIFS(SUMMARY!D:D, SUMMARY!B:B, A79, SUMMARY!A:A, "BACAYAN"), 0)</f>
        <v>0</v>
      </c>
      <c r="N79" s="24">
        <f>IFERROR(SUMIFS(SUMMARY!D:D, SUMMARY!B:B, A79, SUMMARY!A:A, "SAN FERNANDO MB"), 0)</f>
        <v>0</v>
      </c>
      <c r="O79" s="24">
        <f>IFERROR(SUMIFS(SUMMARY!D:D, SUMMARY!B:B, A79, SUMMARY!A:A, "Y3S SAN FERNANDO"), 0)</f>
        <v>1</v>
      </c>
      <c r="P79" s="24">
        <f>IFERROR(SUMIFS(SUMMARY!D:D, SUMMARY!B:B, A79, SUMMARY!A:A, "LILOAN"), 0)</f>
        <v>0</v>
      </c>
      <c r="Q79" s="24">
        <f>IFERROR(SUMIFS(SUMMARY!D:D, SUMMARY!B:B, A79, SUMMARY!A:A, "CORDOVA MB"), 0)</f>
        <v>0</v>
      </c>
      <c r="R79" s="24">
        <f>IFERROR(SUMIFS(SUMMARY!D:D, SUMMARY!B:B, A79, SUMMARY!A:A, "Y3S CORDOVA"), 0)</f>
        <v>2</v>
      </c>
      <c r="S79" s="24">
        <f>IFERROR(SUMIFS(SUMMARY!D:D, SUMMARY!B:B, A79, SUMMARY!A:A, "CLARIN"), 0)</f>
        <v>0</v>
      </c>
      <c r="T79" s="24">
        <f>IFERROR(SUMIFS(SUMMARY!D:D, SUMMARY!B:B, A79, SUMMARY!A:A, "TOLEDO"), 0)</f>
        <v>0</v>
      </c>
      <c r="U79" s="24">
        <f>IFERROR(SUMIFS(SUMMARY!D:D, SUMMARY!B:B, A79, SUMMARY!A:A, "UBAY"), 0)</f>
        <v>0</v>
      </c>
      <c r="V79" s="24">
        <f>IFERROR(SUMIFS(SUMMARY!D:D, SUMMARY!B:B, A79, SUMMARY!A:A, "CARMEN"), 0)</f>
        <v>0</v>
      </c>
      <c r="W79" s="24">
        <f>IFERROR(SUMIFS(SUMMARY!D:D, SUMMARY!B:B, A79, SUMMARY!A:A, "TUBIGON"), 0)</f>
        <v>0</v>
      </c>
      <c r="X79" s="24">
        <f>IFERROR(SUMIFS(SUMMARY!D:D, SUMMARY!B:B, A79, SUMMARY!A:A, "TALIBON"), 0)</f>
        <v>0</v>
      </c>
      <c r="Y79" s="24">
        <f>IFERROR(SUMIFS(SUMMARY!D:D, SUMMARY!B:B, A79, SUMMARY!A:A, "BOGO"), 0)</f>
        <v>0</v>
      </c>
      <c r="Z79" s="24">
        <f>IFERROR(SUMIFS(SUMMARY!D:D, SUMMARY!B:B, A79, SUMMARY!A:A, "BALAMBAN"), 0)</f>
        <v>0</v>
      </c>
      <c r="AA79" s="24">
        <f>IFERROR(SUMIFS(SUMMARY!D:D, SUMMARY!B:B, A79, SUMMARY!A:A, "Y3S BARILI"), 0)</f>
        <v>1</v>
      </c>
      <c r="AB79" s="24">
        <f>IFERROR(SUMIFS(SUMMARY!D:D, SUMMARY!B:B, A79, SUMMARY!A:A, "BARILI MB"), 0)</f>
        <v>0</v>
      </c>
      <c r="AC79" s="24">
        <f>IFERROR(SUMIFS(SUMMARY!D:D, SUMMARY!B:B, A79, SUMMARY!A:A, "SIERRA BULLONES"), 0)</f>
        <v>0</v>
      </c>
      <c r="AD79" s="24">
        <f>IFERROR(SUMIFS(SUMMARY!D:D, SUMMARY!B:B, A79, SUMMARY!A:A, "PITOGO"), 0)</f>
        <v>0</v>
      </c>
      <c r="AE79" s="24">
        <f>IFERROR(SUMIFS(SUMMARY!D:D, SUMMARY!B:B, A79, SUMMARY!A:A, "TAYUD CONSOLACION"), 0)</f>
        <v>0</v>
      </c>
      <c r="AF79" s="24">
        <f>IFERROR(SUMIFS(SUMMARY!D:D, SUMMARY!B:B, A79, SUMMARY!A:A, "PINAMUNGAJAN"), 0)</f>
        <v>0</v>
      </c>
      <c r="AG79" s="24">
        <f>IFERROR(SUMIFS(SUMMARY!D:D, SUMMARY!B:B, A79, SUMMARY!A:A, "CANDIJAY"), 0)</f>
        <v>0</v>
      </c>
      <c r="AH79" s="24">
        <f>IFERROR(SUMIFS(SUMMARY!D:D, SUMMARY!B:B, A79, SUMMARY!A:A, "YATI LILOAN"), 0)</f>
        <v>0</v>
      </c>
      <c r="AI79" s="27">
        <f>IFERROR(SUMIFS(SUMMARY!D:D, SUMMARY!B:B, A79, SUMMARY!A:A, "CAMOTES"), 0)</f>
        <v>0</v>
      </c>
      <c r="AJ79" s="28">
        <f t="shared" si="1"/>
        <v>9</v>
      </c>
    </row>
    <row r="80" ht="15.75" customHeight="1">
      <c r="A80" s="23" t="s">
        <v>728</v>
      </c>
      <c r="B80" s="23" t="s">
        <v>729</v>
      </c>
      <c r="C80" s="24" t="s">
        <v>722</v>
      </c>
      <c r="D80" s="25">
        <f>IFERROR(SUMIFS(SUMMARY!D:D, SUMMARY!B:B, A80, SUMMARY!A:A, "ADMIN"), 0)</f>
        <v>0</v>
      </c>
      <c r="E80" s="25">
        <f>IFERROR(SUMIFS(SUMMARY!D:D, SUMMARY!B:B, A80, SUMMARY!A:A, "WAREHOUSE"), 0)</f>
        <v>0</v>
      </c>
      <c r="F80" s="24">
        <f>IFERROR(SUMIFS(SUMMARY!D:D, SUMMARY!B:B, A80, SUMMARY!A:A, "LAGTANG"), 0)</f>
        <v>0</v>
      </c>
      <c r="G80" s="26">
        <f>IFERROR(SUMIFS(SUMMARY!D:D, SUMMARY!B:B, A80, SUMMARY!A:A, "V-RAMA"), 0)</f>
        <v>0</v>
      </c>
      <c r="H80" s="24">
        <f>IFERROR(SUMIFS(SUMMARY!D:D, SUMMARY!B:B, A80, SUMMARY!A:A, "BULACAO"), 0)</f>
        <v>0</v>
      </c>
      <c r="I80" s="24">
        <f>IFERROR(SUMIFS(SUMMARY!D:D, SUMMARY!B:B, A80, SUMMARY!A:A, "Y3S TALISAY"), 0)</f>
        <v>1</v>
      </c>
      <c r="J80" s="24">
        <f>IFERROR(SUMIFS(SUMMARY!D:D, SUMMARY!B:B, A80, SUMMARY!A:A, "MINGLANILLA"), 0)</f>
        <v>0</v>
      </c>
      <c r="K80" s="24">
        <f>IFERROR(SUMIFS(SUMMARY!D:D, SUMMARY!B:B, A80, SUMMARY!A:A, "Y3S PARDO"), 0)</f>
        <v>1</v>
      </c>
      <c r="L80" s="24">
        <f>IFERROR(SUMIFS(SUMMARY!D:D, SUMMARY!B:B, A80, SUMMARY!A:A, "LAPU-LAPU"), 0)</f>
        <v>0</v>
      </c>
      <c r="M80" s="24">
        <f>IFERROR(SUMIFS(SUMMARY!D:D, SUMMARY!B:B, A80, SUMMARY!A:A, "BACAYAN"), 0)</f>
        <v>0</v>
      </c>
      <c r="N80" s="24">
        <f>IFERROR(SUMIFS(SUMMARY!D:D, SUMMARY!B:B, A80, SUMMARY!A:A, "SAN FERNANDO MB"), 0)</f>
        <v>0</v>
      </c>
      <c r="O80" s="24">
        <f>IFERROR(SUMIFS(SUMMARY!D:D, SUMMARY!B:B, A80, SUMMARY!A:A, "Y3S SAN FERNANDO"), 0)</f>
        <v>1</v>
      </c>
      <c r="P80" s="24">
        <f>IFERROR(SUMIFS(SUMMARY!D:D, SUMMARY!B:B, A80, SUMMARY!A:A, "LILOAN"), 0)</f>
        <v>0</v>
      </c>
      <c r="Q80" s="24">
        <f>IFERROR(SUMIFS(SUMMARY!D:D, SUMMARY!B:B, A80, SUMMARY!A:A, "CORDOVA MB"), 0)</f>
        <v>0</v>
      </c>
      <c r="R80" s="24">
        <f>IFERROR(SUMIFS(SUMMARY!D:D, SUMMARY!B:B, A80, SUMMARY!A:A, "Y3S CORDOVA"), 0)</f>
        <v>2</v>
      </c>
      <c r="S80" s="24">
        <f>IFERROR(SUMIFS(SUMMARY!D:D, SUMMARY!B:B, A80, SUMMARY!A:A, "CLARIN"), 0)</f>
        <v>0</v>
      </c>
      <c r="T80" s="24">
        <f>IFERROR(SUMIFS(SUMMARY!D:D, SUMMARY!B:B, A80, SUMMARY!A:A, "TOLEDO"), 0)</f>
        <v>0</v>
      </c>
      <c r="U80" s="24">
        <f>IFERROR(SUMIFS(SUMMARY!D:D, SUMMARY!B:B, A80, SUMMARY!A:A, "UBAY"), 0)</f>
        <v>0</v>
      </c>
      <c r="V80" s="24">
        <f>IFERROR(SUMIFS(SUMMARY!D:D, SUMMARY!B:B, A80, SUMMARY!A:A, "CARMEN"), 0)</f>
        <v>0</v>
      </c>
      <c r="W80" s="24">
        <f>IFERROR(SUMIFS(SUMMARY!D:D, SUMMARY!B:B, A80, SUMMARY!A:A, "TUBIGON"), 0)</f>
        <v>0</v>
      </c>
      <c r="X80" s="24">
        <f>IFERROR(SUMIFS(SUMMARY!D:D, SUMMARY!B:B, A80, SUMMARY!A:A, "TALIBON"), 0)</f>
        <v>0</v>
      </c>
      <c r="Y80" s="24">
        <f>IFERROR(SUMIFS(SUMMARY!D:D, SUMMARY!B:B, A80, SUMMARY!A:A, "BOGO"), 0)</f>
        <v>0</v>
      </c>
      <c r="Z80" s="24">
        <f>IFERROR(SUMIFS(SUMMARY!D:D, SUMMARY!B:B, A80, SUMMARY!A:A, "BALAMBAN"), 0)</f>
        <v>0</v>
      </c>
      <c r="AA80" s="24">
        <f>IFERROR(SUMIFS(SUMMARY!D:D, SUMMARY!B:B, A80, SUMMARY!A:A, "Y3S BARILI"), 0)</f>
        <v>1</v>
      </c>
      <c r="AB80" s="24">
        <f>IFERROR(SUMIFS(SUMMARY!D:D, SUMMARY!B:B, A80, SUMMARY!A:A, "BARILI MB"), 0)</f>
        <v>0</v>
      </c>
      <c r="AC80" s="24">
        <f>IFERROR(SUMIFS(SUMMARY!D:D, SUMMARY!B:B, A80, SUMMARY!A:A, "SIERRA BULLONES"), 0)</f>
        <v>0</v>
      </c>
      <c r="AD80" s="24">
        <f>IFERROR(SUMIFS(SUMMARY!D:D, SUMMARY!B:B, A80, SUMMARY!A:A, "PITOGO"), 0)</f>
        <v>0</v>
      </c>
      <c r="AE80" s="24">
        <f>IFERROR(SUMIFS(SUMMARY!D:D, SUMMARY!B:B, A80, SUMMARY!A:A, "TAYUD CONSOLACION"), 0)</f>
        <v>0</v>
      </c>
      <c r="AF80" s="24">
        <f>IFERROR(SUMIFS(SUMMARY!D:D, SUMMARY!B:B, A80, SUMMARY!A:A, "PINAMUNGAJAN"), 0)</f>
        <v>0</v>
      </c>
      <c r="AG80" s="24">
        <f>IFERROR(SUMIFS(SUMMARY!D:D, SUMMARY!B:B, A80, SUMMARY!A:A, "CANDIJAY"), 0)</f>
        <v>0</v>
      </c>
      <c r="AH80" s="24">
        <f>IFERROR(SUMIFS(SUMMARY!D:D, SUMMARY!B:B, A80, SUMMARY!A:A, "YATI LILOAN"), 0)</f>
        <v>0</v>
      </c>
      <c r="AI80" s="27">
        <f>IFERROR(SUMIFS(SUMMARY!D:D, SUMMARY!B:B, A80, SUMMARY!A:A, "CAMOTES"), 0)</f>
        <v>0</v>
      </c>
      <c r="AJ80" s="28">
        <f t="shared" si="1"/>
        <v>6</v>
      </c>
    </row>
    <row r="81" ht="15.75" customHeight="1">
      <c r="A81" s="23" t="s">
        <v>730</v>
      </c>
      <c r="B81" s="23" t="s">
        <v>731</v>
      </c>
      <c r="C81" s="24" t="s">
        <v>722</v>
      </c>
      <c r="D81" s="25">
        <f>IFERROR(SUMIFS(SUMMARY!D:D, SUMMARY!B:B, A81, SUMMARY!A:A, "ADMIN"), 0)</f>
        <v>0</v>
      </c>
      <c r="E81" s="25">
        <f>IFERROR(SUMIFS(SUMMARY!D:D, SUMMARY!B:B, A81, SUMMARY!A:A, "WAREHOUSE"), 0)</f>
        <v>0</v>
      </c>
      <c r="F81" s="24">
        <f>IFERROR(SUMIFS(SUMMARY!D:D, SUMMARY!B:B, A81, SUMMARY!A:A, "LAGTANG"), 0)</f>
        <v>0</v>
      </c>
      <c r="G81" s="26">
        <f>IFERROR(SUMIFS(SUMMARY!D:D, SUMMARY!B:B, A81, SUMMARY!A:A, "V-RAMA"), 0)</f>
        <v>0</v>
      </c>
      <c r="H81" s="24">
        <f>IFERROR(SUMIFS(SUMMARY!D:D, SUMMARY!B:B, A81, SUMMARY!A:A, "BULACAO"), 0)</f>
        <v>0</v>
      </c>
      <c r="I81" s="24">
        <f>IFERROR(SUMIFS(SUMMARY!D:D, SUMMARY!B:B, A81, SUMMARY!A:A, "Y3S TALISAY"), 0)</f>
        <v>1</v>
      </c>
      <c r="J81" s="24">
        <f>IFERROR(SUMIFS(SUMMARY!D:D, SUMMARY!B:B, A81, SUMMARY!A:A, "MINGLANILLA"), 0)</f>
        <v>0</v>
      </c>
      <c r="K81" s="24">
        <f>IFERROR(SUMIFS(SUMMARY!D:D, SUMMARY!B:B, A81, SUMMARY!A:A, "Y3S PARDO"), 0)</f>
        <v>1</v>
      </c>
      <c r="L81" s="24">
        <f>IFERROR(SUMIFS(SUMMARY!D:D, SUMMARY!B:B, A81, SUMMARY!A:A, "LAPU-LAPU"), 0)</f>
        <v>0</v>
      </c>
      <c r="M81" s="24">
        <f>IFERROR(SUMIFS(SUMMARY!D:D, SUMMARY!B:B, A81, SUMMARY!A:A, "BACAYAN"), 0)</f>
        <v>0</v>
      </c>
      <c r="N81" s="24">
        <f>IFERROR(SUMIFS(SUMMARY!D:D, SUMMARY!B:B, A81, SUMMARY!A:A, "SAN FERNANDO MB"), 0)</f>
        <v>0</v>
      </c>
      <c r="O81" s="24">
        <f>IFERROR(SUMIFS(SUMMARY!D:D, SUMMARY!B:B, A81, SUMMARY!A:A, "Y3S SAN FERNANDO"), 0)</f>
        <v>0</v>
      </c>
      <c r="P81" s="24">
        <f>IFERROR(SUMIFS(SUMMARY!D:D, SUMMARY!B:B, A81, SUMMARY!A:A, "LILOAN"), 0)</f>
        <v>0</v>
      </c>
      <c r="Q81" s="24">
        <f>IFERROR(SUMIFS(SUMMARY!D:D, SUMMARY!B:B, A81, SUMMARY!A:A, "CORDOVA MB"), 0)</f>
        <v>0</v>
      </c>
      <c r="R81" s="24">
        <f>IFERROR(SUMIFS(SUMMARY!D:D, SUMMARY!B:B, A81, SUMMARY!A:A, "Y3S CORDOVA"), 0)</f>
        <v>2</v>
      </c>
      <c r="S81" s="24">
        <f>IFERROR(SUMIFS(SUMMARY!D:D, SUMMARY!B:B, A81, SUMMARY!A:A, "CLARIN"), 0)</f>
        <v>0</v>
      </c>
      <c r="T81" s="24">
        <f>IFERROR(SUMIFS(SUMMARY!D:D, SUMMARY!B:B, A81, SUMMARY!A:A, "TOLEDO"), 0)</f>
        <v>0</v>
      </c>
      <c r="U81" s="24">
        <f>IFERROR(SUMIFS(SUMMARY!D:D, SUMMARY!B:B, A81, SUMMARY!A:A, "UBAY"), 0)</f>
        <v>0</v>
      </c>
      <c r="V81" s="24">
        <f>IFERROR(SUMIFS(SUMMARY!D:D, SUMMARY!B:B, A81, SUMMARY!A:A, "CARMEN"), 0)</f>
        <v>0</v>
      </c>
      <c r="W81" s="24">
        <f>IFERROR(SUMIFS(SUMMARY!D:D, SUMMARY!B:B, A81, SUMMARY!A:A, "TUBIGON"), 0)</f>
        <v>0</v>
      </c>
      <c r="X81" s="24">
        <f>IFERROR(SUMIFS(SUMMARY!D:D, SUMMARY!B:B, A81, SUMMARY!A:A, "TALIBON"), 0)</f>
        <v>0</v>
      </c>
      <c r="Y81" s="24">
        <f>IFERROR(SUMIFS(SUMMARY!D:D, SUMMARY!B:B, A81, SUMMARY!A:A, "BOGO"), 0)</f>
        <v>0</v>
      </c>
      <c r="Z81" s="24">
        <f>IFERROR(SUMIFS(SUMMARY!D:D, SUMMARY!B:B, A81, SUMMARY!A:A, "BALAMBAN"), 0)</f>
        <v>0</v>
      </c>
      <c r="AA81" s="24">
        <f>IFERROR(SUMIFS(SUMMARY!D:D, SUMMARY!B:B, A81, SUMMARY!A:A, "Y3S BARILI"), 0)</f>
        <v>1</v>
      </c>
      <c r="AB81" s="24">
        <f>IFERROR(SUMIFS(SUMMARY!D:D, SUMMARY!B:B, A81, SUMMARY!A:A, "BARILI MB"), 0)</f>
        <v>0</v>
      </c>
      <c r="AC81" s="24">
        <f>IFERROR(SUMIFS(SUMMARY!D:D, SUMMARY!B:B, A81, SUMMARY!A:A, "SIERRA BULLONES"), 0)</f>
        <v>0</v>
      </c>
      <c r="AD81" s="24">
        <f>IFERROR(SUMIFS(SUMMARY!D:D, SUMMARY!B:B, A81, SUMMARY!A:A, "PITOGO"), 0)</f>
        <v>0</v>
      </c>
      <c r="AE81" s="24">
        <f>IFERROR(SUMIFS(SUMMARY!D:D, SUMMARY!B:B, A81, SUMMARY!A:A, "TAYUD CONSOLACION"), 0)</f>
        <v>0</v>
      </c>
      <c r="AF81" s="24">
        <f>IFERROR(SUMIFS(SUMMARY!D:D, SUMMARY!B:B, A81, SUMMARY!A:A, "PINAMUNGAJAN"), 0)</f>
        <v>0</v>
      </c>
      <c r="AG81" s="24">
        <f>IFERROR(SUMIFS(SUMMARY!D:D, SUMMARY!B:B, A81, SUMMARY!A:A, "CANDIJAY"), 0)</f>
        <v>0</v>
      </c>
      <c r="AH81" s="24">
        <f>IFERROR(SUMIFS(SUMMARY!D:D, SUMMARY!B:B, A81, SUMMARY!A:A, "YATI LILOAN"), 0)</f>
        <v>0</v>
      </c>
      <c r="AI81" s="27">
        <f>IFERROR(SUMIFS(SUMMARY!D:D, SUMMARY!B:B, A81, SUMMARY!A:A, "CAMOTES"), 0)</f>
        <v>0</v>
      </c>
      <c r="AJ81" s="28">
        <f t="shared" si="1"/>
        <v>5</v>
      </c>
    </row>
    <row r="82" ht="15.75" customHeight="1">
      <c r="A82" s="23" t="s">
        <v>732</v>
      </c>
      <c r="B82" s="23" t="s">
        <v>733</v>
      </c>
      <c r="C82" s="24" t="s">
        <v>722</v>
      </c>
      <c r="D82" s="25">
        <f>IFERROR(SUMIFS(SUMMARY!D:D, SUMMARY!B:B, A82, SUMMARY!A:A, "ADMIN"), 0)</f>
        <v>0</v>
      </c>
      <c r="E82" s="25">
        <f>IFERROR(SUMIFS(SUMMARY!D:D, SUMMARY!B:B, A82, SUMMARY!A:A, "WAREHOUSE"), 0)</f>
        <v>0</v>
      </c>
      <c r="F82" s="24">
        <f>IFERROR(SUMIFS(SUMMARY!D:D, SUMMARY!B:B, A82, SUMMARY!A:A, "LAGTANG"), 0)</f>
        <v>0</v>
      </c>
      <c r="G82" s="26">
        <f>IFERROR(SUMIFS(SUMMARY!D:D, SUMMARY!B:B, A82, SUMMARY!A:A, "V-RAMA"), 0)</f>
        <v>0</v>
      </c>
      <c r="H82" s="24">
        <f>IFERROR(SUMIFS(SUMMARY!D:D, SUMMARY!B:B, A82, SUMMARY!A:A, "BULACAO"), 0)</f>
        <v>0</v>
      </c>
      <c r="I82" s="24">
        <f>IFERROR(SUMIFS(SUMMARY!D:D, SUMMARY!B:B, A82, SUMMARY!A:A, "Y3S TALISAY"), 0)</f>
        <v>1</v>
      </c>
      <c r="J82" s="24">
        <f>IFERROR(SUMIFS(SUMMARY!D:D, SUMMARY!B:B, A82, SUMMARY!A:A, "MINGLANILLA"), 0)</f>
        <v>0</v>
      </c>
      <c r="K82" s="24">
        <f>IFERROR(SUMIFS(SUMMARY!D:D, SUMMARY!B:B, A82, SUMMARY!A:A, "Y3S PARDO"), 0)</f>
        <v>1</v>
      </c>
      <c r="L82" s="24">
        <f>IFERROR(SUMIFS(SUMMARY!D:D, SUMMARY!B:B, A82, SUMMARY!A:A, "LAPU-LAPU"), 0)</f>
        <v>0</v>
      </c>
      <c r="M82" s="24">
        <f>IFERROR(SUMIFS(SUMMARY!D:D, SUMMARY!B:B, A82, SUMMARY!A:A, "BACAYAN"), 0)</f>
        <v>0</v>
      </c>
      <c r="N82" s="24">
        <f>IFERROR(SUMIFS(SUMMARY!D:D, SUMMARY!B:B, A82, SUMMARY!A:A, "SAN FERNANDO MB"), 0)</f>
        <v>0</v>
      </c>
      <c r="O82" s="24">
        <f>IFERROR(SUMIFS(SUMMARY!D:D, SUMMARY!B:B, A82, SUMMARY!A:A, "Y3S SAN FERNANDO"), 0)</f>
        <v>1</v>
      </c>
      <c r="P82" s="24">
        <f>IFERROR(SUMIFS(SUMMARY!D:D, SUMMARY!B:B, A82, SUMMARY!A:A, "LILOAN"), 0)</f>
        <v>0</v>
      </c>
      <c r="Q82" s="24">
        <f>IFERROR(SUMIFS(SUMMARY!D:D, SUMMARY!B:B, A82, SUMMARY!A:A, "CORDOVA MB"), 0)</f>
        <v>0</v>
      </c>
      <c r="R82" s="24">
        <f>IFERROR(SUMIFS(SUMMARY!D:D, SUMMARY!B:B, A82, SUMMARY!A:A, "Y3S CORDOVA"), 0)</f>
        <v>2</v>
      </c>
      <c r="S82" s="24">
        <f>IFERROR(SUMIFS(SUMMARY!D:D, SUMMARY!B:B, A82, SUMMARY!A:A, "CLARIN"), 0)</f>
        <v>0</v>
      </c>
      <c r="T82" s="24">
        <f>IFERROR(SUMIFS(SUMMARY!D:D, SUMMARY!B:B, A82, SUMMARY!A:A, "TOLEDO"), 0)</f>
        <v>0</v>
      </c>
      <c r="U82" s="24">
        <f>IFERROR(SUMIFS(SUMMARY!D:D, SUMMARY!B:B, A82, SUMMARY!A:A, "UBAY"), 0)</f>
        <v>0</v>
      </c>
      <c r="V82" s="24">
        <f>IFERROR(SUMIFS(SUMMARY!D:D, SUMMARY!B:B, A82, SUMMARY!A:A, "CARMEN"), 0)</f>
        <v>0</v>
      </c>
      <c r="W82" s="24">
        <f>IFERROR(SUMIFS(SUMMARY!D:D, SUMMARY!B:B, A82, SUMMARY!A:A, "TUBIGON"), 0)</f>
        <v>0</v>
      </c>
      <c r="X82" s="24">
        <f>IFERROR(SUMIFS(SUMMARY!D:D, SUMMARY!B:B, A82, SUMMARY!A:A, "TALIBON"), 0)</f>
        <v>0</v>
      </c>
      <c r="Y82" s="24">
        <f>IFERROR(SUMIFS(SUMMARY!D:D, SUMMARY!B:B, A82, SUMMARY!A:A, "BOGO"), 0)</f>
        <v>0</v>
      </c>
      <c r="Z82" s="24">
        <f>IFERROR(SUMIFS(SUMMARY!D:D, SUMMARY!B:B, A82, SUMMARY!A:A, "BALAMBAN"), 0)</f>
        <v>0</v>
      </c>
      <c r="AA82" s="24">
        <f>IFERROR(SUMIFS(SUMMARY!D:D, SUMMARY!B:B, A82, SUMMARY!A:A, "Y3S BARILI"), 0)</f>
        <v>1</v>
      </c>
      <c r="AB82" s="24">
        <f>IFERROR(SUMIFS(SUMMARY!D:D, SUMMARY!B:B, A82, SUMMARY!A:A, "BARILI MB"), 0)</f>
        <v>0</v>
      </c>
      <c r="AC82" s="24">
        <f>IFERROR(SUMIFS(SUMMARY!D:D, SUMMARY!B:B, A82, SUMMARY!A:A, "SIERRA BULLONES"), 0)</f>
        <v>0</v>
      </c>
      <c r="AD82" s="24">
        <f>IFERROR(SUMIFS(SUMMARY!D:D, SUMMARY!B:B, A82, SUMMARY!A:A, "PITOGO"), 0)</f>
        <v>0</v>
      </c>
      <c r="AE82" s="24">
        <f>IFERROR(SUMIFS(SUMMARY!D:D, SUMMARY!B:B, A82, SUMMARY!A:A, "TAYUD CONSOLACION"), 0)</f>
        <v>0</v>
      </c>
      <c r="AF82" s="24">
        <f>IFERROR(SUMIFS(SUMMARY!D:D, SUMMARY!B:B, A82, SUMMARY!A:A, "PINAMUNGAJAN"), 0)</f>
        <v>0</v>
      </c>
      <c r="AG82" s="24">
        <f>IFERROR(SUMIFS(SUMMARY!D:D, SUMMARY!B:B, A82, SUMMARY!A:A, "CANDIJAY"), 0)</f>
        <v>0</v>
      </c>
      <c r="AH82" s="24">
        <f>IFERROR(SUMIFS(SUMMARY!D:D, SUMMARY!B:B, A82, SUMMARY!A:A, "YATI LILOAN"), 0)</f>
        <v>0</v>
      </c>
      <c r="AI82" s="27">
        <f>IFERROR(SUMIFS(SUMMARY!D:D, SUMMARY!B:B, A82, SUMMARY!A:A, "CAMOTES"), 0)</f>
        <v>0</v>
      </c>
      <c r="AJ82" s="28">
        <f t="shared" si="1"/>
        <v>6</v>
      </c>
    </row>
    <row r="83" ht="15.75" customHeight="1">
      <c r="A83" s="23" t="s">
        <v>734</v>
      </c>
      <c r="B83" s="23" t="s">
        <v>735</v>
      </c>
      <c r="C83" s="24" t="s">
        <v>21</v>
      </c>
      <c r="D83" s="25">
        <f>IFERROR(SUMIFS(SUMMARY!D:D, SUMMARY!B:B, A83, SUMMARY!A:A, "ADMIN"), 0)</f>
        <v>0</v>
      </c>
      <c r="E83" s="25">
        <f>IFERROR(SUMIFS(SUMMARY!D:D, SUMMARY!B:B, A83, SUMMARY!A:A, "WAREHOUSE"), 0)</f>
        <v>0</v>
      </c>
      <c r="F83" s="24">
        <f>IFERROR(SUMIFS(SUMMARY!D:D, SUMMARY!B:B, A83, SUMMARY!A:A, "LAGTANG"), 0)</f>
        <v>0</v>
      </c>
      <c r="G83" s="26">
        <f>IFERROR(SUMIFS(SUMMARY!D:D, SUMMARY!B:B, A83, SUMMARY!A:A, "V-RAMA"), 0)</f>
        <v>0</v>
      </c>
      <c r="H83" s="24">
        <f>IFERROR(SUMIFS(SUMMARY!D:D, SUMMARY!B:B, A83, SUMMARY!A:A, "BULACAO"), 0)</f>
        <v>0</v>
      </c>
      <c r="I83" s="24">
        <f>IFERROR(SUMIFS(SUMMARY!D:D, SUMMARY!B:B, A83, SUMMARY!A:A, "Y3S TALISAY"), 0)</f>
        <v>60</v>
      </c>
      <c r="J83" s="24">
        <f>IFERROR(SUMIFS(SUMMARY!D:D, SUMMARY!B:B, A83, SUMMARY!A:A, "MINGLANILLA"), 0)</f>
        <v>0</v>
      </c>
      <c r="K83" s="24">
        <f>IFERROR(SUMIFS(SUMMARY!D:D, SUMMARY!B:B, A83, SUMMARY!A:A, "Y3S PARDO"), 0)</f>
        <v>20</v>
      </c>
      <c r="L83" s="24">
        <f>IFERROR(SUMIFS(SUMMARY!D:D, SUMMARY!B:B, A83, SUMMARY!A:A, "LAPU-LAPU"), 0)</f>
        <v>0</v>
      </c>
      <c r="M83" s="24">
        <f>IFERROR(SUMIFS(SUMMARY!D:D, SUMMARY!B:B, A83, SUMMARY!A:A, "BACAYAN"), 0)</f>
        <v>0</v>
      </c>
      <c r="N83" s="24">
        <f>IFERROR(SUMIFS(SUMMARY!D:D, SUMMARY!B:B, A83, SUMMARY!A:A, "SAN FERNANDO MB"), 0)</f>
        <v>0</v>
      </c>
      <c r="O83" s="24">
        <f>IFERROR(SUMIFS(SUMMARY!D:D, SUMMARY!B:B, A83, SUMMARY!A:A, "Y3S SAN FERNANDO"), 0)</f>
        <v>0</v>
      </c>
      <c r="P83" s="24">
        <f>IFERROR(SUMIFS(SUMMARY!D:D, SUMMARY!B:B, A83, SUMMARY!A:A, "LILOAN"), 0)</f>
        <v>0</v>
      </c>
      <c r="Q83" s="24">
        <f>IFERROR(SUMIFS(SUMMARY!D:D, SUMMARY!B:B, A83, SUMMARY!A:A, "CORDOVA MB"), 0)</f>
        <v>0</v>
      </c>
      <c r="R83" s="24">
        <f>IFERROR(SUMIFS(SUMMARY!D:D, SUMMARY!B:B, A83, SUMMARY!A:A, "Y3S CORDOVA"), 0)</f>
        <v>100</v>
      </c>
      <c r="S83" s="24">
        <f>IFERROR(SUMIFS(SUMMARY!D:D, SUMMARY!B:B, A83, SUMMARY!A:A, "CLARIN"), 0)</f>
        <v>0</v>
      </c>
      <c r="T83" s="24">
        <f>IFERROR(SUMIFS(SUMMARY!D:D, SUMMARY!B:B, A83, SUMMARY!A:A, "TOLEDO"), 0)</f>
        <v>0</v>
      </c>
      <c r="U83" s="24">
        <f>IFERROR(SUMIFS(SUMMARY!D:D, SUMMARY!B:B, A83, SUMMARY!A:A, "UBAY"), 0)</f>
        <v>0</v>
      </c>
      <c r="V83" s="24">
        <f>IFERROR(SUMIFS(SUMMARY!D:D, SUMMARY!B:B, A83, SUMMARY!A:A, "CARMEN"), 0)</f>
        <v>0</v>
      </c>
      <c r="W83" s="24">
        <f>IFERROR(SUMIFS(SUMMARY!D:D, SUMMARY!B:B, A83, SUMMARY!A:A, "TUBIGON"), 0)</f>
        <v>0</v>
      </c>
      <c r="X83" s="24">
        <f>IFERROR(SUMIFS(SUMMARY!D:D, SUMMARY!B:B, A83, SUMMARY!A:A, "TALIBON"), 0)</f>
        <v>0</v>
      </c>
      <c r="Y83" s="24">
        <f>IFERROR(SUMIFS(SUMMARY!D:D, SUMMARY!B:B, A83, SUMMARY!A:A, "BOGO"), 0)</f>
        <v>0</v>
      </c>
      <c r="Z83" s="24">
        <f>IFERROR(SUMIFS(SUMMARY!D:D, SUMMARY!B:B, A83, SUMMARY!A:A, "BALAMBAN"), 0)</f>
        <v>0</v>
      </c>
      <c r="AA83" s="24">
        <f>IFERROR(SUMIFS(SUMMARY!D:D, SUMMARY!B:B, A83, SUMMARY!A:A, "Y3S BARILI"), 0)</f>
        <v>50</v>
      </c>
      <c r="AB83" s="24">
        <f>IFERROR(SUMIFS(SUMMARY!D:D, SUMMARY!B:B, A83, SUMMARY!A:A, "BARILI MB"), 0)</f>
        <v>0</v>
      </c>
      <c r="AC83" s="24">
        <f>IFERROR(SUMIFS(SUMMARY!D:D, SUMMARY!B:B, A83, SUMMARY!A:A, "SIERRA BULLONES"), 0)</f>
        <v>0</v>
      </c>
      <c r="AD83" s="24">
        <f>IFERROR(SUMIFS(SUMMARY!D:D, SUMMARY!B:B, A83, SUMMARY!A:A, "PITOGO"), 0)</f>
        <v>0</v>
      </c>
      <c r="AE83" s="24">
        <f>IFERROR(SUMIFS(SUMMARY!D:D, SUMMARY!B:B, A83, SUMMARY!A:A, "TAYUD CONSOLACION"), 0)</f>
        <v>0</v>
      </c>
      <c r="AF83" s="24">
        <f>IFERROR(SUMIFS(SUMMARY!D:D, SUMMARY!B:B, A83, SUMMARY!A:A, "PINAMUNGAJAN"), 0)</f>
        <v>0</v>
      </c>
      <c r="AG83" s="24">
        <f>IFERROR(SUMIFS(SUMMARY!D:D, SUMMARY!B:B, A83, SUMMARY!A:A, "CANDIJAY"), 0)</f>
        <v>0</v>
      </c>
      <c r="AH83" s="24">
        <f>IFERROR(SUMIFS(SUMMARY!D:D, SUMMARY!B:B, A83, SUMMARY!A:A, "YATI LILOAN"), 0)</f>
        <v>0</v>
      </c>
      <c r="AI83" s="27">
        <f>IFERROR(SUMIFS(SUMMARY!D:D, SUMMARY!B:B, A83, SUMMARY!A:A, "CAMOTES"), 0)</f>
        <v>0</v>
      </c>
      <c r="AJ83" s="28">
        <f t="shared" si="1"/>
        <v>230</v>
      </c>
    </row>
    <row r="84" ht="15.75" customHeight="1">
      <c r="A84" s="23" t="s">
        <v>736</v>
      </c>
      <c r="B84" s="23" t="s">
        <v>737</v>
      </c>
      <c r="C84" s="24" t="s">
        <v>48</v>
      </c>
      <c r="D84" s="25">
        <f>IFERROR(SUMIFS(SUMMARY!D:D, SUMMARY!B:B, A84, SUMMARY!A:A, "ADMIN"), 0)</f>
        <v>0</v>
      </c>
      <c r="E84" s="25">
        <f>IFERROR(SUMIFS(SUMMARY!D:D, SUMMARY!B:B, A84, SUMMARY!A:A, "WAREHOUSE"), 0)</f>
        <v>0</v>
      </c>
      <c r="F84" s="24">
        <f>IFERROR(SUMIFS(SUMMARY!D:D, SUMMARY!B:B, A84, SUMMARY!A:A, "LAGTANG"), 0)</f>
        <v>0</v>
      </c>
      <c r="G84" s="26">
        <f>IFERROR(SUMIFS(SUMMARY!D:D, SUMMARY!B:B, A84, SUMMARY!A:A, "V-RAMA"), 0)</f>
        <v>0</v>
      </c>
      <c r="H84" s="24">
        <f>IFERROR(SUMIFS(SUMMARY!D:D, SUMMARY!B:B, A84, SUMMARY!A:A, "BULACAO"), 0)</f>
        <v>0</v>
      </c>
      <c r="I84" s="24">
        <f>IFERROR(SUMIFS(SUMMARY!D:D, SUMMARY!B:B, A84, SUMMARY!A:A, "Y3S TALISAY"), 0)</f>
        <v>0</v>
      </c>
      <c r="J84" s="24">
        <f>IFERROR(SUMIFS(SUMMARY!D:D, SUMMARY!B:B, A84, SUMMARY!A:A, "MINGLANILLA"), 0)</f>
        <v>0</v>
      </c>
      <c r="K84" s="24">
        <f>IFERROR(SUMIFS(SUMMARY!D:D, SUMMARY!B:B, A84, SUMMARY!A:A, "Y3S PARDO"), 0)</f>
        <v>0</v>
      </c>
      <c r="L84" s="24">
        <f>IFERROR(SUMIFS(SUMMARY!D:D, SUMMARY!B:B, A84, SUMMARY!A:A, "LAPU-LAPU"), 0)</f>
        <v>0</v>
      </c>
      <c r="M84" s="24">
        <f>IFERROR(SUMIFS(SUMMARY!D:D, SUMMARY!B:B, A84, SUMMARY!A:A, "BACAYAN"), 0)</f>
        <v>0</v>
      </c>
      <c r="N84" s="24">
        <f>IFERROR(SUMIFS(SUMMARY!D:D, SUMMARY!B:B, A84, SUMMARY!A:A, "SAN FERNANDO MB"), 0)</f>
        <v>0</v>
      </c>
      <c r="O84" s="24">
        <f>IFERROR(SUMIFS(SUMMARY!D:D, SUMMARY!B:B, A84, SUMMARY!A:A, "Y3S SAN FERNANDO"), 0)</f>
        <v>0</v>
      </c>
      <c r="P84" s="24">
        <f>IFERROR(SUMIFS(SUMMARY!D:D, SUMMARY!B:B, A84, SUMMARY!A:A, "LILOAN"), 0)</f>
        <v>0</v>
      </c>
      <c r="Q84" s="24">
        <f>IFERROR(SUMIFS(SUMMARY!D:D, SUMMARY!B:B, A84, SUMMARY!A:A, "CORDOVA MB"), 0)</f>
        <v>0</v>
      </c>
      <c r="R84" s="24">
        <f>IFERROR(SUMIFS(SUMMARY!D:D, SUMMARY!B:B, A84, SUMMARY!A:A, "Y3S CORDOVA"), 0)</f>
        <v>0</v>
      </c>
      <c r="S84" s="24">
        <f>IFERROR(SUMIFS(SUMMARY!D:D, SUMMARY!B:B, A84, SUMMARY!A:A, "CLARIN"), 0)</f>
        <v>0</v>
      </c>
      <c r="T84" s="24">
        <f>IFERROR(SUMIFS(SUMMARY!D:D, SUMMARY!B:B, A84, SUMMARY!A:A, "TOLEDO"), 0)</f>
        <v>0</v>
      </c>
      <c r="U84" s="24">
        <f>IFERROR(SUMIFS(SUMMARY!D:D, SUMMARY!B:B, A84, SUMMARY!A:A, "UBAY"), 0)</f>
        <v>0</v>
      </c>
      <c r="V84" s="24">
        <f>IFERROR(SUMIFS(SUMMARY!D:D, SUMMARY!B:B, A84, SUMMARY!A:A, "CARMEN"), 0)</f>
        <v>0</v>
      </c>
      <c r="W84" s="24">
        <f>IFERROR(SUMIFS(SUMMARY!D:D, SUMMARY!B:B, A84, SUMMARY!A:A, "TUBIGON"), 0)</f>
        <v>0</v>
      </c>
      <c r="X84" s="24">
        <f>IFERROR(SUMIFS(SUMMARY!D:D, SUMMARY!B:B, A84, SUMMARY!A:A, "TALIBON"), 0)</f>
        <v>0</v>
      </c>
      <c r="Y84" s="24">
        <f>IFERROR(SUMIFS(SUMMARY!D:D, SUMMARY!B:B, A84, SUMMARY!A:A, "BOGO"), 0)</f>
        <v>0</v>
      </c>
      <c r="Z84" s="24">
        <f>IFERROR(SUMIFS(SUMMARY!D:D, SUMMARY!B:B, A84, SUMMARY!A:A, "BALAMBAN"), 0)</f>
        <v>0</v>
      </c>
      <c r="AA84" s="24">
        <f>IFERROR(SUMIFS(SUMMARY!D:D, SUMMARY!B:B, A84, SUMMARY!A:A, "Y3S BARILI"), 0)</f>
        <v>1</v>
      </c>
      <c r="AB84" s="24">
        <f>IFERROR(SUMIFS(SUMMARY!D:D, SUMMARY!B:B, A84, SUMMARY!A:A, "BARILI MB"), 0)</f>
        <v>0</v>
      </c>
      <c r="AC84" s="24">
        <f>IFERROR(SUMIFS(SUMMARY!D:D, SUMMARY!B:B, A84, SUMMARY!A:A, "SIERRA BULLONES"), 0)</f>
        <v>0</v>
      </c>
      <c r="AD84" s="24">
        <f>IFERROR(SUMIFS(SUMMARY!D:D, SUMMARY!B:B, A84, SUMMARY!A:A, "PITOGO"), 0)</f>
        <v>0</v>
      </c>
      <c r="AE84" s="24">
        <f>IFERROR(SUMIFS(SUMMARY!D:D, SUMMARY!B:B, A84, SUMMARY!A:A, "TAYUD CONSOLACION"), 0)</f>
        <v>0</v>
      </c>
      <c r="AF84" s="24">
        <f>IFERROR(SUMIFS(SUMMARY!D:D, SUMMARY!B:B, A84, SUMMARY!A:A, "PINAMUNGAJAN"), 0)</f>
        <v>0</v>
      </c>
      <c r="AG84" s="24">
        <f>IFERROR(SUMIFS(SUMMARY!D:D, SUMMARY!B:B, A84, SUMMARY!A:A, "CANDIJAY"), 0)</f>
        <v>0</v>
      </c>
      <c r="AH84" s="24">
        <f>IFERROR(SUMIFS(SUMMARY!D:D, SUMMARY!B:B, A84, SUMMARY!A:A, "YATI LILOAN"), 0)</f>
        <v>0</v>
      </c>
      <c r="AI84" s="27">
        <f>IFERROR(SUMIFS(SUMMARY!D:D, SUMMARY!B:B, A84, SUMMARY!A:A, "CAMOTES"), 0)</f>
        <v>0</v>
      </c>
      <c r="AJ84" s="28">
        <f t="shared" si="1"/>
        <v>1</v>
      </c>
    </row>
    <row r="85" ht="15.75" customHeight="1">
      <c r="A85" s="23" t="s">
        <v>738</v>
      </c>
      <c r="B85" s="23" t="s">
        <v>739</v>
      </c>
      <c r="C85" s="24" t="s">
        <v>48</v>
      </c>
      <c r="D85" s="25">
        <f>IFERROR(SUMIFS(SUMMARY!D:D, SUMMARY!B:B, A85, SUMMARY!A:A, "ADMIN"), 0)</f>
        <v>0</v>
      </c>
      <c r="E85" s="25">
        <f>IFERROR(SUMIFS(SUMMARY!D:D, SUMMARY!B:B, A85, SUMMARY!A:A, "WAREHOUSE"), 0)</f>
        <v>0</v>
      </c>
      <c r="F85" s="24">
        <f>IFERROR(SUMIFS(SUMMARY!D:D, SUMMARY!B:B, A85, SUMMARY!A:A, "LAGTANG"), 0)</f>
        <v>0</v>
      </c>
      <c r="G85" s="26">
        <f>IFERROR(SUMIFS(SUMMARY!D:D, SUMMARY!B:B, A85, SUMMARY!A:A, "V-RAMA"), 0)</f>
        <v>0</v>
      </c>
      <c r="H85" s="24">
        <f>IFERROR(SUMIFS(SUMMARY!D:D, SUMMARY!B:B, A85, SUMMARY!A:A, "BULACAO"), 0)</f>
        <v>0</v>
      </c>
      <c r="I85" s="24">
        <f>IFERROR(SUMIFS(SUMMARY!D:D, SUMMARY!B:B, A85, SUMMARY!A:A, "Y3S TALISAY"), 0)</f>
        <v>0</v>
      </c>
      <c r="J85" s="24">
        <f>IFERROR(SUMIFS(SUMMARY!D:D, SUMMARY!B:B, A85, SUMMARY!A:A, "MINGLANILLA"), 0)</f>
        <v>0</v>
      </c>
      <c r="K85" s="24">
        <f>IFERROR(SUMIFS(SUMMARY!D:D, SUMMARY!B:B, A85, SUMMARY!A:A, "Y3S PARDO"), 0)</f>
        <v>0</v>
      </c>
      <c r="L85" s="24">
        <f>IFERROR(SUMIFS(SUMMARY!D:D, SUMMARY!B:B, A85, SUMMARY!A:A, "LAPU-LAPU"), 0)</f>
        <v>0</v>
      </c>
      <c r="M85" s="24">
        <f>IFERROR(SUMIFS(SUMMARY!D:D, SUMMARY!B:B, A85, SUMMARY!A:A, "BACAYAN"), 0)</f>
        <v>0</v>
      </c>
      <c r="N85" s="24">
        <f>IFERROR(SUMIFS(SUMMARY!D:D, SUMMARY!B:B, A85, SUMMARY!A:A, "SAN FERNANDO MB"), 0)</f>
        <v>0</v>
      </c>
      <c r="O85" s="24">
        <f>IFERROR(SUMIFS(SUMMARY!D:D, SUMMARY!B:B, A85, SUMMARY!A:A, "Y3S SAN FERNANDO"), 0)</f>
        <v>0</v>
      </c>
      <c r="P85" s="24">
        <f>IFERROR(SUMIFS(SUMMARY!D:D, SUMMARY!B:B, A85, SUMMARY!A:A, "LILOAN"), 0)</f>
        <v>0</v>
      </c>
      <c r="Q85" s="24">
        <f>IFERROR(SUMIFS(SUMMARY!D:D, SUMMARY!B:B, A85, SUMMARY!A:A, "CORDOVA MB"), 0)</f>
        <v>0</v>
      </c>
      <c r="R85" s="24">
        <f>IFERROR(SUMIFS(SUMMARY!D:D, SUMMARY!B:B, A85, SUMMARY!A:A, "Y3S CORDOVA"), 0)</f>
        <v>0</v>
      </c>
      <c r="S85" s="24">
        <f>IFERROR(SUMIFS(SUMMARY!D:D, SUMMARY!B:B, A85, SUMMARY!A:A, "CLARIN"), 0)</f>
        <v>0</v>
      </c>
      <c r="T85" s="24">
        <f>IFERROR(SUMIFS(SUMMARY!D:D, SUMMARY!B:B, A85, SUMMARY!A:A, "TOLEDO"), 0)</f>
        <v>0</v>
      </c>
      <c r="U85" s="24">
        <f>IFERROR(SUMIFS(SUMMARY!D:D, SUMMARY!B:B, A85, SUMMARY!A:A, "UBAY"), 0)</f>
        <v>0</v>
      </c>
      <c r="V85" s="24">
        <f>IFERROR(SUMIFS(SUMMARY!D:D, SUMMARY!B:B, A85, SUMMARY!A:A, "CARMEN"), 0)</f>
        <v>0</v>
      </c>
      <c r="W85" s="24">
        <f>IFERROR(SUMIFS(SUMMARY!D:D, SUMMARY!B:B, A85, SUMMARY!A:A, "TUBIGON"), 0)</f>
        <v>0</v>
      </c>
      <c r="X85" s="24">
        <f>IFERROR(SUMIFS(SUMMARY!D:D, SUMMARY!B:B, A85, SUMMARY!A:A, "TALIBON"), 0)</f>
        <v>0</v>
      </c>
      <c r="Y85" s="24">
        <f>IFERROR(SUMIFS(SUMMARY!D:D, SUMMARY!B:B, A85, SUMMARY!A:A, "BOGO"), 0)</f>
        <v>0</v>
      </c>
      <c r="Z85" s="24">
        <f>IFERROR(SUMIFS(SUMMARY!D:D, SUMMARY!B:B, A85, SUMMARY!A:A, "BALAMBAN"), 0)</f>
        <v>0</v>
      </c>
      <c r="AA85" s="24">
        <f>IFERROR(SUMIFS(SUMMARY!D:D, SUMMARY!B:B, A85, SUMMARY!A:A, "Y3S BARILI"), 0)</f>
        <v>0</v>
      </c>
      <c r="AB85" s="24">
        <f>IFERROR(SUMIFS(SUMMARY!D:D, SUMMARY!B:B, A85, SUMMARY!A:A, "BARILI MB"), 0)</f>
        <v>1</v>
      </c>
      <c r="AC85" s="24">
        <f>IFERROR(SUMIFS(SUMMARY!D:D, SUMMARY!B:B, A85, SUMMARY!A:A, "SIERRA BULLONES"), 0)</f>
        <v>1</v>
      </c>
      <c r="AD85" s="24">
        <f>IFERROR(SUMIFS(SUMMARY!D:D, SUMMARY!B:B, A85, SUMMARY!A:A, "PITOGO"), 0)</f>
        <v>0</v>
      </c>
      <c r="AE85" s="24">
        <f>IFERROR(SUMIFS(SUMMARY!D:D, SUMMARY!B:B, A85, SUMMARY!A:A, "TAYUD CONSOLACION"), 0)</f>
        <v>0</v>
      </c>
      <c r="AF85" s="24">
        <f>IFERROR(SUMIFS(SUMMARY!D:D, SUMMARY!B:B, A85, SUMMARY!A:A, "PINAMUNGAJAN"), 0)</f>
        <v>0</v>
      </c>
      <c r="AG85" s="24">
        <f>IFERROR(SUMIFS(SUMMARY!D:D, SUMMARY!B:B, A85, SUMMARY!A:A, "CANDIJAY"), 0)</f>
        <v>0</v>
      </c>
      <c r="AH85" s="24">
        <f>IFERROR(SUMIFS(SUMMARY!D:D, SUMMARY!B:B, A85, SUMMARY!A:A, "YATI LILOAN"), 0)</f>
        <v>0</v>
      </c>
      <c r="AI85" s="27">
        <f>IFERROR(SUMIFS(SUMMARY!D:D, SUMMARY!B:B, A85, SUMMARY!A:A, "CAMOTES"), 0)</f>
        <v>0</v>
      </c>
      <c r="AJ85" s="28">
        <f t="shared" si="1"/>
        <v>2</v>
      </c>
    </row>
    <row r="86" ht="15.75" customHeight="1">
      <c r="A86" s="23" t="s">
        <v>337</v>
      </c>
      <c r="B86" s="23" t="s">
        <v>338</v>
      </c>
      <c r="C86" s="24" t="s">
        <v>48</v>
      </c>
      <c r="D86" s="25">
        <f>IFERROR(SUMIFS(SUMMARY!D:D, SUMMARY!B:B, A86, SUMMARY!A:A, "ADMIN"), 0)</f>
        <v>0</v>
      </c>
      <c r="E86" s="25">
        <f>IFERROR(SUMIFS(SUMMARY!D:D, SUMMARY!B:B, A86, SUMMARY!A:A, "WAREHOUSE"), 0)</f>
        <v>0</v>
      </c>
      <c r="F86" s="24">
        <f>IFERROR(SUMIFS(SUMMARY!D:D, SUMMARY!B:B, A86, SUMMARY!A:A, "LAGTANG"), 0)</f>
        <v>0</v>
      </c>
      <c r="G86" s="26">
        <f>IFERROR(SUMIFS(SUMMARY!D:D, SUMMARY!B:B, A86, SUMMARY!A:A, "V-RAMA"), 0)</f>
        <v>0</v>
      </c>
      <c r="H86" s="24">
        <f>IFERROR(SUMIFS(SUMMARY!D:D, SUMMARY!B:B, A86, SUMMARY!A:A, "BULACAO"), 0)</f>
        <v>0</v>
      </c>
      <c r="I86" s="24">
        <f>IFERROR(SUMIFS(SUMMARY!D:D, SUMMARY!B:B, A86, SUMMARY!A:A, "Y3S TALISAY"), 0)</f>
        <v>0</v>
      </c>
      <c r="J86" s="24">
        <f>IFERROR(SUMIFS(SUMMARY!D:D, SUMMARY!B:B, A86, SUMMARY!A:A, "MINGLANILLA"), 0)</f>
        <v>0</v>
      </c>
      <c r="K86" s="24">
        <f>IFERROR(SUMIFS(SUMMARY!D:D, SUMMARY!B:B, A86, SUMMARY!A:A, "Y3S PARDO"), 0)</f>
        <v>0</v>
      </c>
      <c r="L86" s="24">
        <f>IFERROR(SUMIFS(SUMMARY!D:D, SUMMARY!B:B, A86, SUMMARY!A:A, "LAPU-LAPU"), 0)</f>
        <v>0</v>
      </c>
      <c r="M86" s="24">
        <f>IFERROR(SUMIFS(SUMMARY!D:D, SUMMARY!B:B, A86, SUMMARY!A:A, "BACAYAN"), 0)</f>
        <v>0</v>
      </c>
      <c r="N86" s="24">
        <f>IFERROR(SUMIFS(SUMMARY!D:D, SUMMARY!B:B, A86, SUMMARY!A:A, "SAN FERNANDO MB"), 0)</f>
        <v>0</v>
      </c>
      <c r="O86" s="24">
        <f>IFERROR(SUMIFS(SUMMARY!D:D, SUMMARY!B:B, A86, SUMMARY!A:A, "Y3S SAN FERNANDO"), 0)</f>
        <v>0</v>
      </c>
      <c r="P86" s="24">
        <f>IFERROR(SUMIFS(SUMMARY!D:D, SUMMARY!B:B, A86, SUMMARY!A:A, "LILOAN"), 0)</f>
        <v>0</v>
      </c>
      <c r="Q86" s="24">
        <f>IFERROR(SUMIFS(SUMMARY!D:D, SUMMARY!B:B, A86, SUMMARY!A:A, "CORDOVA MB"), 0)</f>
        <v>0</v>
      </c>
      <c r="R86" s="24">
        <f>IFERROR(SUMIFS(SUMMARY!D:D, SUMMARY!B:B, A86, SUMMARY!A:A, "Y3S CORDOVA"), 0)</f>
        <v>0</v>
      </c>
      <c r="S86" s="24">
        <f>IFERROR(SUMIFS(SUMMARY!D:D, SUMMARY!B:B, A86, SUMMARY!A:A, "CLARIN"), 0)</f>
        <v>0</v>
      </c>
      <c r="T86" s="24">
        <f>IFERROR(SUMIFS(SUMMARY!D:D, SUMMARY!B:B, A86, SUMMARY!A:A, "TOLEDO"), 0)</f>
        <v>0</v>
      </c>
      <c r="U86" s="24">
        <f>IFERROR(SUMIFS(SUMMARY!D:D, SUMMARY!B:B, A86, SUMMARY!A:A, "UBAY"), 0)</f>
        <v>0</v>
      </c>
      <c r="V86" s="24">
        <f>IFERROR(SUMIFS(SUMMARY!D:D, SUMMARY!B:B, A86, SUMMARY!A:A, "CARMEN"), 0)</f>
        <v>0</v>
      </c>
      <c r="W86" s="24">
        <f>IFERROR(SUMIFS(SUMMARY!D:D, SUMMARY!B:B, A86, SUMMARY!A:A, "TUBIGON"), 0)</f>
        <v>0</v>
      </c>
      <c r="X86" s="24">
        <f>IFERROR(SUMIFS(SUMMARY!D:D, SUMMARY!B:B, A86, SUMMARY!A:A, "TALIBON"), 0)</f>
        <v>0</v>
      </c>
      <c r="Y86" s="24">
        <f>IFERROR(SUMIFS(SUMMARY!D:D, SUMMARY!B:B, A86, SUMMARY!A:A, "BOGO"), 0)</f>
        <v>0</v>
      </c>
      <c r="Z86" s="24">
        <f>IFERROR(SUMIFS(SUMMARY!D:D, SUMMARY!B:B, A86, SUMMARY!A:A, "BALAMBAN"), 0)</f>
        <v>0</v>
      </c>
      <c r="AA86" s="24">
        <f>IFERROR(SUMIFS(SUMMARY!D:D, SUMMARY!B:B, A86, SUMMARY!A:A, "Y3S BARILI"), 0)</f>
        <v>0</v>
      </c>
      <c r="AB86" s="24">
        <f>IFERROR(SUMIFS(SUMMARY!D:D, SUMMARY!B:B, A86, SUMMARY!A:A, "BARILI MB"), 0)</f>
        <v>0</v>
      </c>
      <c r="AC86" s="24">
        <f>IFERROR(SUMIFS(SUMMARY!D:D, SUMMARY!B:B, A86, SUMMARY!A:A, "SIERRA BULLONES"), 0)</f>
        <v>0</v>
      </c>
      <c r="AD86" s="24">
        <f>IFERROR(SUMIFS(SUMMARY!D:D, SUMMARY!B:B, A86, SUMMARY!A:A, "PITOGO"), 0)</f>
        <v>0</v>
      </c>
      <c r="AE86" s="24">
        <f>IFERROR(SUMIFS(SUMMARY!D:D, SUMMARY!B:B, A86, SUMMARY!A:A, "TAYUD CONSOLACION"), 0)</f>
        <v>0</v>
      </c>
      <c r="AF86" s="24">
        <f>IFERROR(SUMIFS(SUMMARY!D:D, SUMMARY!B:B, A86, SUMMARY!A:A, "PINAMUNGAJAN"), 0)</f>
        <v>0</v>
      </c>
      <c r="AG86" s="24">
        <f>IFERROR(SUMIFS(SUMMARY!D:D, SUMMARY!B:B, A86, SUMMARY!A:A, "CANDIJAY"), 0)</f>
        <v>0</v>
      </c>
      <c r="AH86" s="24">
        <f>IFERROR(SUMIFS(SUMMARY!D:D, SUMMARY!B:B, A86, SUMMARY!A:A, "YATI LILOAN"), 0)</f>
        <v>0</v>
      </c>
      <c r="AI86" s="27">
        <f>IFERROR(SUMIFS(SUMMARY!D:D, SUMMARY!B:B, A86, SUMMARY!A:A, "CAMOTES"), 0)</f>
        <v>0</v>
      </c>
      <c r="AJ86" s="28">
        <f t="shared" si="1"/>
        <v>0</v>
      </c>
    </row>
    <row r="87" ht="15.75" customHeight="1">
      <c r="A87" s="23" t="s">
        <v>740</v>
      </c>
      <c r="B87" s="23" t="s">
        <v>741</v>
      </c>
      <c r="C87" s="24" t="s">
        <v>21</v>
      </c>
      <c r="D87" s="25">
        <f>IFERROR(SUMIFS(SUMMARY!D:D, SUMMARY!B:B, A87, SUMMARY!A:A, "ADMIN"), 0)</f>
        <v>0</v>
      </c>
      <c r="E87" s="25">
        <f>IFERROR(SUMIFS(SUMMARY!D:D, SUMMARY!B:B, A87, SUMMARY!A:A, "WAREHOUSE"), 0)</f>
        <v>0</v>
      </c>
      <c r="F87" s="24">
        <f>IFERROR(SUMIFS(SUMMARY!D:D, SUMMARY!B:B, A87, SUMMARY!A:A, "LAGTANG"), 0)</f>
        <v>0</v>
      </c>
      <c r="G87" s="26">
        <f>IFERROR(SUMIFS(SUMMARY!D:D, SUMMARY!B:B, A87, SUMMARY!A:A, "V-RAMA"), 0)</f>
        <v>0</v>
      </c>
      <c r="H87" s="24">
        <f>IFERROR(SUMIFS(SUMMARY!D:D, SUMMARY!B:B, A87, SUMMARY!A:A, "BULACAO"), 0)</f>
        <v>1</v>
      </c>
      <c r="I87" s="24">
        <f>IFERROR(SUMIFS(SUMMARY!D:D, SUMMARY!B:B, A87, SUMMARY!A:A, "Y3S TALISAY"), 0)</f>
        <v>1</v>
      </c>
      <c r="J87" s="24">
        <f>IFERROR(SUMIFS(SUMMARY!D:D, SUMMARY!B:B, A87, SUMMARY!A:A, "MINGLANILLA"), 0)</f>
        <v>0</v>
      </c>
      <c r="K87" s="24">
        <f>IFERROR(SUMIFS(SUMMARY!D:D, SUMMARY!B:B, A87, SUMMARY!A:A, "Y3S PARDO"), 0)</f>
        <v>1</v>
      </c>
      <c r="L87" s="24">
        <f>IFERROR(SUMIFS(SUMMARY!D:D, SUMMARY!B:B, A87, SUMMARY!A:A, "LAPU-LAPU"), 0)</f>
        <v>0</v>
      </c>
      <c r="M87" s="24">
        <f>IFERROR(SUMIFS(SUMMARY!D:D, SUMMARY!B:B, A87, SUMMARY!A:A, "BACAYAN"), 0)</f>
        <v>0</v>
      </c>
      <c r="N87" s="24">
        <f>IFERROR(SUMIFS(SUMMARY!D:D, SUMMARY!B:B, A87, SUMMARY!A:A, "SAN FERNANDO MB"), 0)</f>
        <v>0</v>
      </c>
      <c r="O87" s="24">
        <f>IFERROR(SUMIFS(SUMMARY!D:D, SUMMARY!B:B, A87, SUMMARY!A:A, "Y3S SAN FERNANDO"), 0)</f>
        <v>0</v>
      </c>
      <c r="P87" s="24">
        <f>IFERROR(SUMIFS(SUMMARY!D:D, SUMMARY!B:B, A87, SUMMARY!A:A, "LILOAN"), 0)</f>
        <v>0</v>
      </c>
      <c r="Q87" s="24">
        <f>IFERROR(SUMIFS(SUMMARY!D:D, SUMMARY!B:B, A87, SUMMARY!A:A, "CORDOVA MB"), 0)</f>
        <v>0</v>
      </c>
      <c r="R87" s="24">
        <f>IFERROR(SUMIFS(SUMMARY!D:D, SUMMARY!B:B, A87, SUMMARY!A:A, "Y3S CORDOVA"), 0)</f>
        <v>2</v>
      </c>
      <c r="S87" s="24">
        <f>IFERROR(SUMIFS(SUMMARY!D:D, SUMMARY!B:B, A87, SUMMARY!A:A, "CLARIN"), 0)</f>
        <v>0</v>
      </c>
      <c r="T87" s="24">
        <f>IFERROR(SUMIFS(SUMMARY!D:D, SUMMARY!B:B, A87, SUMMARY!A:A, "TOLEDO"), 0)</f>
        <v>0</v>
      </c>
      <c r="U87" s="24">
        <f>IFERROR(SUMIFS(SUMMARY!D:D, SUMMARY!B:B, A87, SUMMARY!A:A, "UBAY"), 0)</f>
        <v>1</v>
      </c>
      <c r="V87" s="24">
        <f>IFERROR(SUMIFS(SUMMARY!D:D, SUMMARY!B:B, A87, SUMMARY!A:A, "CARMEN"), 0)</f>
        <v>0</v>
      </c>
      <c r="W87" s="24">
        <f>IFERROR(SUMIFS(SUMMARY!D:D, SUMMARY!B:B, A87, SUMMARY!A:A, "TUBIGON"), 0)</f>
        <v>0</v>
      </c>
      <c r="X87" s="24">
        <f>IFERROR(SUMIFS(SUMMARY!D:D, SUMMARY!B:B, A87, SUMMARY!A:A, "TALIBON"), 0)</f>
        <v>0</v>
      </c>
      <c r="Y87" s="24">
        <f>IFERROR(SUMIFS(SUMMARY!D:D, SUMMARY!B:B, A87, SUMMARY!A:A, "BOGO"), 0)</f>
        <v>0</v>
      </c>
      <c r="Z87" s="24">
        <f>IFERROR(SUMIFS(SUMMARY!D:D, SUMMARY!B:B, A87, SUMMARY!A:A, "BALAMBAN"), 0)</f>
        <v>0</v>
      </c>
      <c r="AA87" s="24">
        <f>IFERROR(SUMIFS(SUMMARY!D:D, SUMMARY!B:B, A87, SUMMARY!A:A, "Y3S BARILI"), 0)</f>
        <v>1</v>
      </c>
      <c r="AB87" s="24">
        <f>IFERROR(SUMIFS(SUMMARY!D:D, SUMMARY!B:B, A87, SUMMARY!A:A, "BARILI MB"), 0)</f>
        <v>0</v>
      </c>
      <c r="AC87" s="24">
        <f>IFERROR(SUMIFS(SUMMARY!D:D, SUMMARY!B:B, A87, SUMMARY!A:A, "SIERRA BULLONES"), 0)</f>
        <v>0</v>
      </c>
      <c r="AD87" s="24">
        <f>IFERROR(SUMIFS(SUMMARY!D:D, SUMMARY!B:B, A87, SUMMARY!A:A, "PITOGO"), 0)</f>
        <v>0</v>
      </c>
      <c r="AE87" s="24">
        <f>IFERROR(SUMIFS(SUMMARY!D:D, SUMMARY!B:B, A87, SUMMARY!A:A, "TAYUD CONSOLACION"), 0)</f>
        <v>0</v>
      </c>
      <c r="AF87" s="24">
        <f>IFERROR(SUMIFS(SUMMARY!D:D, SUMMARY!B:B, A87, SUMMARY!A:A, "PINAMUNGAJAN"), 0)</f>
        <v>0</v>
      </c>
      <c r="AG87" s="24">
        <f>IFERROR(SUMIFS(SUMMARY!D:D, SUMMARY!B:B, A87, SUMMARY!A:A, "CANDIJAY"), 0)</f>
        <v>0</v>
      </c>
      <c r="AH87" s="24">
        <f>IFERROR(SUMIFS(SUMMARY!D:D, SUMMARY!B:B, A87, SUMMARY!A:A, "YATI LILOAN"), 0)</f>
        <v>0</v>
      </c>
      <c r="AI87" s="27">
        <f>IFERROR(SUMIFS(SUMMARY!D:D, SUMMARY!B:B, A87, SUMMARY!A:A, "CAMOTES"), 0)</f>
        <v>0</v>
      </c>
      <c r="AJ87" s="28">
        <f t="shared" si="1"/>
        <v>7</v>
      </c>
    </row>
    <row r="88" ht="15.75" customHeight="1">
      <c r="A88" s="23" t="s">
        <v>742</v>
      </c>
      <c r="B88" s="23" t="s">
        <v>743</v>
      </c>
      <c r="C88" s="24" t="s">
        <v>48</v>
      </c>
      <c r="D88" s="25">
        <f>IFERROR(SUMIFS(SUMMARY!D:D, SUMMARY!B:B, A88, SUMMARY!A:A, "ADMIN"), 0)</f>
        <v>0</v>
      </c>
      <c r="E88" s="25">
        <f>IFERROR(SUMIFS(SUMMARY!D:D, SUMMARY!B:B, A88, SUMMARY!A:A, "WAREHOUSE"), 0)</f>
        <v>0</v>
      </c>
      <c r="F88" s="24">
        <f>IFERROR(SUMIFS(SUMMARY!D:D, SUMMARY!B:B, A88, SUMMARY!A:A, "LAGTANG"), 0)</f>
        <v>0</v>
      </c>
      <c r="G88" s="26">
        <f>IFERROR(SUMIFS(SUMMARY!D:D, SUMMARY!B:B, A88, SUMMARY!A:A, "V-RAMA"), 0)</f>
        <v>0</v>
      </c>
      <c r="H88" s="24">
        <f>IFERROR(SUMIFS(SUMMARY!D:D, SUMMARY!B:B, A88, SUMMARY!A:A, "BULACAO"), 0)</f>
        <v>1</v>
      </c>
      <c r="I88" s="24">
        <f>IFERROR(SUMIFS(SUMMARY!D:D, SUMMARY!B:B, A88, SUMMARY!A:A, "Y3S TALISAY"), 0)</f>
        <v>0</v>
      </c>
      <c r="J88" s="24">
        <f>IFERROR(SUMIFS(SUMMARY!D:D, SUMMARY!B:B, A88, SUMMARY!A:A, "MINGLANILLA"), 0)</f>
        <v>1</v>
      </c>
      <c r="K88" s="24">
        <f>IFERROR(SUMIFS(SUMMARY!D:D, SUMMARY!B:B, A88, SUMMARY!A:A, "Y3S PARDO"), 0)</f>
        <v>1</v>
      </c>
      <c r="L88" s="24">
        <f>IFERROR(SUMIFS(SUMMARY!D:D, SUMMARY!B:B, A88, SUMMARY!A:A, "LAPU-LAPU"), 0)</f>
        <v>0</v>
      </c>
      <c r="M88" s="24">
        <f>IFERROR(SUMIFS(SUMMARY!D:D, SUMMARY!B:B, A88, SUMMARY!A:A, "BACAYAN"), 0)</f>
        <v>0</v>
      </c>
      <c r="N88" s="24">
        <f>IFERROR(SUMIFS(SUMMARY!D:D, SUMMARY!B:B, A88, SUMMARY!A:A, "SAN FERNANDO MB"), 0)</f>
        <v>1</v>
      </c>
      <c r="O88" s="24">
        <f>IFERROR(SUMIFS(SUMMARY!D:D, SUMMARY!B:B, A88, SUMMARY!A:A, "Y3S SAN FERNANDO"), 0)</f>
        <v>0</v>
      </c>
      <c r="P88" s="24">
        <f>IFERROR(SUMIFS(SUMMARY!D:D, SUMMARY!B:B, A88, SUMMARY!A:A, "LILOAN"), 0)</f>
        <v>1</v>
      </c>
      <c r="Q88" s="24">
        <f>IFERROR(SUMIFS(SUMMARY!D:D, SUMMARY!B:B, A88, SUMMARY!A:A, "CORDOVA MB"), 0)</f>
        <v>0</v>
      </c>
      <c r="R88" s="24">
        <f>IFERROR(SUMIFS(SUMMARY!D:D, SUMMARY!B:B, A88, SUMMARY!A:A, "Y3S CORDOVA"), 0)</f>
        <v>3</v>
      </c>
      <c r="S88" s="24">
        <f>IFERROR(SUMIFS(SUMMARY!D:D, SUMMARY!B:B, A88, SUMMARY!A:A, "CLARIN"), 0)</f>
        <v>1</v>
      </c>
      <c r="T88" s="24">
        <f>IFERROR(SUMIFS(SUMMARY!D:D, SUMMARY!B:B, A88, SUMMARY!A:A, "TOLEDO"), 0)</f>
        <v>1</v>
      </c>
      <c r="U88" s="24">
        <f>IFERROR(SUMIFS(SUMMARY!D:D, SUMMARY!B:B, A88, SUMMARY!A:A, "UBAY"), 0)</f>
        <v>0</v>
      </c>
      <c r="V88" s="24">
        <f>IFERROR(SUMIFS(SUMMARY!D:D, SUMMARY!B:B, A88, SUMMARY!A:A, "CARMEN"), 0)</f>
        <v>1</v>
      </c>
      <c r="W88" s="24">
        <f>IFERROR(SUMIFS(SUMMARY!D:D, SUMMARY!B:B, A88, SUMMARY!A:A, "TUBIGON"), 0)</f>
        <v>1</v>
      </c>
      <c r="X88" s="24">
        <f>IFERROR(SUMIFS(SUMMARY!D:D, SUMMARY!B:B, A88, SUMMARY!A:A, "TALIBON"), 0)</f>
        <v>0</v>
      </c>
      <c r="Y88" s="24">
        <f>IFERROR(SUMIFS(SUMMARY!D:D, SUMMARY!B:B, A88, SUMMARY!A:A, "BOGO"), 0)</f>
        <v>0</v>
      </c>
      <c r="Z88" s="24">
        <f>IFERROR(SUMIFS(SUMMARY!D:D, SUMMARY!B:B, A88, SUMMARY!A:A, "BALAMBAN"), 0)</f>
        <v>0</v>
      </c>
      <c r="AA88" s="24">
        <f>IFERROR(SUMIFS(SUMMARY!D:D, SUMMARY!B:B, A88, SUMMARY!A:A, "Y3S BARILI"), 0)</f>
        <v>0</v>
      </c>
      <c r="AB88" s="24">
        <f>IFERROR(SUMIFS(SUMMARY!D:D, SUMMARY!B:B, A88, SUMMARY!A:A, "BARILI MB"), 0)</f>
        <v>0</v>
      </c>
      <c r="AC88" s="24">
        <f>IFERROR(SUMIFS(SUMMARY!D:D, SUMMARY!B:B, A88, SUMMARY!A:A, "SIERRA BULLONES"), 0)</f>
        <v>0</v>
      </c>
      <c r="AD88" s="24">
        <f>IFERROR(SUMIFS(SUMMARY!D:D, SUMMARY!B:B, A88, SUMMARY!A:A, "PITOGO"), 0)</f>
        <v>0</v>
      </c>
      <c r="AE88" s="24">
        <f>IFERROR(SUMIFS(SUMMARY!D:D, SUMMARY!B:B, A88, SUMMARY!A:A, "TAYUD CONSOLACION"), 0)</f>
        <v>0</v>
      </c>
      <c r="AF88" s="24">
        <f>IFERROR(SUMIFS(SUMMARY!D:D, SUMMARY!B:B, A88, SUMMARY!A:A, "PINAMUNGAJAN"), 0)</f>
        <v>0</v>
      </c>
      <c r="AG88" s="24">
        <f>IFERROR(SUMIFS(SUMMARY!D:D, SUMMARY!B:B, A88, SUMMARY!A:A, "CANDIJAY"), 0)</f>
        <v>0</v>
      </c>
      <c r="AH88" s="24">
        <f>IFERROR(SUMIFS(SUMMARY!D:D, SUMMARY!B:B, A88, SUMMARY!A:A, "YATI LILOAN"), 0)</f>
        <v>0</v>
      </c>
      <c r="AI88" s="27">
        <f>IFERROR(SUMIFS(SUMMARY!D:D, SUMMARY!B:B, A88, SUMMARY!A:A, "CAMOTES"), 0)</f>
        <v>0</v>
      </c>
      <c r="AJ88" s="28">
        <f t="shared" si="1"/>
        <v>12</v>
      </c>
    </row>
    <row r="89" ht="15.75" customHeight="1">
      <c r="A89" s="23" t="s">
        <v>744</v>
      </c>
      <c r="B89" s="23" t="s">
        <v>745</v>
      </c>
      <c r="C89" s="24" t="s">
        <v>48</v>
      </c>
      <c r="D89" s="25">
        <f>IFERROR(SUMIFS(SUMMARY!D:D, SUMMARY!B:B, A89, SUMMARY!A:A, "ADMIN"), 0)</f>
        <v>0</v>
      </c>
      <c r="E89" s="25">
        <f>IFERROR(SUMIFS(SUMMARY!D:D, SUMMARY!B:B, A89, SUMMARY!A:A, "WAREHOUSE"), 0)</f>
        <v>0</v>
      </c>
      <c r="F89" s="24">
        <f>IFERROR(SUMIFS(SUMMARY!D:D, SUMMARY!B:B, A89, SUMMARY!A:A, "LAGTANG"), 0)</f>
        <v>1</v>
      </c>
      <c r="G89" s="26">
        <f>IFERROR(SUMIFS(SUMMARY!D:D, SUMMARY!B:B, A89, SUMMARY!A:A, "V-RAMA"), 0)</f>
        <v>0</v>
      </c>
      <c r="H89" s="24">
        <f>IFERROR(SUMIFS(SUMMARY!D:D, SUMMARY!B:B, A89, SUMMARY!A:A, "BULACAO"), 0)</f>
        <v>1</v>
      </c>
      <c r="I89" s="24">
        <f>IFERROR(SUMIFS(SUMMARY!D:D, SUMMARY!B:B, A89, SUMMARY!A:A, "Y3S TALISAY"), 0)</f>
        <v>0</v>
      </c>
      <c r="J89" s="24">
        <f>IFERROR(SUMIFS(SUMMARY!D:D, SUMMARY!B:B, A89, SUMMARY!A:A, "MINGLANILLA"), 0)</f>
        <v>0</v>
      </c>
      <c r="K89" s="24">
        <f>IFERROR(SUMIFS(SUMMARY!D:D, SUMMARY!B:B, A89, SUMMARY!A:A, "Y3S PARDO"), 0)</f>
        <v>0</v>
      </c>
      <c r="L89" s="24">
        <f>IFERROR(SUMIFS(SUMMARY!D:D, SUMMARY!B:B, A89, SUMMARY!A:A, "LAPU-LAPU"), 0)</f>
        <v>0</v>
      </c>
      <c r="M89" s="24">
        <f>IFERROR(SUMIFS(SUMMARY!D:D, SUMMARY!B:B, A89, SUMMARY!A:A, "BACAYAN"), 0)</f>
        <v>0</v>
      </c>
      <c r="N89" s="24">
        <f>IFERROR(SUMIFS(SUMMARY!D:D, SUMMARY!B:B, A89, SUMMARY!A:A, "SAN FERNANDO MB"), 0)</f>
        <v>0</v>
      </c>
      <c r="O89" s="24">
        <f>IFERROR(SUMIFS(SUMMARY!D:D, SUMMARY!B:B, A89, SUMMARY!A:A, "Y3S SAN FERNANDO"), 0)</f>
        <v>0</v>
      </c>
      <c r="P89" s="24">
        <f>IFERROR(SUMIFS(SUMMARY!D:D, SUMMARY!B:B, A89, SUMMARY!A:A, "LILOAN"), 0)</f>
        <v>0</v>
      </c>
      <c r="Q89" s="24">
        <f>IFERROR(SUMIFS(SUMMARY!D:D, SUMMARY!B:B, A89, SUMMARY!A:A, "CORDOVA MB"), 0)</f>
        <v>0</v>
      </c>
      <c r="R89" s="24">
        <f>IFERROR(SUMIFS(SUMMARY!D:D, SUMMARY!B:B, A89, SUMMARY!A:A, "Y3S CORDOVA"), 0)</f>
        <v>0</v>
      </c>
      <c r="S89" s="24">
        <f>IFERROR(SUMIFS(SUMMARY!D:D, SUMMARY!B:B, A89, SUMMARY!A:A, "CLARIN"), 0)</f>
        <v>0</v>
      </c>
      <c r="T89" s="24">
        <f>IFERROR(SUMIFS(SUMMARY!D:D, SUMMARY!B:B, A89, SUMMARY!A:A, "TOLEDO"), 0)</f>
        <v>0</v>
      </c>
      <c r="U89" s="24">
        <f>IFERROR(SUMIFS(SUMMARY!D:D, SUMMARY!B:B, A89, SUMMARY!A:A, "UBAY"), 0)</f>
        <v>0</v>
      </c>
      <c r="V89" s="24">
        <f>IFERROR(SUMIFS(SUMMARY!D:D, SUMMARY!B:B, A89, SUMMARY!A:A, "CARMEN"), 0)</f>
        <v>1</v>
      </c>
      <c r="W89" s="24">
        <f>IFERROR(SUMIFS(SUMMARY!D:D, SUMMARY!B:B, A89, SUMMARY!A:A, "TUBIGON"), 0)</f>
        <v>0</v>
      </c>
      <c r="X89" s="24">
        <f>IFERROR(SUMIFS(SUMMARY!D:D, SUMMARY!B:B, A89, SUMMARY!A:A, "TALIBON"), 0)</f>
        <v>0</v>
      </c>
      <c r="Y89" s="24">
        <f>IFERROR(SUMIFS(SUMMARY!D:D, SUMMARY!B:B, A89, SUMMARY!A:A, "BOGO"), 0)</f>
        <v>1</v>
      </c>
      <c r="Z89" s="24">
        <f>IFERROR(SUMIFS(SUMMARY!D:D, SUMMARY!B:B, A89, SUMMARY!A:A, "BALAMBAN"), 0)</f>
        <v>1</v>
      </c>
      <c r="AA89" s="24">
        <f>IFERROR(SUMIFS(SUMMARY!D:D, SUMMARY!B:B, A89, SUMMARY!A:A, "Y3S BARILI"), 0)</f>
        <v>1</v>
      </c>
      <c r="AB89" s="24">
        <f>IFERROR(SUMIFS(SUMMARY!D:D, SUMMARY!B:B, A89, SUMMARY!A:A, "BARILI MB"), 0)</f>
        <v>2</v>
      </c>
      <c r="AC89" s="24">
        <f>IFERROR(SUMIFS(SUMMARY!D:D, SUMMARY!B:B, A89, SUMMARY!A:A, "SIERRA BULLONES"), 0)</f>
        <v>0</v>
      </c>
      <c r="AD89" s="24">
        <f>IFERROR(SUMIFS(SUMMARY!D:D, SUMMARY!B:B, A89, SUMMARY!A:A, "PITOGO"), 0)</f>
        <v>0</v>
      </c>
      <c r="AE89" s="24">
        <f>IFERROR(SUMIFS(SUMMARY!D:D, SUMMARY!B:B, A89, SUMMARY!A:A, "TAYUD CONSOLACION"), 0)</f>
        <v>0</v>
      </c>
      <c r="AF89" s="24">
        <f>IFERROR(SUMIFS(SUMMARY!D:D, SUMMARY!B:B, A89, SUMMARY!A:A, "PINAMUNGAJAN"), 0)</f>
        <v>1</v>
      </c>
      <c r="AG89" s="24">
        <f>IFERROR(SUMIFS(SUMMARY!D:D, SUMMARY!B:B, A89, SUMMARY!A:A, "CANDIJAY"), 0)</f>
        <v>0</v>
      </c>
      <c r="AH89" s="24">
        <f>IFERROR(SUMIFS(SUMMARY!D:D, SUMMARY!B:B, A89, SUMMARY!A:A, "YATI LILOAN"), 0)</f>
        <v>0</v>
      </c>
      <c r="AI89" s="27">
        <f>IFERROR(SUMIFS(SUMMARY!D:D, SUMMARY!B:B, A89, SUMMARY!A:A, "CAMOTES"), 0)</f>
        <v>0</v>
      </c>
      <c r="AJ89" s="28">
        <f t="shared" si="1"/>
        <v>9</v>
      </c>
    </row>
    <row r="90" ht="15.75" customHeight="1">
      <c r="A90" s="23" t="s">
        <v>746</v>
      </c>
      <c r="B90" s="23" t="s">
        <v>747</v>
      </c>
      <c r="C90" s="24" t="s">
        <v>48</v>
      </c>
      <c r="D90" s="25">
        <f>IFERROR(SUMIFS(SUMMARY!D:D, SUMMARY!B:B, A90, SUMMARY!A:A, "ADMIN"), 0)</f>
        <v>0</v>
      </c>
      <c r="E90" s="25">
        <f>IFERROR(SUMIFS(SUMMARY!D:D, SUMMARY!B:B, A90, SUMMARY!A:A, "WAREHOUSE"), 0)</f>
        <v>0</v>
      </c>
      <c r="F90" s="24">
        <f>IFERROR(SUMIFS(SUMMARY!D:D, SUMMARY!B:B, A90, SUMMARY!A:A, "LAGTANG"), 0)</f>
        <v>0</v>
      </c>
      <c r="G90" s="26">
        <f>IFERROR(SUMIFS(SUMMARY!D:D, SUMMARY!B:B, A90, SUMMARY!A:A, "V-RAMA"), 0)</f>
        <v>0</v>
      </c>
      <c r="H90" s="24">
        <f>IFERROR(SUMIFS(SUMMARY!D:D, SUMMARY!B:B, A90, SUMMARY!A:A, "BULACAO"), 0)</f>
        <v>0</v>
      </c>
      <c r="I90" s="24">
        <f>IFERROR(SUMIFS(SUMMARY!D:D, SUMMARY!B:B, A90, SUMMARY!A:A, "Y3S TALISAY"), 0)</f>
        <v>2</v>
      </c>
      <c r="J90" s="24">
        <f>IFERROR(SUMIFS(SUMMARY!D:D, SUMMARY!B:B, A90, SUMMARY!A:A, "MINGLANILLA"), 0)</f>
        <v>0</v>
      </c>
      <c r="K90" s="24">
        <f>IFERROR(SUMIFS(SUMMARY!D:D, SUMMARY!B:B, A90, SUMMARY!A:A, "Y3S PARDO"), 0)</f>
        <v>0</v>
      </c>
      <c r="L90" s="24">
        <f>IFERROR(SUMIFS(SUMMARY!D:D, SUMMARY!B:B, A90, SUMMARY!A:A, "LAPU-LAPU"), 0)</f>
        <v>0</v>
      </c>
      <c r="M90" s="24">
        <f>IFERROR(SUMIFS(SUMMARY!D:D, SUMMARY!B:B, A90, SUMMARY!A:A, "BACAYAN"), 0)</f>
        <v>0</v>
      </c>
      <c r="N90" s="24">
        <f>IFERROR(SUMIFS(SUMMARY!D:D, SUMMARY!B:B, A90, SUMMARY!A:A, "SAN FERNANDO MB"), 0)</f>
        <v>0</v>
      </c>
      <c r="O90" s="24">
        <f>IFERROR(SUMIFS(SUMMARY!D:D, SUMMARY!B:B, A90, SUMMARY!A:A, "Y3S SAN FERNANDO"), 0)</f>
        <v>1</v>
      </c>
      <c r="P90" s="24">
        <f>IFERROR(SUMIFS(SUMMARY!D:D, SUMMARY!B:B, A90, SUMMARY!A:A, "LILOAN"), 0)</f>
        <v>0</v>
      </c>
      <c r="Q90" s="24">
        <f>IFERROR(SUMIFS(SUMMARY!D:D, SUMMARY!B:B, A90, SUMMARY!A:A, "CORDOVA MB"), 0)</f>
        <v>0</v>
      </c>
      <c r="R90" s="24">
        <f>IFERROR(SUMIFS(SUMMARY!D:D, SUMMARY!B:B, A90, SUMMARY!A:A, "Y3S CORDOVA"), 0)</f>
        <v>1</v>
      </c>
      <c r="S90" s="24">
        <f>IFERROR(SUMIFS(SUMMARY!D:D, SUMMARY!B:B, A90, SUMMARY!A:A, "CLARIN"), 0)</f>
        <v>0</v>
      </c>
      <c r="T90" s="24">
        <f>IFERROR(SUMIFS(SUMMARY!D:D, SUMMARY!B:B, A90, SUMMARY!A:A, "TOLEDO"), 0)</f>
        <v>0</v>
      </c>
      <c r="U90" s="24">
        <f>IFERROR(SUMIFS(SUMMARY!D:D, SUMMARY!B:B, A90, SUMMARY!A:A, "UBAY"), 0)</f>
        <v>0</v>
      </c>
      <c r="V90" s="24">
        <f>IFERROR(SUMIFS(SUMMARY!D:D, SUMMARY!B:B, A90, SUMMARY!A:A, "CARMEN"), 0)</f>
        <v>0</v>
      </c>
      <c r="W90" s="24">
        <f>IFERROR(SUMIFS(SUMMARY!D:D, SUMMARY!B:B, A90, SUMMARY!A:A, "TUBIGON"), 0)</f>
        <v>0</v>
      </c>
      <c r="X90" s="24">
        <f>IFERROR(SUMIFS(SUMMARY!D:D, SUMMARY!B:B, A90, SUMMARY!A:A, "TALIBON"), 0)</f>
        <v>0</v>
      </c>
      <c r="Y90" s="24">
        <f>IFERROR(SUMIFS(SUMMARY!D:D, SUMMARY!B:B, A90, SUMMARY!A:A, "BOGO"), 0)</f>
        <v>0</v>
      </c>
      <c r="Z90" s="24">
        <f>IFERROR(SUMIFS(SUMMARY!D:D, SUMMARY!B:B, A90, SUMMARY!A:A, "BALAMBAN"), 0)</f>
        <v>0</v>
      </c>
      <c r="AA90" s="24">
        <f>IFERROR(SUMIFS(SUMMARY!D:D, SUMMARY!B:B, A90, SUMMARY!A:A, "Y3S BARILI"), 0)</f>
        <v>0</v>
      </c>
      <c r="AB90" s="24">
        <f>IFERROR(SUMIFS(SUMMARY!D:D, SUMMARY!B:B, A90, SUMMARY!A:A, "BARILI MB"), 0)</f>
        <v>0</v>
      </c>
      <c r="AC90" s="24">
        <f>IFERROR(SUMIFS(SUMMARY!D:D, SUMMARY!B:B, A90, SUMMARY!A:A, "SIERRA BULLONES"), 0)</f>
        <v>0</v>
      </c>
      <c r="AD90" s="24">
        <f>IFERROR(SUMIFS(SUMMARY!D:D, SUMMARY!B:B, A90, SUMMARY!A:A, "PITOGO"), 0)</f>
        <v>0</v>
      </c>
      <c r="AE90" s="24">
        <f>IFERROR(SUMIFS(SUMMARY!D:D, SUMMARY!B:B, A90, SUMMARY!A:A, "TAYUD CONSOLACION"), 0)</f>
        <v>0</v>
      </c>
      <c r="AF90" s="24">
        <f>IFERROR(SUMIFS(SUMMARY!D:D, SUMMARY!B:B, A90, SUMMARY!A:A, "PINAMUNGAJAN"), 0)</f>
        <v>0</v>
      </c>
      <c r="AG90" s="24">
        <f>IFERROR(SUMIFS(SUMMARY!D:D, SUMMARY!B:B, A90, SUMMARY!A:A, "CANDIJAY"), 0)</f>
        <v>0</v>
      </c>
      <c r="AH90" s="24">
        <f>IFERROR(SUMIFS(SUMMARY!D:D, SUMMARY!B:B, A90, SUMMARY!A:A, "YATI LILOAN"), 0)</f>
        <v>0</v>
      </c>
      <c r="AI90" s="27">
        <f>IFERROR(SUMIFS(SUMMARY!D:D, SUMMARY!B:B, A90, SUMMARY!A:A, "CAMOTES"), 0)</f>
        <v>0</v>
      </c>
      <c r="AJ90" s="28">
        <f t="shared" si="1"/>
        <v>4</v>
      </c>
    </row>
    <row r="91" ht="15.75" customHeight="1">
      <c r="A91" s="23" t="s">
        <v>748</v>
      </c>
      <c r="B91" s="23" t="s">
        <v>749</v>
      </c>
      <c r="C91" s="24" t="s">
        <v>48</v>
      </c>
      <c r="D91" s="25">
        <f>IFERROR(SUMIFS(SUMMARY!D:D, SUMMARY!B:B, A91, SUMMARY!A:A, "ADMIN"), 0)</f>
        <v>0</v>
      </c>
      <c r="E91" s="25">
        <f>IFERROR(SUMIFS(SUMMARY!D:D, SUMMARY!B:B, A91, SUMMARY!A:A, "WAREHOUSE"), 0)</f>
        <v>0</v>
      </c>
      <c r="F91" s="24">
        <f>IFERROR(SUMIFS(SUMMARY!D:D, SUMMARY!B:B, A91, SUMMARY!A:A, "LAGTANG"), 0)</f>
        <v>0</v>
      </c>
      <c r="G91" s="26">
        <f>IFERROR(SUMIFS(SUMMARY!D:D, SUMMARY!B:B, A91, SUMMARY!A:A, "V-RAMA"), 0)</f>
        <v>0</v>
      </c>
      <c r="H91" s="24">
        <f>IFERROR(SUMIFS(SUMMARY!D:D, SUMMARY!B:B, A91, SUMMARY!A:A, "BULACAO"), 0)</f>
        <v>0</v>
      </c>
      <c r="I91" s="24">
        <f>IFERROR(SUMIFS(SUMMARY!D:D, SUMMARY!B:B, A91, SUMMARY!A:A, "Y3S TALISAY"), 0)</f>
        <v>0</v>
      </c>
      <c r="J91" s="24">
        <f>IFERROR(SUMIFS(SUMMARY!D:D, SUMMARY!B:B, A91, SUMMARY!A:A, "MINGLANILLA"), 0)</f>
        <v>1</v>
      </c>
      <c r="K91" s="24">
        <f>IFERROR(SUMIFS(SUMMARY!D:D, SUMMARY!B:B, A91, SUMMARY!A:A, "Y3S PARDO"), 0)</f>
        <v>0</v>
      </c>
      <c r="L91" s="24">
        <f>IFERROR(SUMIFS(SUMMARY!D:D, SUMMARY!B:B, A91, SUMMARY!A:A, "LAPU-LAPU"), 0)</f>
        <v>0</v>
      </c>
      <c r="M91" s="24">
        <f>IFERROR(SUMIFS(SUMMARY!D:D, SUMMARY!B:B, A91, SUMMARY!A:A, "BACAYAN"), 0)</f>
        <v>0</v>
      </c>
      <c r="N91" s="24">
        <f>IFERROR(SUMIFS(SUMMARY!D:D, SUMMARY!B:B, A91, SUMMARY!A:A, "SAN FERNANDO MB"), 0)</f>
        <v>0</v>
      </c>
      <c r="O91" s="24">
        <f>IFERROR(SUMIFS(SUMMARY!D:D, SUMMARY!B:B, A91, SUMMARY!A:A, "Y3S SAN FERNANDO"), 0)</f>
        <v>0</v>
      </c>
      <c r="P91" s="24">
        <f>IFERROR(SUMIFS(SUMMARY!D:D, SUMMARY!B:B, A91, SUMMARY!A:A, "LILOAN"), 0)</f>
        <v>0</v>
      </c>
      <c r="Q91" s="24">
        <f>IFERROR(SUMIFS(SUMMARY!D:D, SUMMARY!B:B, A91, SUMMARY!A:A, "CORDOVA MB"), 0)</f>
        <v>0</v>
      </c>
      <c r="R91" s="24">
        <f>IFERROR(SUMIFS(SUMMARY!D:D, SUMMARY!B:B, A91, SUMMARY!A:A, "Y3S CORDOVA"), 0)</f>
        <v>0</v>
      </c>
      <c r="S91" s="24">
        <f>IFERROR(SUMIFS(SUMMARY!D:D, SUMMARY!B:B, A91, SUMMARY!A:A, "CLARIN"), 0)</f>
        <v>0</v>
      </c>
      <c r="T91" s="24">
        <f>IFERROR(SUMIFS(SUMMARY!D:D, SUMMARY!B:B, A91, SUMMARY!A:A, "TOLEDO"), 0)</f>
        <v>0</v>
      </c>
      <c r="U91" s="24">
        <f>IFERROR(SUMIFS(SUMMARY!D:D, SUMMARY!B:B, A91, SUMMARY!A:A, "UBAY"), 0)</f>
        <v>0</v>
      </c>
      <c r="V91" s="24">
        <f>IFERROR(SUMIFS(SUMMARY!D:D, SUMMARY!B:B, A91, SUMMARY!A:A, "CARMEN"), 0)</f>
        <v>0</v>
      </c>
      <c r="W91" s="24">
        <f>IFERROR(SUMIFS(SUMMARY!D:D, SUMMARY!B:B, A91, SUMMARY!A:A, "TUBIGON"), 0)</f>
        <v>0</v>
      </c>
      <c r="X91" s="24">
        <f>IFERROR(SUMIFS(SUMMARY!D:D, SUMMARY!B:B, A91, SUMMARY!A:A, "TALIBON"), 0)</f>
        <v>0</v>
      </c>
      <c r="Y91" s="24">
        <f>IFERROR(SUMIFS(SUMMARY!D:D, SUMMARY!B:B, A91, SUMMARY!A:A, "BOGO"), 0)</f>
        <v>0</v>
      </c>
      <c r="Z91" s="24">
        <f>IFERROR(SUMIFS(SUMMARY!D:D, SUMMARY!B:B, A91, SUMMARY!A:A, "BALAMBAN"), 0)</f>
        <v>0</v>
      </c>
      <c r="AA91" s="24">
        <f>IFERROR(SUMIFS(SUMMARY!D:D, SUMMARY!B:B, A91, SUMMARY!A:A, "Y3S BARILI"), 0)</f>
        <v>0</v>
      </c>
      <c r="AB91" s="24">
        <f>IFERROR(SUMIFS(SUMMARY!D:D, SUMMARY!B:B, A91, SUMMARY!A:A, "BARILI MB"), 0)</f>
        <v>0</v>
      </c>
      <c r="AC91" s="24">
        <f>IFERROR(SUMIFS(SUMMARY!D:D, SUMMARY!B:B, A91, SUMMARY!A:A, "SIERRA BULLONES"), 0)</f>
        <v>0</v>
      </c>
      <c r="AD91" s="24">
        <f>IFERROR(SUMIFS(SUMMARY!D:D, SUMMARY!B:B, A91, SUMMARY!A:A, "PITOGO"), 0)</f>
        <v>0</v>
      </c>
      <c r="AE91" s="24">
        <f>IFERROR(SUMIFS(SUMMARY!D:D, SUMMARY!B:B, A91, SUMMARY!A:A, "TAYUD CONSOLACION"), 0)</f>
        <v>0</v>
      </c>
      <c r="AF91" s="24">
        <f>IFERROR(SUMIFS(SUMMARY!D:D, SUMMARY!B:B, A91, SUMMARY!A:A, "PINAMUNGAJAN"), 0)</f>
        <v>0</v>
      </c>
      <c r="AG91" s="24">
        <f>IFERROR(SUMIFS(SUMMARY!D:D, SUMMARY!B:B, A91, SUMMARY!A:A, "CANDIJAY"), 0)</f>
        <v>0</v>
      </c>
      <c r="AH91" s="24">
        <f>IFERROR(SUMIFS(SUMMARY!D:D, SUMMARY!B:B, A91, SUMMARY!A:A, "YATI LILOAN"), 0)</f>
        <v>1</v>
      </c>
      <c r="AI91" s="27">
        <f>IFERROR(SUMIFS(SUMMARY!D:D, SUMMARY!B:B, A91, SUMMARY!A:A, "CAMOTES"), 0)</f>
        <v>0</v>
      </c>
      <c r="AJ91" s="28">
        <f t="shared" si="1"/>
        <v>2</v>
      </c>
    </row>
    <row r="92" ht="15.75" customHeight="1">
      <c r="A92" s="23" t="s">
        <v>750</v>
      </c>
      <c r="B92" s="23" t="s">
        <v>751</v>
      </c>
      <c r="C92" s="24" t="s">
        <v>752</v>
      </c>
      <c r="D92" s="25">
        <f>IFERROR(SUMIFS(SUMMARY!D:D, SUMMARY!B:B, A92, SUMMARY!A:A, "ADMIN"), 0)</f>
        <v>0</v>
      </c>
      <c r="E92" s="25">
        <f>IFERROR(SUMIFS(SUMMARY!D:D, SUMMARY!B:B, A92, SUMMARY!A:A, "WAREHOUSE"), 0)</f>
        <v>1</v>
      </c>
      <c r="F92" s="24">
        <f>IFERROR(SUMIFS(SUMMARY!D:D, SUMMARY!B:B, A92, SUMMARY!A:A, "LAGTANG"), 0)</f>
        <v>0</v>
      </c>
      <c r="G92" s="26">
        <f>IFERROR(SUMIFS(SUMMARY!D:D, SUMMARY!B:B, A92, SUMMARY!A:A, "V-RAMA"), 0)</f>
        <v>1</v>
      </c>
      <c r="H92" s="24">
        <f>IFERROR(SUMIFS(SUMMARY!D:D, SUMMARY!B:B, A92, SUMMARY!A:A, "BULACAO"), 0)</f>
        <v>0</v>
      </c>
      <c r="I92" s="24">
        <f>IFERROR(SUMIFS(SUMMARY!D:D, SUMMARY!B:B, A92, SUMMARY!A:A, "Y3S TALISAY"), 0)</f>
        <v>3</v>
      </c>
      <c r="J92" s="24">
        <f>IFERROR(SUMIFS(SUMMARY!D:D, SUMMARY!B:B, A92, SUMMARY!A:A, "MINGLANILLA"), 0)</f>
        <v>0</v>
      </c>
      <c r="K92" s="24">
        <f>IFERROR(SUMIFS(SUMMARY!D:D, SUMMARY!B:B, A92, SUMMARY!A:A, "Y3S PARDO"), 0)</f>
        <v>1</v>
      </c>
      <c r="L92" s="24">
        <f>IFERROR(SUMIFS(SUMMARY!D:D, SUMMARY!B:B, A92, SUMMARY!A:A, "LAPU-LAPU"), 0)</f>
        <v>0</v>
      </c>
      <c r="M92" s="24">
        <f>IFERROR(SUMIFS(SUMMARY!D:D, SUMMARY!B:B, A92, SUMMARY!A:A, "BACAYAN"), 0)</f>
        <v>2</v>
      </c>
      <c r="N92" s="24">
        <f>IFERROR(SUMIFS(SUMMARY!D:D, SUMMARY!B:B, A92, SUMMARY!A:A, "SAN FERNANDO MB"), 0)</f>
        <v>0</v>
      </c>
      <c r="O92" s="24">
        <f>IFERROR(SUMIFS(SUMMARY!D:D, SUMMARY!B:B, A92, SUMMARY!A:A, "Y3S SAN FERNANDO"), 0)</f>
        <v>0</v>
      </c>
      <c r="P92" s="24">
        <f>IFERROR(SUMIFS(SUMMARY!D:D, SUMMARY!B:B, A92, SUMMARY!A:A, "LILOAN"), 0)</f>
        <v>1</v>
      </c>
      <c r="Q92" s="24">
        <f>IFERROR(SUMIFS(SUMMARY!D:D, SUMMARY!B:B, A92, SUMMARY!A:A, "CORDOVA MB"), 0)</f>
        <v>0</v>
      </c>
      <c r="R92" s="24">
        <f>IFERROR(SUMIFS(SUMMARY!D:D, SUMMARY!B:B, A92, SUMMARY!A:A, "Y3S CORDOVA"), 0)</f>
        <v>0</v>
      </c>
      <c r="S92" s="24">
        <f>IFERROR(SUMIFS(SUMMARY!D:D, SUMMARY!B:B, A92, SUMMARY!A:A, "CLARIN"), 0)</f>
        <v>1</v>
      </c>
      <c r="T92" s="24">
        <f>IFERROR(SUMIFS(SUMMARY!D:D, SUMMARY!B:B, A92, SUMMARY!A:A, "TOLEDO"), 0)</f>
        <v>0</v>
      </c>
      <c r="U92" s="24">
        <f>IFERROR(SUMIFS(SUMMARY!D:D, SUMMARY!B:B, A92, SUMMARY!A:A, "UBAY"), 0)</f>
        <v>0</v>
      </c>
      <c r="V92" s="24">
        <f>IFERROR(SUMIFS(SUMMARY!D:D, SUMMARY!B:B, A92, SUMMARY!A:A, "CARMEN"), 0)</f>
        <v>0</v>
      </c>
      <c r="W92" s="24">
        <f>IFERROR(SUMIFS(SUMMARY!D:D, SUMMARY!B:B, A92, SUMMARY!A:A, "TUBIGON"), 0)</f>
        <v>1</v>
      </c>
      <c r="X92" s="24">
        <f>IFERROR(SUMIFS(SUMMARY!D:D, SUMMARY!B:B, A92, SUMMARY!A:A, "TALIBON"), 0)</f>
        <v>0</v>
      </c>
      <c r="Y92" s="24">
        <f>IFERROR(SUMIFS(SUMMARY!D:D, SUMMARY!B:B, A92, SUMMARY!A:A, "BOGO"), 0)</f>
        <v>1</v>
      </c>
      <c r="Z92" s="24">
        <f>IFERROR(SUMIFS(SUMMARY!D:D, SUMMARY!B:B, A92, SUMMARY!A:A, "BALAMBAN"), 0)</f>
        <v>1</v>
      </c>
      <c r="AA92" s="24">
        <f>IFERROR(SUMIFS(SUMMARY!D:D, SUMMARY!B:B, A92, SUMMARY!A:A, "Y3S BARILI"), 0)</f>
        <v>0</v>
      </c>
      <c r="AB92" s="24">
        <f>IFERROR(SUMIFS(SUMMARY!D:D, SUMMARY!B:B, A92, SUMMARY!A:A, "BARILI MB"), 0)</f>
        <v>1</v>
      </c>
      <c r="AC92" s="24">
        <f>IFERROR(SUMIFS(SUMMARY!D:D, SUMMARY!B:B, A92, SUMMARY!A:A, "SIERRA BULLONES"), 0)</f>
        <v>1</v>
      </c>
      <c r="AD92" s="24">
        <f>IFERROR(SUMIFS(SUMMARY!D:D, SUMMARY!B:B, A92, SUMMARY!A:A, "PITOGO"), 0)</f>
        <v>1</v>
      </c>
      <c r="AE92" s="24">
        <f>IFERROR(SUMIFS(SUMMARY!D:D, SUMMARY!B:B, A92, SUMMARY!A:A, "TAYUD CONSOLACION"), 0)</f>
        <v>0</v>
      </c>
      <c r="AF92" s="24">
        <f>IFERROR(SUMIFS(SUMMARY!D:D, SUMMARY!B:B, A92, SUMMARY!A:A, "PINAMUNGAJAN"), 0)</f>
        <v>0</v>
      </c>
      <c r="AG92" s="24">
        <f>IFERROR(SUMIFS(SUMMARY!D:D, SUMMARY!B:B, A92, SUMMARY!A:A, "CANDIJAY"), 0)</f>
        <v>1</v>
      </c>
      <c r="AH92" s="24">
        <f>IFERROR(SUMIFS(SUMMARY!D:D, SUMMARY!B:B, A92, SUMMARY!A:A, "YATI LILOAN"), 0)</f>
        <v>1</v>
      </c>
      <c r="AI92" s="27">
        <f>IFERROR(SUMIFS(SUMMARY!D:D, SUMMARY!B:B, A92, SUMMARY!A:A, "CAMOTES"), 0)</f>
        <v>0</v>
      </c>
      <c r="AJ92" s="28">
        <f t="shared" si="1"/>
        <v>18</v>
      </c>
    </row>
    <row r="93" ht="15.75" customHeight="1">
      <c r="A93" s="23" t="s">
        <v>753</v>
      </c>
      <c r="B93" s="23" t="s">
        <v>754</v>
      </c>
      <c r="C93" s="24" t="s">
        <v>755</v>
      </c>
      <c r="D93" s="25">
        <f>IFERROR(SUMIFS(SUMMARY!D:D, SUMMARY!B:B, A93, SUMMARY!A:A, "ADMIN"), 0)</f>
        <v>1</v>
      </c>
      <c r="E93" s="25">
        <f>IFERROR(SUMIFS(SUMMARY!D:D, SUMMARY!B:B, A93, SUMMARY!A:A, "WAREHOUSE"), 0)</f>
        <v>0</v>
      </c>
      <c r="F93" s="24">
        <f>IFERROR(SUMIFS(SUMMARY!D:D, SUMMARY!B:B, A93, SUMMARY!A:A, "LAGTANG"), 0)</f>
        <v>0</v>
      </c>
      <c r="G93" s="26">
        <f>IFERROR(SUMIFS(SUMMARY!D:D, SUMMARY!B:B, A93, SUMMARY!A:A, "V-RAMA"), 0)</f>
        <v>0</v>
      </c>
      <c r="H93" s="24">
        <f>IFERROR(SUMIFS(SUMMARY!D:D, SUMMARY!B:B, A93, SUMMARY!A:A, "BULACAO"), 0)</f>
        <v>0</v>
      </c>
      <c r="I93" s="24">
        <f>IFERROR(SUMIFS(SUMMARY!D:D, SUMMARY!B:B, A93, SUMMARY!A:A, "Y3S TALISAY"), 0)</f>
        <v>2</v>
      </c>
      <c r="J93" s="24">
        <f>IFERROR(SUMIFS(SUMMARY!D:D, SUMMARY!B:B, A93, SUMMARY!A:A, "MINGLANILLA"), 0)</f>
        <v>0</v>
      </c>
      <c r="K93" s="24">
        <f>IFERROR(SUMIFS(SUMMARY!D:D, SUMMARY!B:B, A93, SUMMARY!A:A, "Y3S PARDO"), 0)</f>
        <v>0</v>
      </c>
      <c r="L93" s="24">
        <f>IFERROR(SUMIFS(SUMMARY!D:D, SUMMARY!B:B, A93, SUMMARY!A:A, "LAPU-LAPU"), 0)</f>
        <v>0</v>
      </c>
      <c r="M93" s="24">
        <f>IFERROR(SUMIFS(SUMMARY!D:D, SUMMARY!B:B, A93, SUMMARY!A:A, "BACAYAN"), 0)</f>
        <v>0</v>
      </c>
      <c r="N93" s="24">
        <f>IFERROR(SUMIFS(SUMMARY!D:D, SUMMARY!B:B, A93, SUMMARY!A:A, "SAN FERNANDO MB"), 0)</f>
        <v>1</v>
      </c>
      <c r="O93" s="24">
        <f>IFERROR(SUMIFS(SUMMARY!D:D, SUMMARY!B:B, A93, SUMMARY!A:A, "Y3S SAN FERNANDO"), 0)</f>
        <v>0</v>
      </c>
      <c r="P93" s="24">
        <f>IFERROR(SUMIFS(SUMMARY!D:D, SUMMARY!B:B, A93, SUMMARY!A:A, "LILOAN"), 0)</f>
        <v>0</v>
      </c>
      <c r="Q93" s="24">
        <f>IFERROR(SUMIFS(SUMMARY!D:D, SUMMARY!B:B, A93, SUMMARY!A:A, "CORDOVA MB"), 0)</f>
        <v>0</v>
      </c>
      <c r="R93" s="24">
        <f>IFERROR(SUMIFS(SUMMARY!D:D, SUMMARY!B:B, A93, SUMMARY!A:A, "Y3S CORDOVA"), 0)</f>
        <v>1</v>
      </c>
      <c r="S93" s="24">
        <f>IFERROR(SUMIFS(SUMMARY!D:D, SUMMARY!B:B, A93, SUMMARY!A:A, "CLARIN"), 0)</f>
        <v>0</v>
      </c>
      <c r="T93" s="24">
        <f>IFERROR(SUMIFS(SUMMARY!D:D, SUMMARY!B:B, A93, SUMMARY!A:A, "TOLEDO"), 0)</f>
        <v>0</v>
      </c>
      <c r="U93" s="24">
        <f>IFERROR(SUMIFS(SUMMARY!D:D, SUMMARY!B:B, A93, SUMMARY!A:A, "UBAY"), 0)</f>
        <v>0</v>
      </c>
      <c r="V93" s="24">
        <f>IFERROR(SUMIFS(SUMMARY!D:D, SUMMARY!B:B, A93, SUMMARY!A:A, "CARMEN"), 0)</f>
        <v>0</v>
      </c>
      <c r="W93" s="24">
        <f>IFERROR(SUMIFS(SUMMARY!D:D, SUMMARY!B:B, A93, SUMMARY!A:A, "TUBIGON"), 0)</f>
        <v>1</v>
      </c>
      <c r="X93" s="24">
        <f>IFERROR(SUMIFS(SUMMARY!D:D, SUMMARY!B:B, A93, SUMMARY!A:A, "TALIBON"), 0)</f>
        <v>1</v>
      </c>
      <c r="Y93" s="24">
        <f>IFERROR(SUMIFS(SUMMARY!D:D, SUMMARY!B:B, A93, SUMMARY!A:A, "BOGO"), 0)</f>
        <v>0</v>
      </c>
      <c r="Z93" s="24">
        <f>IFERROR(SUMIFS(SUMMARY!D:D, SUMMARY!B:B, A93, SUMMARY!A:A, "BALAMBAN"), 0)</f>
        <v>0</v>
      </c>
      <c r="AA93" s="24">
        <f>IFERROR(SUMIFS(SUMMARY!D:D, SUMMARY!B:B, A93, SUMMARY!A:A, "Y3S BARILI"), 0)</f>
        <v>1</v>
      </c>
      <c r="AB93" s="24">
        <f>IFERROR(SUMIFS(SUMMARY!D:D, SUMMARY!B:B, A93, SUMMARY!A:A, "BARILI MB"), 0)</f>
        <v>0</v>
      </c>
      <c r="AC93" s="24">
        <f>IFERROR(SUMIFS(SUMMARY!D:D, SUMMARY!B:B, A93, SUMMARY!A:A, "SIERRA BULLONES"), 0)</f>
        <v>0</v>
      </c>
      <c r="AD93" s="24">
        <f>IFERROR(SUMIFS(SUMMARY!D:D, SUMMARY!B:B, A93, SUMMARY!A:A, "PITOGO"), 0)</f>
        <v>0</v>
      </c>
      <c r="AE93" s="24">
        <f>IFERROR(SUMIFS(SUMMARY!D:D, SUMMARY!B:B, A93, SUMMARY!A:A, "TAYUD CONSOLACION"), 0)</f>
        <v>0</v>
      </c>
      <c r="AF93" s="24">
        <f>IFERROR(SUMIFS(SUMMARY!D:D, SUMMARY!B:B, A93, SUMMARY!A:A, "PINAMUNGAJAN"), 0)</f>
        <v>0</v>
      </c>
      <c r="AG93" s="24">
        <f>IFERROR(SUMIFS(SUMMARY!D:D, SUMMARY!B:B, A93, SUMMARY!A:A, "CANDIJAY"), 0)</f>
        <v>0</v>
      </c>
      <c r="AH93" s="24">
        <f>IFERROR(SUMIFS(SUMMARY!D:D, SUMMARY!B:B, A93, SUMMARY!A:A, "YATI LILOAN"), 0)</f>
        <v>0</v>
      </c>
      <c r="AI93" s="27">
        <f>IFERROR(SUMIFS(SUMMARY!D:D, SUMMARY!B:B, A93, SUMMARY!A:A, "CAMOTES"), 0)</f>
        <v>0</v>
      </c>
      <c r="AJ93" s="28">
        <f t="shared" si="1"/>
        <v>8</v>
      </c>
    </row>
    <row r="94" ht="15.75" customHeight="1">
      <c r="A94" s="23" t="s">
        <v>756</v>
      </c>
      <c r="B94" s="23" t="s">
        <v>757</v>
      </c>
      <c r="C94" s="24" t="s">
        <v>755</v>
      </c>
      <c r="D94" s="25">
        <f>IFERROR(SUMIFS(SUMMARY!D:D, SUMMARY!B:B, A94, SUMMARY!A:A, "ADMIN"), 0)</f>
        <v>0</v>
      </c>
      <c r="E94" s="25">
        <f>IFERROR(SUMIFS(SUMMARY!D:D, SUMMARY!B:B, A94, SUMMARY!A:A, "WAREHOUSE"), 0)</f>
        <v>0</v>
      </c>
      <c r="F94" s="24">
        <f>IFERROR(SUMIFS(SUMMARY!D:D, SUMMARY!B:B, A94, SUMMARY!A:A, "LAGTANG"), 0)</f>
        <v>0</v>
      </c>
      <c r="G94" s="26">
        <f>IFERROR(SUMIFS(SUMMARY!D:D, SUMMARY!B:B, A94, SUMMARY!A:A, "V-RAMA"), 0)</f>
        <v>0</v>
      </c>
      <c r="H94" s="24">
        <f>IFERROR(SUMIFS(SUMMARY!D:D, SUMMARY!B:B, A94, SUMMARY!A:A, "BULACAO"), 0)</f>
        <v>1</v>
      </c>
      <c r="I94" s="24">
        <f>IFERROR(SUMIFS(SUMMARY!D:D, SUMMARY!B:B, A94, SUMMARY!A:A, "Y3S TALISAY"), 0)</f>
        <v>0</v>
      </c>
      <c r="J94" s="24">
        <f>IFERROR(SUMIFS(SUMMARY!D:D, SUMMARY!B:B, A94, SUMMARY!A:A, "MINGLANILLA"), 0)</f>
        <v>0</v>
      </c>
      <c r="K94" s="24">
        <f>IFERROR(SUMIFS(SUMMARY!D:D, SUMMARY!B:B, A94, SUMMARY!A:A, "Y3S PARDO"), 0)</f>
        <v>0</v>
      </c>
      <c r="L94" s="24">
        <f>IFERROR(SUMIFS(SUMMARY!D:D, SUMMARY!B:B, A94, SUMMARY!A:A, "LAPU-LAPU"), 0)</f>
        <v>0</v>
      </c>
      <c r="M94" s="24">
        <f>IFERROR(SUMIFS(SUMMARY!D:D, SUMMARY!B:B, A94, SUMMARY!A:A, "BACAYAN"), 0)</f>
        <v>1</v>
      </c>
      <c r="N94" s="24">
        <f>IFERROR(SUMIFS(SUMMARY!D:D, SUMMARY!B:B, A94, SUMMARY!A:A, "SAN FERNANDO MB"), 0)</f>
        <v>0</v>
      </c>
      <c r="O94" s="24">
        <f>IFERROR(SUMIFS(SUMMARY!D:D, SUMMARY!B:B, A94, SUMMARY!A:A, "Y3S SAN FERNANDO"), 0)</f>
        <v>1</v>
      </c>
      <c r="P94" s="24">
        <f>IFERROR(SUMIFS(SUMMARY!D:D, SUMMARY!B:B, A94, SUMMARY!A:A, "LILOAN"), 0)</f>
        <v>1</v>
      </c>
      <c r="Q94" s="24">
        <f>IFERROR(SUMIFS(SUMMARY!D:D, SUMMARY!B:B, A94, SUMMARY!A:A, "CORDOVA MB"), 0)</f>
        <v>0</v>
      </c>
      <c r="R94" s="24">
        <f>IFERROR(SUMIFS(SUMMARY!D:D, SUMMARY!B:B, A94, SUMMARY!A:A, "Y3S CORDOVA"), 0)</f>
        <v>0</v>
      </c>
      <c r="S94" s="24">
        <f>IFERROR(SUMIFS(SUMMARY!D:D, SUMMARY!B:B, A94, SUMMARY!A:A, "CLARIN"), 0)</f>
        <v>0</v>
      </c>
      <c r="T94" s="24">
        <f>IFERROR(SUMIFS(SUMMARY!D:D, SUMMARY!B:B, A94, SUMMARY!A:A, "TOLEDO"), 0)</f>
        <v>0</v>
      </c>
      <c r="U94" s="24">
        <f>IFERROR(SUMIFS(SUMMARY!D:D, SUMMARY!B:B, A94, SUMMARY!A:A, "UBAY"), 0)</f>
        <v>1</v>
      </c>
      <c r="V94" s="24">
        <f>IFERROR(SUMIFS(SUMMARY!D:D, SUMMARY!B:B, A94, SUMMARY!A:A, "CARMEN"), 0)</f>
        <v>0</v>
      </c>
      <c r="W94" s="24">
        <f>IFERROR(SUMIFS(SUMMARY!D:D, SUMMARY!B:B, A94, SUMMARY!A:A, "TUBIGON"), 0)</f>
        <v>1</v>
      </c>
      <c r="X94" s="24">
        <f>IFERROR(SUMIFS(SUMMARY!D:D, SUMMARY!B:B, A94, SUMMARY!A:A, "TALIBON"), 0)</f>
        <v>0</v>
      </c>
      <c r="Y94" s="24">
        <f>IFERROR(SUMIFS(SUMMARY!D:D, SUMMARY!B:B, A94, SUMMARY!A:A, "BOGO"), 0)</f>
        <v>0</v>
      </c>
      <c r="Z94" s="24">
        <f>IFERROR(SUMIFS(SUMMARY!D:D, SUMMARY!B:B, A94, SUMMARY!A:A, "BALAMBAN"), 0)</f>
        <v>0</v>
      </c>
      <c r="AA94" s="24">
        <f>IFERROR(SUMIFS(SUMMARY!D:D, SUMMARY!B:B, A94, SUMMARY!A:A, "Y3S BARILI"), 0)</f>
        <v>0</v>
      </c>
      <c r="AB94" s="24">
        <f>IFERROR(SUMIFS(SUMMARY!D:D, SUMMARY!B:B, A94, SUMMARY!A:A, "BARILI MB"), 0)</f>
        <v>1</v>
      </c>
      <c r="AC94" s="24">
        <f>IFERROR(SUMIFS(SUMMARY!D:D, SUMMARY!B:B, A94, SUMMARY!A:A, "SIERRA BULLONES"), 0)</f>
        <v>0</v>
      </c>
      <c r="AD94" s="24">
        <f>IFERROR(SUMIFS(SUMMARY!D:D, SUMMARY!B:B, A94, SUMMARY!A:A, "PITOGO"), 0)</f>
        <v>1</v>
      </c>
      <c r="AE94" s="24">
        <f>IFERROR(SUMIFS(SUMMARY!D:D, SUMMARY!B:B, A94, SUMMARY!A:A, "TAYUD CONSOLACION"), 0)</f>
        <v>0</v>
      </c>
      <c r="AF94" s="24">
        <f>IFERROR(SUMIFS(SUMMARY!D:D, SUMMARY!B:B, A94, SUMMARY!A:A, "PINAMUNGAJAN"), 0)</f>
        <v>1</v>
      </c>
      <c r="AG94" s="24">
        <f>IFERROR(SUMIFS(SUMMARY!D:D, SUMMARY!B:B, A94, SUMMARY!A:A, "CANDIJAY"), 0)</f>
        <v>0</v>
      </c>
      <c r="AH94" s="24">
        <f>IFERROR(SUMIFS(SUMMARY!D:D, SUMMARY!B:B, A94, SUMMARY!A:A, "YATI LILOAN"), 0)</f>
        <v>0</v>
      </c>
      <c r="AI94" s="27">
        <f>IFERROR(SUMIFS(SUMMARY!D:D, SUMMARY!B:B, A94, SUMMARY!A:A, "CAMOTES"), 0)</f>
        <v>0</v>
      </c>
      <c r="AJ94" s="28">
        <f t="shared" si="1"/>
        <v>9</v>
      </c>
    </row>
    <row r="95" ht="15.75" customHeight="1">
      <c r="A95" s="23" t="s">
        <v>758</v>
      </c>
      <c r="B95" s="23" t="s">
        <v>759</v>
      </c>
      <c r="C95" s="24" t="s">
        <v>755</v>
      </c>
      <c r="D95" s="25">
        <f>IFERROR(SUMIFS(SUMMARY!D:D, SUMMARY!B:B, A95, SUMMARY!A:A, "ADMIN"), 0)</f>
        <v>1</v>
      </c>
      <c r="E95" s="25">
        <f>IFERROR(SUMIFS(SUMMARY!D:D, SUMMARY!B:B, A95, SUMMARY!A:A, "WAREHOUSE"), 0)</f>
        <v>0</v>
      </c>
      <c r="F95" s="24">
        <f>IFERROR(SUMIFS(SUMMARY!D:D, SUMMARY!B:B, A95, SUMMARY!A:A, "LAGTANG"), 0)</f>
        <v>0</v>
      </c>
      <c r="G95" s="26">
        <f>IFERROR(SUMIFS(SUMMARY!D:D, SUMMARY!B:B, A95, SUMMARY!A:A, "V-RAMA"), 0)</f>
        <v>0</v>
      </c>
      <c r="H95" s="24">
        <f>IFERROR(SUMIFS(SUMMARY!D:D, SUMMARY!B:B, A95, SUMMARY!A:A, "BULACAO"), 0)</f>
        <v>0</v>
      </c>
      <c r="I95" s="24">
        <f>IFERROR(SUMIFS(SUMMARY!D:D, SUMMARY!B:B, A95, SUMMARY!A:A, "Y3S TALISAY"), 0)</f>
        <v>1</v>
      </c>
      <c r="J95" s="24">
        <f>IFERROR(SUMIFS(SUMMARY!D:D, SUMMARY!B:B, A95, SUMMARY!A:A, "MINGLANILLA"), 0)</f>
        <v>0</v>
      </c>
      <c r="K95" s="24">
        <f>IFERROR(SUMIFS(SUMMARY!D:D, SUMMARY!B:B, A95, SUMMARY!A:A, "Y3S PARDO"), 0)</f>
        <v>0</v>
      </c>
      <c r="L95" s="24">
        <f>IFERROR(SUMIFS(SUMMARY!D:D, SUMMARY!B:B, A95, SUMMARY!A:A, "LAPU-LAPU"), 0)</f>
        <v>0</v>
      </c>
      <c r="M95" s="24">
        <f>IFERROR(SUMIFS(SUMMARY!D:D, SUMMARY!B:B, A95, SUMMARY!A:A, "BACAYAN"), 0)</f>
        <v>1</v>
      </c>
      <c r="N95" s="24">
        <f>IFERROR(SUMIFS(SUMMARY!D:D, SUMMARY!B:B, A95, SUMMARY!A:A, "SAN FERNANDO MB"), 0)</f>
        <v>0</v>
      </c>
      <c r="O95" s="24">
        <f>IFERROR(SUMIFS(SUMMARY!D:D, SUMMARY!B:B, A95, SUMMARY!A:A, "Y3S SAN FERNANDO"), 0)</f>
        <v>0</v>
      </c>
      <c r="P95" s="24">
        <f>IFERROR(SUMIFS(SUMMARY!D:D, SUMMARY!B:B, A95, SUMMARY!A:A, "LILOAN"), 0)</f>
        <v>0</v>
      </c>
      <c r="Q95" s="24">
        <f>IFERROR(SUMIFS(SUMMARY!D:D, SUMMARY!B:B, A95, SUMMARY!A:A, "CORDOVA MB"), 0)</f>
        <v>0</v>
      </c>
      <c r="R95" s="24">
        <f>IFERROR(SUMIFS(SUMMARY!D:D, SUMMARY!B:B, A95, SUMMARY!A:A, "Y3S CORDOVA"), 0)</f>
        <v>0</v>
      </c>
      <c r="S95" s="24">
        <f>IFERROR(SUMIFS(SUMMARY!D:D, SUMMARY!B:B, A95, SUMMARY!A:A, "CLARIN"), 0)</f>
        <v>0</v>
      </c>
      <c r="T95" s="24">
        <f>IFERROR(SUMIFS(SUMMARY!D:D, SUMMARY!B:B, A95, SUMMARY!A:A, "TOLEDO"), 0)</f>
        <v>0</v>
      </c>
      <c r="U95" s="24">
        <f>IFERROR(SUMIFS(SUMMARY!D:D, SUMMARY!B:B, A95, SUMMARY!A:A, "UBAY"), 0)</f>
        <v>0</v>
      </c>
      <c r="V95" s="24">
        <f>IFERROR(SUMIFS(SUMMARY!D:D, SUMMARY!B:B, A95, SUMMARY!A:A, "CARMEN"), 0)</f>
        <v>1</v>
      </c>
      <c r="W95" s="24">
        <f>IFERROR(SUMIFS(SUMMARY!D:D, SUMMARY!B:B, A95, SUMMARY!A:A, "TUBIGON"), 0)</f>
        <v>1</v>
      </c>
      <c r="X95" s="24">
        <f>IFERROR(SUMIFS(SUMMARY!D:D, SUMMARY!B:B, A95, SUMMARY!A:A, "TALIBON"), 0)</f>
        <v>0</v>
      </c>
      <c r="Y95" s="24">
        <f>IFERROR(SUMIFS(SUMMARY!D:D, SUMMARY!B:B, A95, SUMMARY!A:A, "BOGO"), 0)</f>
        <v>0</v>
      </c>
      <c r="Z95" s="24">
        <f>IFERROR(SUMIFS(SUMMARY!D:D, SUMMARY!B:B, A95, SUMMARY!A:A, "BALAMBAN"), 0)</f>
        <v>0</v>
      </c>
      <c r="AA95" s="24">
        <f>IFERROR(SUMIFS(SUMMARY!D:D, SUMMARY!B:B, A95, SUMMARY!A:A, "Y3S BARILI"), 0)</f>
        <v>0</v>
      </c>
      <c r="AB95" s="24">
        <f>IFERROR(SUMIFS(SUMMARY!D:D, SUMMARY!B:B, A95, SUMMARY!A:A, "BARILI MB"), 0)</f>
        <v>0</v>
      </c>
      <c r="AC95" s="24">
        <f>IFERROR(SUMIFS(SUMMARY!D:D, SUMMARY!B:B, A95, SUMMARY!A:A, "SIERRA BULLONES"), 0)</f>
        <v>0</v>
      </c>
      <c r="AD95" s="24">
        <f>IFERROR(SUMIFS(SUMMARY!D:D, SUMMARY!B:B, A95, SUMMARY!A:A, "PITOGO"), 0)</f>
        <v>0</v>
      </c>
      <c r="AE95" s="24">
        <f>IFERROR(SUMIFS(SUMMARY!D:D, SUMMARY!B:B, A95, SUMMARY!A:A, "TAYUD CONSOLACION"), 0)</f>
        <v>0</v>
      </c>
      <c r="AF95" s="24">
        <f>IFERROR(SUMIFS(SUMMARY!D:D, SUMMARY!B:B, A95, SUMMARY!A:A, "PINAMUNGAJAN"), 0)</f>
        <v>0</v>
      </c>
      <c r="AG95" s="24">
        <f>IFERROR(SUMIFS(SUMMARY!D:D, SUMMARY!B:B, A95, SUMMARY!A:A, "CANDIJAY"), 0)</f>
        <v>0</v>
      </c>
      <c r="AH95" s="24">
        <f>IFERROR(SUMIFS(SUMMARY!D:D, SUMMARY!B:B, A95, SUMMARY!A:A, "YATI LILOAN"), 0)</f>
        <v>0</v>
      </c>
      <c r="AI95" s="27">
        <f>IFERROR(SUMIFS(SUMMARY!D:D, SUMMARY!B:B, A95, SUMMARY!A:A, "CAMOTES"), 0)</f>
        <v>0</v>
      </c>
      <c r="AJ95" s="28">
        <f t="shared" si="1"/>
        <v>5</v>
      </c>
    </row>
    <row r="96" ht="15.75" customHeight="1">
      <c r="A96" s="23" t="s">
        <v>760</v>
      </c>
      <c r="B96" s="23" t="s">
        <v>761</v>
      </c>
      <c r="C96" s="24" t="s">
        <v>755</v>
      </c>
      <c r="D96" s="25">
        <f>IFERROR(SUMIFS(SUMMARY!D:D, SUMMARY!B:B, A96, SUMMARY!A:A, "ADMIN"), 0)</f>
        <v>0</v>
      </c>
      <c r="E96" s="25">
        <f>IFERROR(SUMIFS(SUMMARY!D:D, SUMMARY!B:B, A96, SUMMARY!A:A, "WAREHOUSE"), 0)</f>
        <v>0</v>
      </c>
      <c r="F96" s="24">
        <f>IFERROR(SUMIFS(SUMMARY!D:D, SUMMARY!B:B, A96, SUMMARY!A:A, "LAGTANG"), 0)</f>
        <v>1</v>
      </c>
      <c r="G96" s="26">
        <f>IFERROR(SUMIFS(SUMMARY!D:D, SUMMARY!B:B, A96, SUMMARY!A:A, "V-RAMA"), 0)</f>
        <v>0</v>
      </c>
      <c r="H96" s="24">
        <f>IFERROR(SUMIFS(SUMMARY!D:D, SUMMARY!B:B, A96, SUMMARY!A:A, "BULACAO"), 0)</f>
        <v>0</v>
      </c>
      <c r="I96" s="24">
        <f>IFERROR(SUMIFS(SUMMARY!D:D, SUMMARY!B:B, A96, SUMMARY!A:A, "Y3S TALISAY"), 0)</f>
        <v>0</v>
      </c>
      <c r="J96" s="24">
        <f>IFERROR(SUMIFS(SUMMARY!D:D, SUMMARY!B:B, A96, SUMMARY!A:A, "MINGLANILLA"), 0)</f>
        <v>0</v>
      </c>
      <c r="K96" s="24">
        <f>IFERROR(SUMIFS(SUMMARY!D:D, SUMMARY!B:B, A96, SUMMARY!A:A, "Y3S PARDO"), 0)</f>
        <v>0</v>
      </c>
      <c r="L96" s="24">
        <f>IFERROR(SUMIFS(SUMMARY!D:D, SUMMARY!B:B, A96, SUMMARY!A:A, "LAPU-LAPU"), 0)</f>
        <v>0</v>
      </c>
      <c r="M96" s="24">
        <f>IFERROR(SUMIFS(SUMMARY!D:D, SUMMARY!B:B, A96, SUMMARY!A:A, "BACAYAN"), 0)</f>
        <v>1</v>
      </c>
      <c r="N96" s="24">
        <f>IFERROR(SUMIFS(SUMMARY!D:D, SUMMARY!B:B, A96, SUMMARY!A:A, "SAN FERNANDO MB"), 0)</f>
        <v>0</v>
      </c>
      <c r="O96" s="24">
        <f>IFERROR(SUMIFS(SUMMARY!D:D, SUMMARY!B:B, A96, SUMMARY!A:A, "Y3S SAN FERNANDO"), 0)</f>
        <v>0</v>
      </c>
      <c r="P96" s="24">
        <f>IFERROR(SUMIFS(SUMMARY!D:D, SUMMARY!B:B, A96, SUMMARY!A:A, "LILOAN"), 0)</f>
        <v>0</v>
      </c>
      <c r="Q96" s="24">
        <f>IFERROR(SUMIFS(SUMMARY!D:D, SUMMARY!B:B, A96, SUMMARY!A:A, "CORDOVA MB"), 0)</f>
        <v>0</v>
      </c>
      <c r="R96" s="24">
        <f>IFERROR(SUMIFS(SUMMARY!D:D, SUMMARY!B:B, A96, SUMMARY!A:A, "Y3S CORDOVA"), 0)</f>
        <v>0</v>
      </c>
      <c r="S96" s="24">
        <f>IFERROR(SUMIFS(SUMMARY!D:D, SUMMARY!B:B, A96, SUMMARY!A:A, "CLARIN"), 0)</f>
        <v>1</v>
      </c>
      <c r="T96" s="24">
        <f>IFERROR(SUMIFS(SUMMARY!D:D, SUMMARY!B:B, A96, SUMMARY!A:A, "TOLEDO"), 0)</f>
        <v>0</v>
      </c>
      <c r="U96" s="24">
        <f>IFERROR(SUMIFS(SUMMARY!D:D, SUMMARY!B:B, A96, SUMMARY!A:A, "UBAY"), 0)</f>
        <v>0</v>
      </c>
      <c r="V96" s="24">
        <f>IFERROR(SUMIFS(SUMMARY!D:D, SUMMARY!B:B, A96, SUMMARY!A:A, "CARMEN"), 0)</f>
        <v>1</v>
      </c>
      <c r="W96" s="24">
        <f>IFERROR(SUMIFS(SUMMARY!D:D, SUMMARY!B:B, A96, SUMMARY!A:A, "TUBIGON"), 0)</f>
        <v>1</v>
      </c>
      <c r="X96" s="24">
        <f>IFERROR(SUMIFS(SUMMARY!D:D, SUMMARY!B:B, A96, SUMMARY!A:A, "TALIBON"), 0)</f>
        <v>0</v>
      </c>
      <c r="Y96" s="24">
        <f>IFERROR(SUMIFS(SUMMARY!D:D, SUMMARY!B:B, A96, SUMMARY!A:A, "BOGO"), 0)</f>
        <v>0</v>
      </c>
      <c r="Z96" s="24">
        <f>IFERROR(SUMIFS(SUMMARY!D:D, SUMMARY!B:B, A96, SUMMARY!A:A, "BALAMBAN"), 0)</f>
        <v>0</v>
      </c>
      <c r="AA96" s="24">
        <f>IFERROR(SUMIFS(SUMMARY!D:D, SUMMARY!B:B, A96, SUMMARY!A:A, "Y3S BARILI"), 0)</f>
        <v>2</v>
      </c>
      <c r="AB96" s="24">
        <f>IFERROR(SUMIFS(SUMMARY!D:D, SUMMARY!B:B, A96, SUMMARY!A:A, "BARILI MB"), 0)</f>
        <v>1</v>
      </c>
      <c r="AC96" s="24">
        <f>IFERROR(SUMIFS(SUMMARY!D:D, SUMMARY!B:B, A96, SUMMARY!A:A, "SIERRA BULLONES"), 0)</f>
        <v>0</v>
      </c>
      <c r="AD96" s="24">
        <f>IFERROR(SUMIFS(SUMMARY!D:D, SUMMARY!B:B, A96, SUMMARY!A:A, "PITOGO"), 0)</f>
        <v>0</v>
      </c>
      <c r="AE96" s="24">
        <f>IFERROR(SUMIFS(SUMMARY!D:D, SUMMARY!B:B, A96, SUMMARY!A:A, "TAYUD CONSOLACION"), 0)</f>
        <v>0</v>
      </c>
      <c r="AF96" s="24">
        <f>IFERROR(SUMIFS(SUMMARY!D:D, SUMMARY!B:B, A96, SUMMARY!A:A, "PINAMUNGAJAN"), 0)</f>
        <v>1</v>
      </c>
      <c r="AG96" s="24">
        <f>IFERROR(SUMIFS(SUMMARY!D:D, SUMMARY!B:B, A96, SUMMARY!A:A, "CANDIJAY"), 0)</f>
        <v>0</v>
      </c>
      <c r="AH96" s="24">
        <f>IFERROR(SUMIFS(SUMMARY!D:D, SUMMARY!B:B, A96, SUMMARY!A:A, "YATI LILOAN"), 0)</f>
        <v>1</v>
      </c>
      <c r="AI96" s="27">
        <f>IFERROR(SUMIFS(SUMMARY!D:D, SUMMARY!B:B, A96, SUMMARY!A:A, "CAMOTES"), 0)</f>
        <v>0</v>
      </c>
      <c r="AJ96" s="28">
        <f t="shared" si="1"/>
        <v>10</v>
      </c>
    </row>
    <row r="97" ht="15.75" customHeight="1">
      <c r="A97" s="23" t="s">
        <v>762</v>
      </c>
      <c r="B97" s="23" t="s">
        <v>763</v>
      </c>
      <c r="C97" s="24" t="s">
        <v>755</v>
      </c>
      <c r="D97" s="25">
        <f>IFERROR(SUMIFS(SUMMARY!D:D, SUMMARY!B:B, A97, SUMMARY!A:A, "ADMIN"), 0)</f>
        <v>0</v>
      </c>
      <c r="E97" s="25">
        <f>IFERROR(SUMIFS(SUMMARY!D:D, SUMMARY!B:B, A97, SUMMARY!A:A, "WAREHOUSE"), 0)</f>
        <v>0</v>
      </c>
      <c r="F97" s="24">
        <f>IFERROR(SUMIFS(SUMMARY!D:D, SUMMARY!B:B, A97, SUMMARY!A:A, "LAGTANG"), 0)</f>
        <v>0</v>
      </c>
      <c r="G97" s="26">
        <f>IFERROR(SUMIFS(SUMMARY!D:D, SUMMARY!B:B, A97, SUMMARY!A:A, "V-RAMA"), 0)</f>
        <v>0</v>
      </c>
      <c r="H97" s="24">
        <f>IFERROR(SUMIFS(SUMMARY!D:D, SUMMARY!B:B, A97, SUMMARY!A:A, "BULACAO"), 0)</f>
        <v>0</v>
      </c>
      <c r="I97" s="24">
        <f>IFERROR(SUMIFS(SUMMARY!D:D, SUMMARY!B:B, A97, SUMMARY!A:A, "Y3S TALISAY"), 0)</f>
        <v>0</v>
      </c>
      <c r="J97" s="24">
        <f>IFERROR(SUMIFS(SUMMARY!D:D, SUMMARY!B:B, A97, SUMMARY!A:A, "MINGLANILLA"), 0)</f>
        <v>0</v>
      </c>
      <c r="K97" s="24">
        <f>IFERROR(SUMIFS(SUMMARY!D:D, SUMMARY!B:B, A97, SUMMARY!A:A, "Y3S PARDO"), 0)</f>
        <v>0</v>
      </c>
      <c r="L97" s="24">
        <f>IFERROR(SUMIFS(SUMMARY!D:D, SUMMARY!B:B, A97, SUMMARY!A:A, "LAPU-LAPU"), 0)</f>
        <v>0</v>
      </c>
      <c r="M97" s="24">
        <f>IFERROR(SUMIFS(SUMMARY!D:D, SUMMARY!B:B, A97, SUMMARY!A:A, "BACAYAN"), 0)</f>
        <v>0</v>
      </c>
      <c r="N97" s="24">
        <f>IFERROR(SUMIFS(SUMMARY!D:D, SUMMARY!B:B, A97, SUMMARY!A:A, "SAN FERNANDO MB"), 0)</f>
        <v>0</v>
      </c>
      <c r="O97" s="24">
        <f>IFERROR(SUMIFS(SUMMARY!D:D, SUMMARY!B:B, A97, SUMMARY!A:A, "Y3S SAN FERNANDO"), 0)</f>
        <v>0</v>
      </c>
      <c r="P97" s="24">
        <f>IFERROR(SUMIFS(SUMMARY!D:D, SUMMARY!B:B, A97, SUMMARY!A:A, "LILOAN"), 0)</f>
        <v>1</v>
      </c>
      <c r="Q97" s="24">
        <f>IFERROR(SUMIFS(SUMMARY!D:D, SUMMARY!B:B, A97, SUMMARY!A:A, "CORDOVA MB"), 0)</f>
        <v>0</v>
      </c>
      <c r="R97" s="24">
        <f>IFERROR(SUMIFS(SUMMARY!D:D, SUMMARY!B:B, A97, SUMMARY!A:A, "Y3S CORDOVA"), 0)</f>
        <v>1</v>
      </c>
      <c r="S97" s="24">
        <f>IFERROR(SUMIFS(SUMMARY!D:D, SUMMARY!B:B, A97, SUMMARY!A:A, "CLARIN"), 0)</f>
        <v>0</v>
      </c>
      <c r="T97" s="24">
        <f>IFERROR(SUMIFS(SUMMARY!D:D, SUMMARY!B:B, A97, SUMMARY!A:A, "TOLEDO"), 0)</f>
        <v>1</v>
      </c>
      <c r="U97" s="24">
        <f>IFERROR(SUMIFS(SUMMARY!D:D, SUMMARY!B:B, A97, SUMMARY!A:A, "UBAY"), 0)</f>
        <v>0</v>
      </c>
      <c r="V97" s="24">
        <f>IFERROR(SUMIFS(SUMMARY!D:D, SUMMARY!B:B, A97, SUMMARY!A:A, "CARMEN"), 0)</f>
        <v>0</v>
      </c>
      <c r="W97" s="24">
        <f>IFERROR(SUMIFS(SUMMARY!D:D, SUMMARY!B:B, A97, SUMMARY!A:A, "TUBIGON"), 0)</f>
        <v>1</v>
      </c>
      <c r="X97" s="24">
        <f>IFERROR(SUMIFS(SUMMARY!D:D, SUMMARY!B:B, A97, SUMMARY!A:A, "TALIBON"), 0)</f>
        <v>1</v>
      </c>
      <c r="Y97" s="24">
        <f>IFERROR(SUMIFS(SUMMARY!D:D, SUMMARY!B:B, A97, SUMMARY!A:A, "BOGO"), 0)</f>
        <v>0</v>
      </c>
      <c r="Z97" s="24">
        <f>IFERROR(SUMIFS(SUMMARY!D:D, SUMMARY!B:B, A97, SUMMARY!A:A, "BALAMBAN"), 0)</f>
        <v>0</v>
      </c>
      <c r="AA97" s="24">
        <f>IFERROR(SUMIFS(SUMMARY!D:D, SUMMARY!B:B, A97, SUMMARY!A:A, "Y3S BARILI"), 0)</f>
        <v>0</v>
      </c>
      <c r="AB97" s="24">
        <f>IFERROR(SUMIFS(SUMMARY!D:D, SUMMARY!B:B, A97, SUMMARY!A:A, "BARILI MB"), 0)</f>
        <v>1</v>
      </c>
      <c r="AC97" s="24">
        <f>IFERROR(SUMIFS(SUMMARY!D:D, SUMMARY!B:B, A97, SUMMARY!A:A, "SIERRA BULLONES"), 0)</f>
        <v>0</v>
      </c>
      <c r="AD97" s="24">
        <f>IFERROR(SUMIFS(SUMMARY!D:D, SUMMARY!B:B, A97, SUMMARY!A:A, "PITOGO"), 0)</f>
        <v>1</v>
      </c>
      <c r="AE97" s="24">
        <f>IFERROR(SUMIFS(SUMMARY!D:D, SUMMARY!B:B, A97, SUMMARY!A:A, "TAYUD CONSOLACION"), 0)</f>
        <v>0</v>
      </c>
      <c r="AF97" s="24">
        <f>IFERROR(SUMIFS(SUMMARY!D:D, SUMMARY!B:B, A97, SUMMARY!A:A, "PINAMUNGAJAN"), 0)</f>
        <v>0</v>
      </c>
      <c r="AG97" s="24">
        <f>IFERROR(SUMIFS(SUMMARY!D:D, SUMMARY!B:B, A97, SUMMARY!A:A, "CANDIJAY"), 0)</f>
        <v>0</v>
      </c>
      <c r="AH97" s="24">
        <f>IFERROR(SUMIFS(SUMMARY!D:D, SUMMARY!B:B, A97, SUMMARY!A:A, "YATI LILOAN"), 0)</f>
        <v>0</v>
      </c>
      <c r="AI97" s="27">
        <f>IFERROR(SUMIFS(SUMMARY!D:D, SUMMARY!B:B, A97, SUMMARY!A:A, "CAMOTES"), 0)</f>
        <v>0</v>
      </c>
      <c r="AJ97" s="28">
        <f t="shared" si="1"/>
        <v>7</v>
      </c>
    </row>
    <row r="98" ht="15.75" customHeight="1">
      <c r="A98" s="23" t="s">
        <v>764</v>
      </c>
      <c r="B98" s="23" t="s">
        <v>765</v>
      </c>
      <c r="C98" s="24" t="s">
        <v>755</v>
      </c>
      <c r="D98" s="25">
        <f>IFERROR(SUMIFS(SUMMARY!D:D, SUMMARY!B:B, A98, SUMMARY!A:A, "ADMIN"), 0)</f>
        <v>0</v>
      </c>
      <c r="E98" s="25">
        <f>IFERROR(SUMIFS(SUMMARY!D:D, SUMMARY!B:B, A98, SUMMARY!A:A, "WAREHOUSE"), 0)</f>
        <v>0</v>
      </c>
      <c r="F98" s="24">
        <f>IFERROR(SUMIFS(SUMMARY!D:D, SUMMARY!B:B, A98, SUMMARY!A:A, "LAGTANG"), 0)</f>
        <v>0</v>
      </c>
      <c r="G98" s="26">
        <f>IFERROR(SUMIFS(SUMMARY!D:D, SUMMARY!B:B, A98, SUMMARY!A:A, "V-RAMA"), 0)</f>
        <v>0</v>
      </c>
      <c r="H98" s="24">
        <f>IFERROR(SUMIFS(SUMMARY!D:D, SUMMARY!B:B, A98, SUMMARY!A:A, "BULACAO"), 0)</f>
        <v>0</v>
      </c>
      <c r="I98" s="24">
        <f>IFERROR(SUMIFS(SUMMARY!D:D, SUMMARY!B:B, A98, SUMMARY!A:A, "Y3S TALISAY"), 0)</f>
        <v>5</v>
      </c>
      <c r="J98" s="24">
        <f>IFERROR(SUMIFS(SUMMARY!D:D, SUMMARY!B:B, A98, SUMMARY!A:A, "MINGLANILLA"), 0)</f>
        <v>0</v>
      </c>
      <c r="K98" s="24">
        <f>IFERROR(SUMIFS(SUMMARY!D:D, SUMMARY!B:B, A98, SUMMARY!A:A, "Y3S PARDO"), 0)</f>
        <v>3</v>
      </c>
      <c r="L98" s="24">
        <f>IFERROR(SUMIFS(SUMMARY!D:D, SUMMARY!B:B, A98, SUMMARY!A:A, "LAPU-LAPU"), 0)</f>
        <v>0</v>
      </c>
      <c r="M98" s="24">
        <f>IFERROR(SUMIFS(SUMMARY!D:D, SUMMARY!B:B, A98, SUMMARY!A:A, "BACAYAN"), 0)</f>
        <v>0</v>
      </c>
      <c r="N98" s="24">
        <f>IFERROR(SUMIFS(SUMMARY!D:D, SUMMARY!B:B, A98, SUMMARY!A:A, "SAN FERNANDO MB"), 0)</f>
        <v>0</v>
      </c>
      <c r="O98" s="24">
        <f>IFERROR(SUMIFS(SUMMARY!D:D, SUMMARY!B:B, A98, SUMMARY!A:A, "Y3S SAN FERNANDO"), 0)</f>
        <v>0</v>
      </c>
      <c r="P98" s="24">
        <f>IFERROR(SUMIFS(SUMMARY!D:D, SUMMARY!B:B, A98, SUMMARY!A:A, "LILOAN"), 0)</f>
        <v>0</v>
      </c>
      <c r="Q98" s="24">
        <f>IFERROR(SUMIFS(SUMMARY!D:D, SUMMARY!B:B, A98, SUMMARY!A:A, "CORDOVA MB"), 0)</f>
        <v>0</v>
      </c>
      <c r="R98" s="24">
        <f>IFERROR(SUMIFS(SUMMARY!D:D, SUMMARY!B:B, A98, SUMMARY!A:A, "Y3S CORDOVA"), 0)</f>
        <v>6</v>
      </c>
      <c r="S98" s="24">
        <f>IFERROR(SUMIFS(SUMMARY!D:D, SUMMARY!B:B, A98, SUMMARY!A:A, "CLARIN"), 0)</f>
        <v>0</v>
      </c>
      <c r="T98" s="24">
        <f>IFERROR(SUMIFS(SUMMARY!D:D, SUMMARY!B:B, A98, SUMMARY!A:A, "TOLEDO"), 0)</f>
        <v>0</v>
      </c>
      <c r="U98" s="24">
        <f>IFERROR(SUMIFS(SUMMARY!D:D, SUMMARY!B:B, A98, SUMMARY!A:A, "UBAY"), 0)</f>
        <v>0</v>
      </c>
      <c r="V98" s="24">
        <f>IFERROR(SUMIFS(SUMMARY!D:D, SUMMARY!B:B, A98, SUMMARY!A:A, "CARMEN"), 0)</f>
        <v>0</v>
      </c>
      <c r="W98" s="24">
        <f>IFERROR(SUMIFS(SUMMARY!D:D, SUMMARY!B:B, A98, SUMMARY!A:A, "TUBIGON"), 0)</f>
        <v>0</v>
      </c>
      <c r="X98" s="24">
        <f>IFERROR(SUMIFS(SUMMARY!D:D, SUMMARY!B:B, A98, SUMMARY!A:A, "TALIBON"), 0)</f>
        <v>0</v>
      </c>
      <c r="Y98" s="24">
        <f>IFERROR(SUMIFS(SUMMARY!D:D, SUMMARY!B:B, A98, SUMMARY!A:A, "BOGO"), 0)</f>
        <v>0</v>
      </c>
      <c r="Z98" s="24">
        <f>IFERROR(SUMIFS(SUMMARY!D:D, SUMMARY!B:B, A98, SUMMARY!A:A, "BALAMBAN"), 0)</f>
        <v>0</v>
      </c>
      <c r="AA98" s="24">
        <f>IFERROR(SUMIFS(SUMMARY!D:D, SUMMARY!B:B, A98, SUMMARY!A:A, "Y3S BARILI"), 0)</f>
        <v>3</v>
      </c>
      <c r="AB98" s="24">
        <f>IFERROR(SUMIFS(SUMMARY!D:D, SUMMARY!B:B, A98, SUMMARY!A:A, "BARILI MB"), 0)</f>
        <v>0</v>
      </c>
      <c r="AC98" s="24">
        <f>IFERROR(SUMIFS(SUMMARY!D:D, SUMMARY!B:B, A98, SUMMARY!A:A, "SIERRA BULLONES"), 0)</f>
        <v>0</v>
      </c>
      <c r="AD98" s="24">
        <f>IFERROR(SUMIFS(SUMMARY!D:D, SUMMARY!B:B, A98, SUMMARY!A:A, "PITOGO"), 0)</f>
        <v>0</v>
      </c>
      <c r="AE98" s="24">
        <f>IFERROR(SUMIFS(SUMMARY!D:D, SUMMARY!B:B, A98, SUMMARY!A:A, "TAYUD CONSOLACION"), 0)</f>
        <v>0</v>
      </c>
      <c r="AF98" s="24">
        <f>IFERROR(SUMIFS(SUMMARY!D:D, SUMMARY!B:B, A98, SUMMARY!A:A, "PINAMUNGAJAN"), 0)</f>
        <v>0</v>
      </c>
      <c r="AG98" s="24">
        <f>IFERROR(SUMIFS(SUMMARY!D:D, SUMMARY!B:B, A98, SUMMARY!A:A, "CANDIJAY"), 0)</f>
        <v>0</v>
      </c>
      <c r="AH98" s="24">
        <f>IFERROR(SUMIFS(SUMMARY!D:D, SUMMARY!B:B, A98, SUMMARY!A:A, "YATI LILOAN"), 0)</f>
        <v>0</v>
      </c>
      <c r="AI98" s="27">
        <f>IFERROR(SUMIFS(SUMMARY!D:D, SUMMARY!B:B, A98, SUMMARY!A:A, "CAMOTES"), 0)</f>
        <v>0</v>
      </c>
      <c r="AJ98" s="28">
        <f t="shared" si="1"/>
        <v>17</v>
      </c>
    </row>
    <row r="99" ht="15.75" customHeight="1">
      <c r="A99" s="23" t="s">
        <v>766</v>
      </c>
      <c r="B99" s="23" t="s">
        <v>767</v>
      </c>
      <c r="C99" s="24" t="s">
        <v>768</v>
      </c>
      <c r="D99" s="25">
        <f>IFERROR(SUMIFS(SUMMARY!D:D, SUMMARY!B:B, A99, SUMMARY!A:A, "ADMIN"), 0)</f>
        <v>0</v>
      </c>
      <c r="E99" s="25">
        <f>IFERROR(SUMIFS(SUMMARY!D:D, SUMMARY!B:B, A99, SUMMARY!A:A, "WAREHOUSE"), 0)</f>
        <v>0</v>
      </c>
      <c r="F99" s="24">
        <f>IFERROR(SUMIFS(SUMMARY!D:D, SUMMARY!B:B, A99, SUMMARY!A:A, "LAGTANG"), 0)</f>
        <v>0</v>
      </c>
      <c r="G99" s="26">
        <f>IFERROR(SUMIFS(SUMMARY!D:D, SUMMARY!B:B, A99, SUMMARY!A:A, "V-RAMA"), 0)</f>
        <v>0</v>
      </c>
      <c r="H99" s="24">
        <f>IFERROR(SUMIFS(SUMMARY!D:D, SUMMARY!B:B, A99, SUMMARY!A:A, "BULACAO"), 0)</f>
        <v>0</v>
      </c>
      <c r="I99" s="24">
        <f>IFERROR(SUMIFS(SUMMARY!D:D, SUMMARY!B:B, A99, SUMMARY!A:A, "Y3S TALISAY"), 0)</f>
        <v>0</v>
      </c>
      <c r="J99" s="24">
        <f>IFERROR(SUMIFS(SUMMARY!D:D, SUMMARY!B:B, A99, SUMMARY!A:A, "MINGLANILLA"), 0)</f>
        <v>0</v>
      </c>
      <c r="K99" s="24">
        <f>IFERROR(SUMIFS(SUMMARY!D:D, SUMMARY!B:B, A99, SUMMARY!A:A, "Y3S PARDO"), 0)</f>
        <v>0</v>
      </c>
      <c r="L99" s="24">
        <f>IFERROR(SUMIFS(SUMMARY!D:D, SUMMARY!B:B, A99, SUMMARY!A:A, "LAPU-LAPU"), 0)</f>
        <v>0</v>
      </c>
      <c r="M99" s="24">
        <f>IFERROR(SUMIFS(SUMMARY!D:D, SUMMARY!B:B, A99, SUMMARY!A:A, "BACAYAN"), 0)</f>
        <v>0</v>
      </c>
      <c r="N99" s="24">
        <f>IFERROR(SUMIFS(SUMMARY!D:D, SUMMARY!B:B, A99, SUMMARY!A:A, "SAN FERNANDO MB"), 0)</f>
        <v>0</v>
      </c>
      <c r="O99" s="24">
        <f>IFERROR(SUMIFS(SUMMARY!D:D, SUMMARY!B:B, A99, SUMMARY!A:A, "Y3S SAN FERNANDO"), 0)</f>
        <v>0</v>
      </c>
      <c r="P99" s="24">
        <f>IFERROR(SUMIFS(SUMMARY!D:D, SUMMARY!B:B, A99, SUMMARY!A:A, "LILOAN"), 0)</f>
        <v>0</v>
      </c>
      <c r="Q99" s="24">
        <f>IFERROR(SUMIFS(SUMMARY!D:D, SUMMARY!B:B, A99, SUMMARY!A:A, "CORDOVA MB"), 0)</f>
        <v>0</v>
      </c>
      <c r="R99" s="24">
        <f>IFERROR(SUMIFS(SUMMARY!D:D, SUMMARY!B:B, A99, SUMMARY!A:A, "Y3S CORDOVA"), 0)</f>
        <v>0</v>
      </c>
      <c r="S99" s="24">
        <f>IFERROR(SUMIFS(SUMMARY!D:D, SUMMARY!B:B, A99, SUMMARY!A:A, "CLARIN"), 0)</f>
        <v>0</v>
      </c>
      <c r="T99" s="24">
        <f>IFERROR(SUMIFS(SUMMARY!D:D, SUMMARY!B:B, A99, SUMMARY!A:A, "TOLEDO"), 0)</f>
        <v>0</v>
      </c>
      <c r="U99" s="24">
        <f>IFERROR(SUMIFS(SUMMARY!D:D, SUMMARY!B:B, A99, SUMMARY!A:A, "UBAY"), 0)</f>
        <v>0</v>
      </c>
      <c r="V99" s="24">
        <f>IFERROR(SUMIFS(SUMMARY!D:D, SUMMARY!B:B, A99, SUMMARY!A:A, "CARMEN"), 0)</f>
        <v>0</v>
      </c>
      <c r="W99" s="24">
        <f>IFERROR(SUMIFS(SUMMARY!D:D, SUMMARY!B:B, A99, SUMMARY!A:A, "TUBIGON"), 0)</f>
        <v>0</v>
      </c>
      <c r="X99" s="24">
        <f>IFERROR(SUMIFS(SUMMARY!D:D, SUMMARY!B:B, A99, SUMMARY!A:A, "TALIBON"), 0)</f>
        <v>0</v>
      </c>
      <c r="Y99" s="24">
        <f>IFERROR(SUMIFS(SUMMARY!D:D, SUMMARY!B:B, A99, SUMMARY!A:A, "BOGO"), 0)</f>
        <v>0</v>
      </c>
      <c r="Z99" s="24">
        <f>IFERROR(SUMIFS(SUMMARY!D:D, SUMMARY!B:B, A99, SUMMARY!A:A, "BALAMBAN"), 0)</f>
        <v>0</v>
      </c>
      <c r="AA99" s="24">
        <f>IFERROR(SUMIFS(SUMMARY!D:D, SUMMARY!B:B, A99, SUMMARY!A:A, "Y3S BARILI"), 0)</f>
        <v>0</v>
      </c>
      <c r="AB99" s="24">
        <f>IFERROR(SUMIFS(SUMMARY!D:D, SUMMARY!B:B, A99, SUMMARY!A:A, "BARILI MB"), 0)</f>
        <v>0</v>
      </c>
      <c r="AC99" s="24">
        <f>IFERROR(SUMIFS(SUMMARY!D:D, SUMMARY!B:B, A99, SUMMARY!A:A, "SIERRA BULLONES"), 0)</f>
        <v>0</v>
      </c>
      <c r="AD99" s="24">
        <f>IFERROR(SUMIFS(SUMMARY!D:D, SUMMARY!B:B, A99, SUMMARY!A:A, "PITOGO"), 0)</f>
        <v>1</v>
      </c>
      <c r="AE99" s="24">
        <f>IFERROR(SUMIFS(SUMMARY!D:D, SUMMARY!B:B, A99, SUMMARY!A:A, "TAYUD CONSOLACION"), 0)</f>
        <v>0</v>
      </c>
      <c r="AF99" s="24">
        <f>IFERROR(SUMIFS(SUMMARY!D:D, SUMMARY!B:B, A99, SUMMARY!A:A, "PINAMUNGAJAN"), 0)</f>
        <v>0</v>
      </c>
      <c r="AG99" s="24">
        <f>IFERROR(SUMIFS(SUMMARY!D:D, SUMMARY!B:B, A99, SUMMARY!A:A, "CANDIJAY"), 0)</f>
        <v>0</v>
      </c>
      <c r="AH99" s="24">
        <f>IFERROR(SUMIFS(SUMMARY!D:D, SUMMARY!B:B, A99, SUMMARY!A:A, "YATI LILOAN"), 0)</f>
        <v>0</v>
      </c>
      <c r="AI99" s="27">
        <f>IFERROR(SUMIFS(SUMMARY!D:D, SUMMARY!B:B, A99, SUMMARY!A:A, "CAMOTES"), 0)</f>
        <v>0</v>
      </c>
      <c r="AJ99" s="28">
        <f t="shared" si="1"/>
        <v>1</v>
      </c>
    </row>
    <row r="100" ht="15.75" customHeight="1">
      <c r="A100" s="23" t="s">
        <v>769</v>
      </c>
      <c r="B100" s="23" t="s">
        <v>770</v>
      </c>
      <c r="C100" s="24" t="s">
        <v>768</v>
      </c>
      <c r="D100" s="25">
        <f>IFERROR(SUMIFS(SUMMARY!D:D, SUMMARY!B:B, A100, SUMMARY!A:A, "ADMIN"), 0)</f>
        <v>0</v>
      </c>
      <c r="E100" s="25">
        <f>IFERROR(SUMIFS(SUMMARY!D:D, SUMMARY!B:B, A100, SUMMARY!A:A, "WAREHOUSE"), 0)</f>
        <v>0</v>
      </c>
      <c r="F100" s="24">
        <f>IFERROR(SUMIFS(SUMMARY!D:D, SUMMARY!B:B, A100, SUMMARY!A:A, "LAGTANG"), 0)</f>
        <v>0</v>
      </c>
      <c r="G100" s="26">
        <f>IFERROR(SUMIFS(SUMMARY!D:D, SUMMARY!B:B, A100, SUMMARY!A:A, "V-RAMA"), 0)</f>
        <v>1</v>
      </c>
      <c r="H100" s="24">
        <f>IFERROR(SUMIFS(SUMMARY!D:D, SUMMARY!B:B, A100, SUMMARY!A:A, "BULACAO"), 0)</f>
        <v>0</v>
      </c>
      <c r="I100" s="24">
        <f>IFERROR(SUMIFS(SUMMARY!D:D, SUMMARY!B:B, A100, SUMMARY!A:A, "Y3S TALISAY"), 0)</f>
        <v>1</v>
      </c>
      <c r="J100" s="24">
        <f>IFERROR(SUMIFS(SUMMARY!D:D, SUMMARY!B:B, A100, SUMMARY!A:A, "MINGLANILLA"), 0)</f>
        <v>0</v>
      </c>
      <c r="K100" s="24">
        <f>IFERROR(SUMIFS(SUMMARY!D:D, SUMMARY!B:B, A100, SUMMARY!A:A, "Y3S PARDO"), 0)</f>
        <v>0</v>
      </c>
      <c r="L100" s="24">
        <f>IFERROR(SUMIFS(SUMMARY!D:D, SUMMARY!B:B, A100, SUMMARY!A:A, "LAPU-LAPU"), 0)</f>
        <v>0</v>
      </c>
      <c r="M100" s="24">
        <f>IFERROR(SUMIFS(SUMMARY!D:D, SUMMARY!B:B, A100, SUMMARY!A:A, "BACAYAN"), 0)</f>
        <v>0</v>
      </c>
      <c r="N100" s="24">
        <f>IFERROR(SUMIFS(SUMMARY!D:D, SUMMARY!B:B, A100, SUMMARY!A:A, "SAN FERNANDO MB"), 0)</f>
        <v>0</v>
      </c>
      <c r="O100" s="24">
        <f>IFERROR(SUMIFS(SUMMARY!D:D, SUMMARY!B:B, A100, SUMMARY!A:A, "Y3S SAN FERNANDO"), 0)</f>
        <v>1</v>
      </c>
      <c r="P100" s="24">
        <f>IFERROR(SUMIFS(SUMMARY!D:D, SUMMARY!B:B, A100, SUMMARY!A:A, "LILOAN"), 0)</f>
        <v>0</v>
      </c>
      <c r="Q100" s="24">
        <f>IFERROR(SUMIFS(SUMMARY!D:D, SUMMARY!B:B, A100, SUMMARY!A:A, "CORDOVA MB"), 0)</f>
        <v>0</v>
      </c>
      <c r="R100" s="24">
        <f>IFERROR(SUMIFS(SUMMARY!D:D, SUMMARY!B:B, A100, SUMMARY!A:A, "Y3S CORDOVA"), 0)</f>
        <v>0</v>
      </c>
      <c r="S100" s="24">
        <f>IFERROR(SUMIFS(SUMMARY!D:D, SUMMARY!B:B, A100, SUMMARY!A:A, "CLARIN"), 0)</f>
        <v>2</v>
      </c>
      <c r="T100" s="24">
        <f>IFERROR(SUMIFS(SUMMARY!D:D, SUMMARY!B:B, A100, SUMMARY!A:A, "TOLEDO"), 0)</f>
        <v>0</v>
      </c>
      <c r="U100" s="24">
        <f>IFERROR(SUMIFS(SUMMARY!D:D, SUMMARY!B:B, A100, SUMMARY!A:A, "UBAY"), 0)</f>
        <v>0</v>
      </c>
      <c r="V100" s="24">
        <f>IFERROR(SUMIFS(SUMMARY!D:D, SUMMARY!B:B, A100, SUMMARY!A:A, "CARMEN"), 0)</f>
        <v>0</v>
      </c>
      <c r="W100" s="24">
        <f>IFERROR(SUMIFS(SUMMARY!D:D, SUMMARY!B:B, A100, SUMMARY!A:A, "TUBIGON"), 0)</f>
        <v>0</v>
      </c>
      <c r="X100" s="24">
        <f>IFERROR(SUMIFS(SUMMARY!D:D, SUMMARY!B:B, A100, SUMMARY!A:A, "TALIBON"), 0)</f>
        <v>0</v>
      </c>
      <c r="Y100" s="24">
        <f>IFERROR(SUMIFS(SUMMARY!D:D, SUMMARY!B:B, A100, SUMMARY!A:A, "BOGO"), 0)</f>
        <v>1</v>
      </c>
      <c r="Z100" s="24">
        <f>IFERROR(SUMIFS(SUMMARY!D:D, SUMMARY!B:B, A100, SUMMARY!A:A, "BALAMBAN"), 0)</f>
        <v>0</v>
      </c>
      <c r="AA100" s="24">
        <f>IFERROR(SUMIFS(SUMMARY!D:D, SUMMARY!B:B, A100, SUMMARY!A:A, "Y3S BARILI"), 0)</f>
        <v>0</v>
      </c>
      <c r="AB100" s="24">
        <f>IFERROR(SUMIFS(SUMMARY!D:D, SUMMARY!B:B, A100, SUMMARY!A:A, "BARILI MB"), 0)</f>
        <v>0</v>
      </c>
      <c r="AC100" s="24">
        <f>IFERROR(SUMIFS(SUMMARY!D:D, SUMMARY!B:B, A100, SUMMARY!A:A, "SIERRA BULLONES"), 0)</f>
        <v>0</v>
      </c>
      <c r="AD100" s="24">
        <f>IFERROR(SUMIFS(SUMMARY!D:D, SUMMARY!B:B, A100, SUMMARY!A:A, "PITOGO"), 0)</f>
        <v>0</v>
      </c>
      <c r="AE100" s="24">
        <f>IFERROR(SUMIFS(SUMMARY!D:D, SUMMARY!B:B, A100, SUMMARY!A:A, "TAYUD CONSOLACION"), 0)</f>
        <v>0</v>
      </c>
      <c r="AF100" s="24">
        <f>IFERROR(SUMIFS(SUMMARY!D:D, SUMMARY!B:B, A100, SUMMARY!A:A, "PINAMUNGAJAN"), 0)</f>
        <v>0</v>
      </c>
      <c r="AG100" s="24">
        <f>IFERROR(SUMIFS(SUMMARY!D:D, SUMMARY!B:B, A100, SUMMARY!A:A, "CANDIJAY"), 0)</f>
        <v>0</v>
      </c>
      <c r="AH100" s="24">
        <f>IFERROR(SUMIFS(SUMMARY!D:D, SUMMARY!B:B, A100, SUMMARY!A:A, "YATI LILOAN"), 0)</f>
        <v>0</v>
      </c>
      <c r="AI100" s="27">
        <f>IFERROR(SUMIFS(SUMMARY!D:D, SUMMARY!B:B, A100, SUMMARY!A:A, "CAMOTES"), 0)</f>
        <v>0</v>
      </c>
      <c r="AJ100" s="28">
        <f t="shared" si="1"/>
        <v>6</v>
      </c>
    </row>
    <row r="101" ht="15.75" customHeight="1">
      <c r="A101" s="23" t="s">
        <v>771</v>
      </c>
      <c r="B101" s="23" t="s">
        <v>772</v>
      </c>
      <c r="C101" s="24" t="s">
        <v>768</v>
      </c>
      <c r="D101" s="25">
        <f>IFERROR(SUMIFS(SUMMARY!D:D, SUMMARY!B:B, A101, SUMMARY!A:A, "ADMIN"), 0)</f>
        <v>0</v>
      </c>
      <c r="E101" s="25">
        <f>IFERROR(SUMIFS(SUMMARY!D:D, SUMMARY!B:B, A101, SUMMARY!A:A, "WAREHOUSE"), 0)</f>
        <v>0</v>
      </c>
      <c r="F101" s="24">
        <f>IFERROR(SUMIFS(SUMMARY!D:D, SUMMARY!B:B, A101, SUMMARY!A:A, "LAGTANG"), 0)</f>
        <v>0</v>
      </c>
      <c r="G101" s="26">
        <f>IFERROR(SUMIFS(SUMMARY!D:D, SUMMARY!B:B, A101, SUMMARY!A:A, "V-RAMA"), 0)</f>
        <v>0</v>
      </c>
      <c r="H101" s="24">
        <f>IFERROR(SUMIFS(SUMMARY!D:D, SUMMARY!B:B, A101, SUMMARY!A:A, "BULACAO"), 0)</f>
        <v>0</v>
      </c>
      <c r="I101" s="24">
        <f>IFERROR(SUMIFS(SUMMARY!D:D, SUMMARY!B:B, A101, SUMMARY!A:A, "Y3S TALISAY"), 0)</f>
        <v>0</v>
      </c>
      <c r="J101" s="24">
        <f>IFERROR(SUMIFS(SUMMARY!D:D, SUMMARY!B:B, A101, SUMMARY!A:A, "MINGLANILLA"), 0)</f>
        <v>0</v>
      </c>
      <c r="K101" s="24">
        <f>IFERROR(SUMIFS(SUMMARY!D:D, SUMMARY!B:B, A101, SUMMARY!A:A, "Y3S PARDO"), 0)</f>
        <v>0</v>
      </c>
      <c r="L101" s="24">
        <f>IFERROR(SUMIFS(SUMMARY!D:D, SUMMARY!B:B, A101, SUMMARY!A:A, "LAPU-LAPU"), 0)</f>
        <v>0</v>
      </c>
      <c r="M101" s="24">
        <f>IFERROR(SUMIFS(SUMMARY!D:D, SUMMARY!B:B, A101, SUMMARY!A:A, "BACAYAN"), 0)</f>
        <v>0</v>
      </c>
      <c r="N101" s="24">
        <f>IFERROR(SUMIFS(SUMMARY!D:D, SUMMARY!B:B, A101, SUMMARY!A:A, "SAN FERNANDO MB"), 0)</f>
        <v>0</v>
      </c>
      <c r="O101" s="24">
        <f>IFERROR(SUMIFS(SUMMARY!D:D, SUMMARY!B:B, A101, SUMMARY!A:A, "Y3S SAN FERNANDO"), 0)</f>
        <v>0</v>
      </c>
      <c r="P101" s="24">
        <f>IFERROR(SUMIFS(SUMMARY!D:D, SUMMARY!B:B, A101, SUMMARY!A:A, "LILOAN"), 0)</f>
        <v>0</v>
      </c>
      <c r="Q101" s="24">
        <f>IFERROR(SUMIFS(SUMMARY!D:D, SUMMARY!B:B, A101, SUMMARY!A:A, "CORDOVA MB"), 0)</f>
        <v>0</v>
      </c>
      <c r="R101" s="24">
        <f>IFERROR(SUMIFS(SUMMARY!D:D, SUMMARY!B:B, A101, SUMMARY!A:A, "Y3S CORDOVA"), 0)</f>
        <v>0</v>
      </c>
      <c r="S101" s="24">
        <f>IFERROR(SUMIFS(SUMMARY!D:D, SUMMARY!B:B, A101, SUMMARY!A:A, "CLARIN"), 0)</f>
        <v>0</v>
      </c>
      <c r="T101" s="24">
        <f>IFERROR(SUMIFS(SUMMARY!D:D, SUMMARY!B:B, A101, SUMMARY!A:A, "TOLEDO"), 0)</f>
        <v>0</v>
      </c>
      <c r="U101" s="24">
        <f>IFERROR(SUMIFS(SUMMARY!D:D, SUMMARY!B:B, A101, SUMMARY!A:A, "UBAY"), 0)</f>
        <v>0</v>
      </c>
      <c r="V101" s="24">
        <f>IFERROR(SUMIFS(SUMMARY!D:D, SUMMARY!B:B, A101, SUMMARY!A:A, "CARMEN"), 0)</f>
        <v>0</v>
      </c>
      <c r="W101" s="24">
        <f>IFERROR(SUMIFS(SUMMARY!D:D, SUMMARY!B:B, A101, SUMMARY!A:A, "TUBIGON"), 0)</f>
        <v>0</v>
      </c>
      <c r="X101" s="24">
        <f>IFERROR(SUMIFS(SUMMARY!D:D, SUMMARY!B:B, A101, SUMMARY!A:A, "TALIBON"), 0)</f>
        <v>0</v>
      </c>
      <c r="Y101" s="24">
        <f>IFERROR(SUMIFS(SUMMARY!D:D, SUMMARY!B:B, A101, SUMMARY!A:A, "BOGO"), 0)</f>
        <v>0</v>
      </c>
      <c r="Z101" s="24">
        <f>IFERROR(SUMIFS(SUMMARY!D:D, SUMMARY!B:B, A101, SUMMARY!A:A, "BALAMBAN"), 0)</f>
        <v>0</v>
      </c>
      <c r="AA101" s="24">
        <f>IFERROR(SUMIFS(SUMMARY!D:D, SUMMARY!B:B, A101, SUMMARY!A:A, "Y3S BARILI"), 0)</f>
        <v>0</v>
      </c>
      <c r="AB101" s="24">
        <f>IFERROR(SUMIFS(SUMMARY!D:D, SUMMARY!B:B, A101, SUMMARY!A:A, "BARILI MB"), 0)</f>
        <v>0</v>
      </c>
      <c r="AC101" s="24">
        <f>IFERROR(SUMIFS(SUMMARY!D:D, SUMMARY!B:B, A101, SUMMARY!A:A, "SIERRA BULLONES"), 0)</f>
        <v>0</v>
      </c>
      <c r="AD101" s="24">
        <f>IFERROR(SUMIFS(SUMMARY!D:D, SUMMARY!B:B, A101, SUMMARY!A:A, "PITOGO"), 0)</f>
        <v>0</v>
      </c>
      <c r="AE101" s="24">
        <f>IFERROR(SUMIFS(SUMMARY!D:D, SUMMARY!B:B, A101, SUMMARY!A:A, "TAYUD CONSOLACION"), 0)</f>
        <v>0</v>
      </c>
      <c r="AF101" s="24">
        <f>IFERROR(SUMIFS(SUMMARY!D:D, SUMMARY!B:B, A101, SUMMARY!A:A, "PINAMUNGAJAN"), 0)</f>
        <v>0</v>
      </c>
      <c r="AG101" s="24">
        <f>IFERROR(SUMIFS(SUMMARY!D:D, SUMMARY!B:B, A101, SUMMARY!A:A, "CANDIJAY"), 0)</f>
        <v>0</v>
      </c>
      <c r="AH101" s="24">
        <f>IFERROR(SUMIFS(SUMMARY!D:D, SUMMARY!B:B, A101, SUMMARY!A:A, "YATI LILOAN"), 0)</f>
        <v>0</v>
      </c>
      <c r="AI101" s="27">
        <f>IFERROR(SUMIFS(SUMMARY!D:D, SUMMARY!B:B, A101, SUMMARY!A:A, "CAMOTES"), 0)</f>
        <v>0</v>
      </c>
      <c r="AJ101" s="28">
        <f t="shared" si="1"/>
        <v>0</v>
      </c>
    </row>
    <row r="102" ht="15.75" customHeight="1">
      <c r="A102" s="23" t="s">
        <v>773</v>
      </c>
      <c r="B102" s="29" t="s">
        <v>774</v>
      </c>
      <c r="C102" s="25" t="s">
        <v>21</v>
      </c>
      <c r="D102" s="25">
        <f>IFERROR(SUMIFS(SUMMARY!D:D, SUMMARY!B:B, A102, SUMMARY!A:A, "ADMIN"), 0)</f>
        <v>0</v>
      </c>
      <c r="E102" s="25">
        <f>IFERROR(SUMIFS(SUMMARY!D:D, SUMMARY!B:B, A102, SUMMARY!A:A, "WAREHOUSE"), 0)</f>
        <v>0</v>
      </c>
      <c r="F102" s="24">
        <f>IFERROR(SUMIFS(SUMMARY!D:D, SUMMARY!B:B, A102, SUMMARY!A:A, "LAGTANG"), 0)</f>
        <v>0</v>
      </c>
      <c r="G102" s="26">
        <f>IFERROR(SUMIFS(SUMMARY!D:D, SUMMARY!B:B, A102, SUMMARY!A:A, "V-RAMA"), 0)</f>
        <v>0</v>
      </c>
      <c r="H102" s="24">
        <f>IFERROR(SUMIFS(SUMMARY!D:D, SUMMARY!B:B, A102, SUMMARY!A:A, "BULACAO"), 0)</f>
        <v>0</v>
      </c>
      <c r="I102" s="24">
        <f>IFERROR(SUMIFS(SUMMARY!D:D, SUMMARY!B:B, A102, SUMMARY!A:A, "Y3S TALISAY"), 0)</f>
        <v>0</v>
      </c>
      <c r="J102" s="24">
        <f>IFERROR(SUMIFS(SUMMARY!D:D, SUMMARY!B:B, A102, SUMMARY!A:A, "MINGLANILLA"), 0)</f>
        <v>0</v>
      </c>
      <c r="K102" s="24">
        <f>IFERROR(SUMIFS(SUMMARY!D:D, SUMMARY!B:B, A102, SUMMARY!A:A, "Y3S PARDO"), 0)</f>
        <v>0</v>
      </c>
      <c r="L102" s="24">
        <f>IFERROR(SUMIFS(SUMMARY!D:D, SUMMARY!B:B, A102, SUMMARY!A:A, "LAPU-LAPU"), 0)</f>
        <v>0</v>
      </c>
      <c r="M102" s="24">
        <f>IFERROR(SUMIFS(SUMMARY!D:D, SUMMARY!B:B, A102, SUMMARY!A:A, "BACAYAN"), 0)</f>
        <v>0</v>
      </c>
      <c r="N102" s="24">
        <f>IFERROR(SUMIFS(SUMMARY!D:D, SUMMARY!B:B, A102, SUMMARY!A:A, "SAN FERNANDO MB"), 0)</f>
        <v>0</v>
      </c>
      <c r="O102" s="24">
        <f>IFERROR(SUMIFS(SUMMARY!D:D, SUMMARY!B:B, A102, SUMMARY!A:A, "Y3S SAN FERNANDO"), 0)</f>
        <v>0</v>
      </c>
      <c r="P102" s="24">
        <f>IFERROR(SUMIFS(SUMMARY!D:D, SUMMARY!B:B, A102, SUMMARY!A:A, "LILOAN"), 0)</f>
        <v>0</v>
      </c>
      <c r="Q102" s="24">
        <f>IFERROR(SUMIFS(SUMMARY!D:D, SUMMARY!B:B, A102, SUMMARY!A:A, "CORDOVA MB"), 0)</f>
        <v>0</v>
      </c>
      <c r="R102" s="24">
        <f>IFERROR(SUMIFS(SUMMARY!D:D, SUMMARY!B:B, A102, SUMMARY!A:A, "Y3S CORDOVA"), 0)</f>
        <v>0</v>
      </c>
      <c r="S102" s="24">
        <f>IFERROR(SUMIFS(SUMMARY!D:D, SUMMARY!B:B, A102, SUMMARY!A:A, "CLARIN"), 0)</f>
        <v>0</v>
      </c>
      <c r="T102" s="24">
        <f>IFERROR(SUMIFS(SUMMARY!D:D, SUMMARY!B:B, A102, SUMMARY!A:A, "TOLEDO"), 0)</f>
        <v>0</v>
      </c>
      <c r="U102" s="24">
        <f>IFERROR(SUMIFS(SUMMARY!D:D, SUMMARY!B:B, A102, SUMMARY!A:A, "UBAY"), 0)</f>
        <v>0</v>
      </c>
      <c r="V102" s="24">
        <f>IFERROR(SUMIFS(SUMMARY!D:D, SUMMARY!B:B, A102, SUMMARY!A:A, "CARMEN"), 0)</f>
        <v>0</v>
      </c>
      <c r="W102" s="24">
        <f>IFERROR(SUMIFS(SUMMARY!D:D, SUMMARY!B:B, A102, SUMMARY!A:A, "TUBIGON"), 0)</f>
        <v>0</v>
      </c>
      <c r="X102" s="24">
        <f>IFERROR(SUMIFS(SUMMARY!D:D, SUMMARY!B:B, A102, SUMMARY!A:A, "TALIBON"), 0)</f>
        <v>0</v>
      </c>
      <c r="Y102" s="24">
        <f>IFERROR(SUMIFS(SUMMARY!D:D, SUMMARY!B:B, A102, SUMMARY!A:A, "BOGO"), 0)</f>
        <v>0</v>
      </c>
      <c r="Z102" s="24">
        <f>IFERROR(SUMIFS(SUMMARY!D:D, SUMMARY!B:B, A102, SUMMARY!A:A, "BALAMBAN"), 0)</f>
        <v>0</v>
      </c>
      <c r="AA102" s="24">
        <f>IFERROR(SUMIFS(SUMMARY!D:D, SUMMARY!B:B, A102, SUMMARY!A:A, "Y3S BARILI"), 0)</f>
        <v>0</v>
      </c>
      <c r="AB102" s="24">
        <f>IFERROR(SUMIFS(SUMMARY!D:D, SUMMARY!B:B, A102, SUMMARY!A:A, "BARILI MB"), 0)</f>
        <v>0</v>
      </c>
      <c r="AC102" s="24">
        <f>IFERROR(SUMIFS(SUMMARY!D:D, SUMMARY!B:B, A102, SUMMARY!A:A, "SIERRA BULLONES"), 0)</f>
        <v>0</v>
      </c>
      <c r="AD102" s="24">
        <f>IFERROR(SUMIFS(SUMMARY!D:D, SUMMARY!B:B, A102, SUMMARY!A:A, "PITOGO"), 0)</f>
        <v>0</v>
      </c>
      <c r="AE102" s="24">
        <f>IFERROR(SUMIFS(SUMMARY!D:D, SUMMARY!B:B, A102, SUMMARY!A:A, "TAYUD CONSOLACION"), 0)</f>
        <v>0</v>
      </c>
      <c r="AF102" s="24">
        <f>IFERROR(SUMIFS(SUMMARY!D:D, SUMMARY!B:B, A102, SUMMARY!A:A, "PINAMUNGAJAN"), 0)</f>
        <v>0</v>
      </c>
      <c r="AG102" s="24">
        <f>IFERROR(SUMIFS(SUMMARY!D:D, SUMMARY!B:B, A102, SUMMARY!A:A, "CANDIJAY"), 0)</f>
        <v>0</v>
      </c>
      <c r="AH102" s="24">
        <f>IFERROR(SUMIFS(SUMMARY!D:D, SUMMARY!B:B, A102, SUMMARY!A:A, "YATI LILOAN"), 0)</f>
        <v>0</v>
      </c>
      <c r="AI102" s="27">
        <f>IFERROR(SUMIFS(SUMMARY!D:D, SUMMARY!B:B, A102, SUMMARY!A:A, "CAMOTES"), 0)</f>
        <v>0</v>
      </c>
      <c r="AJ102" s="28">
        <f t="shared" si="1"/>
        <v>0</v>
      </c>
    </row>
    <row r="103" ht="15.75" customHeight="1">
      <c r="A103" s="23" t="s">
        <v>775</v>
      </c>
      <c r="B103" s="29" t="s">
        <v>776</v>
      </c>
      <c r="C103" s="25" t="s">
        <v>21</v>
      </c>
      <c r="D103" s="25">
        <f>IFERROR(SUMIFS(SUMMARY!D:D, SUMMARY!B:B, A103, SUMMARY!A:A, "ADMIN"), 0)</f>
        <v>0</v>
      </c>
      <c r="E103" s="25">
        <f>IFERROR(SUMIFS(SUMMARY!D:D, SUMMARY!B:B, A103, SUMMARY!A:A, "WAREHOUSE"), 0)</f>
        <v>0</v>
      </c>
      <c r="F103" s="24">
        <f>IFERROR(SUMIFS(SUMMARY!D:D, SUMMARY!B:B, A103, SUMMARY!A:A, "LAGTANG"), 0)</f>
        <v>0</v>
      </c>
      <c r="G103" s="26">
        <f>IFERROR(SUMIFS(SUMMARY!D:D, SUMMARY!B:B, A103, SUMMARY!A:A, "V-RAMA"), 0)</f>
        <v>0</v>
      </c>
      <c r="H103" s="24">
        <f>IFERROR(SUMIFS(SUMMARY!D:D, SUMMARY!B:B, A103, SUMMARY!A:A, "BULACAO"), 0)</f>
        <v>0</v>
      </c>
      <c r="I103" s="24">
        <f>IFERROR(SUMIFS(SUMMARY!D:D, SUMMARY!B:B, A103, SUMMARY!A:A, "Y3S TALISAY"), 0)</f>
        <v>0</v>
      </c>
      <c r="J103" s="24">
        <f>IFERROR(SUMIFS(SUMMARY!D:D, SUMMARY!B:B, A103, SUMMARY!A:A, "MINGLANILLA"), 0)</f>
        <v>0</v>
      </c>
      <c r="K103" s="24">
        <f>IFERROR(SUMIFS(SUMMARY!D:D, SUMMARY!B:B, A103, SUMMARY!A:A, "Y3S PARDO"), 0)</f>
        <v>0</v>
      </c>
      <c r="L103" s="24">
        <f>IFERROR(SUMIFS(SUMMARY!D:D, SUMMARY!B:B, A103, SUMMARY!A:A, "LAPU-LAPU"), 0)</f>
        <v>0</v>
      </c>
      <c r="M103" s="24">
        <f>IFERROR(SUMIFS(SUMMARY!D:D, SUMMARY!B:B, A103, SUMMARY!A:A, "BACAYAN"), 0)</f>
        <v>1</v>
      </c>
      <c r="N103" s="24">
        <f>IFERROR(SUMIFS(SUMMARY!D:D, SUMMARY!B:B, A103, SUMMARY!A:A, "SAN FERNANDO MB"), 0)</f>
        <v>0</v>
      </c>
      <c r="O103" s="24">
        <f>IFERROR(SUMIFS(SUMMARY!D:D, SUMMARY!B:B, A103, SUMMARY!A:A, "Y3S SAN FERNANDO"), 0)</f>
        <v>0</v>
      </c>
      <c r="P103" s="24">
        <f>IFERROR(SUMIFS(SUMMARY!D:D, SUMMARY!B:B, A103, SUMMARY!A:A, "LILOAN"), 0)</f>
        <v>0</v>
      </c>
      <c r="Q103" s="24">
        <f>IFERROR(SUMIFS(SUMMARY!D:D, SUMMARY!B:B, A103, SUMMARY!A:A, "CORDOVA MB"), 0)</f>
        <v>0</v>
      </c>
      <c r="R103" s="24">
        <f>IFERROR(SUMIFS(SUMMARY!D:D, SUMMARY!B:B, A103, SUMMARY!A:A, "Y3S CORDOVA"), 0)</f>
        <v>0</v>
      </c>
      <c r="S103" s="24">
        <f>IFERROR(SUMIFS(SUMMARY!D:D, SUMMARY!B:B, A103, SUMMARY!A:A, "CLARIN"), 0)</f>
        <v>0</v>
      </c>
      <c r="T103" s="24">
        <f>IFERROR(SUMIFS(SUMMARY!D:D, SUMMARY!B:B, A103, SUMMARY!A:A, "TOLEDO"), 0)</f>
        <v>0</v>
      </c>
      <c r="U103" s="24">
        <f>IFERROR(SUMIFS(SUMMARY!D:D, SUMMARY!B:B, A103, SUMMARY!A:A, "UBAY"), 0)</f>
        <v>0</v>
      </c>
      <c r="V103" s="24">
        <f>IFERROR(SUMIFS(SUMMARY!D:D, SUMMARY!B:B, A103, SUMMARY!A:A, "CARMEN"), 0)</f>
        <v>0</v>
      </c>
      <c r="W103" s="24">
        <f>IFERROR(SUMIFS(SUMMARY!D:D, SUMMARY!B:B, A103, SUMMARY!A:A, "TUBIGON"), 0)</f>
        <v>0</v>
      </c>
      <c r="X103" s="24">
        <f>IFERROR(SUMIFS(SUMMARY!D:D, SUMMARY!B:B, A103, SUMMARY!A:A, "TALIBON"), 0)</f>
        <v>0</v>
      </c>
      <c r="Y103" s="24">
        <f>IFERROR(SUMIFS(SUMMARY!D:D, SUMMARY!B:B, A103, SUMMARY!A:A, "BOGO"), 0)</f>
        <v>0</v>
      </c>
      <c r="Z103" s="24">
        <f>IFERROR(SUMIFS(SUMMARY!D:D, SUMMARY!B:B, A103, SUMMARY!A:A, "BALAMBAN"), 0)</f>
        <v>0</v>
      </c>
      <c r="AA103" s="24">
        <f>IFERROR(SUMIFS(SUMMARY!D:D, SUMMARY!B:B, A103, SUMMARY!A:A, "Y3S BARILI"), 0)</f>
        <v>0</v>
      </c>
      <c r="AB103" s="24">
        <f>IFERROR(SUMIFS(SUMMARY!D:D, SUMMARY!B:B, A103, SUMMARY!A:A, "BARILI MB"), 0)</f>
        <v>0</v>
      </c>
      <c r="AC103" s="24">
        <f>IFERROR(SUMIFS(SUMMARY!D:D, SUMMARY!B:B, A103, SUMMARY!A:A, "SIERRA BULLONES"), 0)</f>
        <v>0</v>
      </c>
      <c r="AD103" s="24">
        <f>IFERROR(SUMIFS(SUMMARY!D:D, SUMMARY!B:B, A103, SUMMARY!A:A, "PITOGO"), 0)</f>
        <v>0</v>
      </c>
      <c r="AE103" s="24">
        <f>IFERROR(SUMIFS(SUMMARY!D:D, SUMMARY!B:B, A103, SUMMARY!A:A, "TAYUD CONSOLACION"), 0)</f>
        <v>0</v>
      </c>
      <c r="AF103" s="24">
        <f>IFERROR(SUMIFS(SUMMARY!D:D, SUMMARY!B:B, A103, SUMMARY!A:A, "PINAMUNGAJAN"), 0)</f>
        <v>0</v>
      </c>
      <c r="AG103" s="24">
        <f>IFERROR(SUMIFS(SUMMARY!D:D, SUMMARY!B:B, A103, SUMMARY!A:A, "CANDIJAY"), 0)</f>
        <v>0</v>
      </c>
      <c r="AH103" s="24">
        <f>IFERROR(SUMIFS(SUMMARY!D:D, SUMMARY!B:B, A103, SUMMARY!A:A, "YATI LILOAN"), 0)</f>
        <v>0</v>
      </c>
      <c r="AI103" s="27">
        <f>IFERROR(SUMIFS(SUMMARY!D:D, SUMMARY!B:B, A103, SUMMARY!A:A, "CAMOTES"), 0)</f>
        <v>0</v>
      </c>
      <c r="AJ103" s="28">
        <f t="shared" si="1"/>
        <v>1</v>
      </c>
    </row>
    <row r="104" ht="15.75" customHeight="1">
      <c r="A104" s="23" t="s">
        <v>777</v>
      </c>
      <c r="B104" s="29" t="s">
        <v>778</v>
      </c>
      <c r="C104" s="25" t="s">
        <v>21</v>
      </c>
      <c r="D104" s="25">
        <f>IFERROR(SUMIFS(SUMMARY!D:D, SUMMARY!B:B, A104, SUMMARY!A:A, "ADMIN"), 0)</f>
        <v>0</v>
      </c>
      <c r="E104" s="25">
        <f>IFERROR(SUMIFS(SUMMARY!D:D, SUMMARY!B:B, A104, SUMMARY!A:A, "WAREHOUSE"), 0)</f>
        <v>0</v>
      </c>
      <c r="F104" s="24">
        <f>IFERROR(SUMIFS(SUMMARY!D:D, SUMMARY!B:B, A104, SUMMARY!A:A, "LAGTANG"), 0)</f>
        <v>0</v>
      </c>
      <c r="G104" s="26">
        <f>IFERROR(SUMIFS(SUMMARY!D:D, SUMMARY!B:B, A104, SUMMARY!A:A, "V-RAMA"), 0)</f>
        <v>0</v>
      </c>
      <c r="H104" s="24">
        <f>IFERROR(SUMIFS(SUMMARY!D:D, SUMMARY!B:B, A104, SUMMARY!A:A, "BULACAO"), 0)</f>
        <v>0</v>
      </c>
      <c r="I104" s="24">
        <f>IFERROR(SUMIFS(SUMMARY!D:D, SUMMARY!B:B, A104, SUMMARY!A:A, "Y3S TALISAY"), 0)</f>
        <v>0</v>
      </c>
      <c r="J104" s="24">
        <f>IFERROR(SUMIFS(SUMMARY!D:D, SUMMARY!B:B, A104, SUMMARY!A:A, "MINGLANILLA"), 0)</f>
        <v>0</v>
      </c>
      <c r="K104" s="24">
        <f>IFERROR(SUMIFS(SUMMARY!D:D, SUMMARY!B:B, A104, SUMMARY!A:A, "Y3S PARDO"), 0)</f>
        <v>0</v>
      </c>
      <c r="L104" s="24">
        <f>IFERROR(SUMIFS(SUMMARY!D:D, SUMMARY!B:B, A104, SUMMARY!A:A, "LAPU-LAPU"), 0)</f>
        <v>0</v>
      </c>
      <c r="M104" s="24">
        <f>IFERROR(SUMIFS(SUMMARY!D:D, SUMMARY!B:B, A104, SUMMARY!A:A, "BACAYAN"), 0)</f>
        <v>0</v>
      </c>
      <c r="N104" s="24">
        <f>IFERROR(SUMIFS(SUMMARY!D:D, SUMMARY!B:B, A104, SUMMARY!A:A, "SAN FERNANDO MB"), 0)</f>
        <v>0</v>
      </c>
      <c r="O104" s="24">
        <f>IFERROR(SUMIFS(SUMMARY!D:D, SUMMARY!B:B, A104, SUMMARY!A:A, "Y3S SAN FERNANDO"), 0)</f>
        <v>0</v>
      </c>
      <c r="P104" s="24">
        <f>IFERROR(SUMIFS(SUMMARY!D:D, SUMMARY!B:B, A104, SUMMARY!A:A, "LILOAN"), 0)</f>
        <v>0</v>
      </c>
      <c r="Q104" s="24">
        <f>IFERROR(SUMIFS(SUMMARY!D:D, SUMMARY!B:B, A104, SUMMARY!A:A, "CORDOVA MB"), 0)</f>
        <v>0</v>
      </c>
      <c r="R104" s="24">
        <f>IFERROR(SUMIFS(SUMMARY!D:D, SUMMARY!B:B, A104, SUMMARY!A:A, "Y3S CORDOVA"), 0)</f>
        <v>0</v>
      </c>
      <c r="S104" s="24">
        <f>IFERROR(SUMIFS(SUMMARY!D:D, SUMMARY!B:B, A104, SUMMARY!A:A, "CLARIN"), 0)</f>
        <v>0</v>
      </c>
      <c r="T104" s="24">
        <f>IFERROR(SUMIFS(SUMMARY!D:D, SUMMARY!B:B, A104, SUMMARY!A:A, "TOLEDO"), 0)</f>
        <v>0</v>
      </c>
      <c r="U104" s="24">
        <f>IFERROR(SUMIFS(SUMMARY!D:D, SUMMARY!B:B, A104, SUMMARY!A:A, "UBAY"), 0)</f>
        <v>0</v>
      </c>
      <c r="V104" s="24">
        <f>IFERROR(SUMIFS(SUMMARY!D:D, SUMMARY!B:B, A104, SUMMARY!A:A, "CARMEN"), 0)</f>
        <v>0</v>
      </c>
      <c r="W104" s="24">
        <f>IFERROR(SUMIFS(SUMMARY!D:D, SUMMARY!B:B, A104, SUMMARY!A:A, "TUBIGON"), 0)</f>
        <v>0</v>
      </c>
      <c r="X104" s="24">
        <f>IFERROR(SUMIFS(SUMMARY!D:D, SUMMARY!B:B, A104, SUMMARY!A:A, "TALIBON"), 0)</f>
        <v>0</v>
      </c>
      <c r="Y104" s="24">
        <f>IFERROR(SUMIFS(SUMMARY!D:D, SUMMARY!B:B, A104, SUMMARY!A:A, "BOGO"), 0)</f>
        <v>0</v>
      </c>
      <c r="Z104" s="24">
        <f>IFERROR(SUMIFS(SUMMARY!D:D, SUMMARY!B:B, A104, SUMMARY!A:A, "BALAMBAN"), 0)</f>
        <v>0</v>
      </c>
      <c r="AA104" s="24">
        <f>IFERROR(SUMIFS(SUMMARY!D:D, SUMMARY!B:B, A104, SUMMARY!A:A, "Y3S BARILI"), 0)</f>
        <v>0</v>
      </c>
      <c r="AB104" s="24">
        <f>IFERROR(SUMIFS(SUMMARY!D:D, SUMMARY!B:B, A104, SUMMARY!A:A, "BARILI MB"), 0)</f>
        <v>0</v>
      </c>
      <c r="AC104" s="24">
        <f>IFERROR(SUMIFS(SUMMARY!D:D, SUMMARY!B:B, A104, SUMMARY!A:A, "SIERRA BULLONES"), 0)</f>
        <v>50</v>
      </c>
      <c r="AD104" s="24">
        <f>IFERROR(SUMIFS(SUMMARY!D:D, SUMMARY!B:B, A104, SUMMARY!A:A, "PITOGO"), 0)</f>
        <v>0</v>
      </c>
      <c r="AE104" s="24">
        <f>IFERROR(SUMIFS(SUMMARY!D:D, SUMMARY!B:B, A104, SUMMARY!A:A, "TAYUD CONSOLACION"), 0)</f>
        <v>0</v>
      </c>
      <c r="AF104" s="24">
        <f>IFERROR(SUMIFS(SUMMARY!D:D, SUMMARY!B:B, A104, SUMMARY!A:A, "PINAMUNGAJAN"), 0)</f>
        <v>0</v>
      </c>
      <c r="AG104" s="24">
        <f>IFERROR(SUMIFS(SUMMARY!D:D, SUMMARY!B:B, A104, SUMMARY!A:A, "CANDIJAY"), 0)</f>
        <v>40</v>
      </c>
      <c r="AH104" s="24">
        <f>IFERROR(SUMIFS(SUMMARY!D:D, SUMMARY!B:B, A104, SUMMARY!A:A, "YATI LILOAN"), 0)</f>
        <v>0</v>
      </c>
      <c r="AI104" s="27">
        <f>IFERROR(SUMIFS(SUMMARY!D:D, SUMMARY!B:B, A104, SUMMARY!A:A, "CAMOTES"), 0)</f>
        <v>0</v>
      </c>
      <c r="AJ104" s="28">
        <f t="shared" si="1"/>
        <v>90</v>
      </c>
    </row>
    <row r="105" ht="15.75" customHeight="1">
      <c r="A105" s="23" t="s">
        <v>779</v>
      </c>
      <c r="B105" s="29" t="s">
        <v>780</v>
      </c>
      <c r="C105" s="25" t="s">
        <v>703</v>
      </c>
      <c r="D105" s="25">
        <f>IFERROR(SUMIFS(SUMMARY!D:D, SUMMARY!B:B, A105, SUMMARY!A:A, "ADMIN"), 0)</f>
        <v>0</v>
      </c>
      <c r="E105" s="25">
        <f>IFERROR(SUMIFS(SUMMARY!D:D, SUMMARY!B:B, A105, SUMMARY!A:A, "WAREHOUSE"), 0)</f>
        <v>0</v>
      </c>
      <c r="F105" s="24">
        <f>IFERROR(SUMIFS(SUMMARY!D:D, SUMMARY!B:B, A105, SUMMARY!A:A, "LAGTANG"), 0)</f>
        <v>0</v>
      </c>
      <c r="G105" s="26">
        <f>IFERROR(SUMIFS(SUMMARY!D:D, SUMMARY!B:B, A105, SUMMARY!A:A, "V-RAMA"), 0)</f>
        <v>0</v>
      </c>
      <c r="H105" s="24">
        <f>IFERROR(SUMIFS(SUMMARY!D:D, SUMMARY!B:B, A105, SUMMARY!A:A, "BULACAO"), 0)</f>
        <v>0</v>
      </c>
      <c r="I105" s="24">
        <f>IFERROR(SUMIFS(SUMMARY!D:D, SUMMARY!B:B, A105, SUMMARY!A:A, "Y3S TALISAY"), 0)</f>
        <v>0</v>
      </c>
      <c r="J105" s="24">
        <f>IFERROR(SUMIFS(SUMMARY!D:D, SUMMARY!B:B, A105, SUMMARY!A:A, "MINGLANILLA"), 0)</f>
        <v>0</v>
      </c>
      <c r="K105" s="24">
        <f>IFERROR(SUMIFS(SUMMARY!D:D, SUMMARY!B:B, A105, SUMMARY!A:A, "Y3S PARDO"), 0)</f>
        <v>0</v>
      </c>
      <c r="L105" s="24">
        <f>IFERROR(SUMIFS(SUMMARY!D:D, SUMMARY!B:B, A105, SUMMARY!A:A, "LAPU-LAPU"), 0)</f>
        <v>0</v>
      </c>
      <c r="M105" s="24">
        <f>IFERROR(SUMIFS(SUMMARY!D:D, SUMMARY!B:B, A105, SUMMARY!A:A, "BACAYAN"), 0)</f>
        <v>0</v>
      </c>
      <c r="N105" s="24">
        <f>IFERROR(SUMIFS(SUMMARY!D:D, SUMMARY!B:B, A105, SUMMARY!A:A, "SAN FERNANDO MB"), 0)</f>
        <v>0</v>
      </c>
      <c r="O105" s="24">
        <f>IFERROR(SUMIFS(SUMMARY!D:D, SUMMARY!B:B, A105, SUMMARY!A:A, "Y3S SAN FERNANDO"), 0)</f>
        <v>0</v>
      </c>
      <c r="P105" s="24">
        <f>IFERROR(SUMIFS(SUMMARY!D:D, SUMMARY!B:B, A105, SUMMARY!A:A, "LILOAN"), 0)</f>
        <v>0</v>
      </c>
      <c r="Q105" s="24">
        <f>IFERROR(SUMIFS(SUMMARY!D:D, SUMMARY!B:B, A105, SUMMARY!A:A, "CORDOVA MB"), 0)</f>
        <v>0</v>
      </c>
      <c r="R105" s="24">
        <f>IFERROR(SUMIFS(SUMMARY!D:D, SUMMARY!B:B, A105, SUMMARY!A:A, "Y3S CORDOVA"), 0)</f>
        <v>0</v>
      </c>
      <c r="S105" s="24">
        <f>IFERROR(SUMIFS(SUMMARY!D:D, SUMMARY!B:B, A105, SUMMARY!A:A, "CLARIN"), 0)</f>
        <v>0</v>
      </c>
      <c r="T105" s="24">
        <f>IFERROR(SUMIFS(SUMMARY!D:D, SUMMARY!B:B, A105, SUMMARY!A:A, "TOLEDO"), 0)</f>
        <v>0</v>
      </c>
      <c r="U105" s="24">
        <f>IFERROR(SUMIFS(SUMMARY!D:D, SUMMARY!B:B, A105, SUMMARY!A:A, "UBAY"), 0)</f>
        <v>0</v>
      </c>
      <c r="V105" s="24">
        <f>IFERROR(SUMIFS(SUMMARY!D:D, SUMMARY!B:B, A105, SUMMARY!A:A, "CARMEN"), 0)</f>
        <v>0</v>
      </c>
      <c r="W105" s="24">
        <f>IFERROR(SUMIFS(SUMMARY!D:D, SUMMARY!B:B, A105, SUMMARY!A:A, "TUBIGON"), 0)</f>
        <v>0</v>
      </c>
      <c r="X105" s="24">
        <f>IFERROR(SUMIFS(SUMMARY!D:D, SUMMARY!B:B, A105, SUMMARY!A:A, "TALIBON"), 0)</f>
        <v>0</v>
      </c>
      <c r="Y105" s="24">
        <f>IFERROR(SUMIFS(SUMMARY!D:D, SUMMARY!B:B, A105, SUMMARY!A:A, "BOGO"), 0)</f>
        <v>1</v>
      </c>
      <c r="Z105" s="24">
        <f>IFERROR(SUMIFS(SUMMARY!D:D, SUMMARY!B:B, A105, SUMMARY!A:A, "BALAMBAN"), 0)</f>
        <v>0</v>
      </c>
      <c r="AA105" s="24">
        <f>IFERROR(SUMIFS(SUMMARY!D:D, SUMMARY!B:B, A105, SUMMARY!A:A, "Y3S BARILI"), 0)</f>
        <v>0</v>
      </c>
      <c r="AB105" s="24">
        <f>IFERROR(SUMIFS(SUMMARY!D:D, SUMMARY!B:B, A105, SUMMARY!A:A, "BARILI MB"), 0)</f>
        <v>0</v>
      </c>
      <c r="AC105" s="24">
        <f>IFERROR(SUMIFS(SUMMARY!D:D, SUMMARY!B:B, A105, SUMMARY!A:A, "SIERRA BULLONES"), 0)</f>
        <v>0</v>
      </c>
      <c r="AD105" s="24">
        <f>IFERROR(SUMIFS(SUMMARY!D:D, SUMMARY!B:B, A105, SUMMARY!A:A, "PITOGO"), 0)</f>
        <v>0</v>
      </c>
      <c r="AE105" s="24">
        <f>IFERROR(SUMIFS(SUMMARY!D:D, SUMMARY!B:B, A105, SUMMARY!A:A, "TAYUD CONSOLACION"), 0)</f>
        <v>0</v>
      </c>
      <c r="AF105" s="24">
        <f>IFERROR(SUMIFS(SUMMARY!D:D, SUMMARY!B:B, A105, SUMMARY!A:A, "PINAMUNGAJAN"), 0)</f>
        <v>0</v>
      </c>
      <c r="AG105" s="24">
        <f>IFERROR(SUMIFS(SUMMARY!D:D, SUMMARY!B:B, A105, SUMMARY!A:A, "CANDIJAY"), 0)</f>
        <v>0</v>
      </c>
      <c r="AH105" s="24">
        <f>IFERROR(SUMIFS(SUMMARY!D:D, SUMMARY!B:B, A105, SUMMARY!A:A, "YATI LILOAN"), 0)</f>
        <v>0</v>
      </c>
      <c r="AI105" s="27">
        <f>IFERROR(SUMIFS(SUMMARY!D:D, SUMMARY!B:B, A105, SUMMARY!A:A, "CAMOTES"), 0)</f>
        <v>0</v>
      </c>
      <c r="AJ105" s="28">
        <f t="shared" si="1"/>
        <v>1</v>
      </c>
    </row>
    <row r="106" ht="15.75" customHeight="1">
      <c r="A106" s="2" t="s">
        <v>781</v>
      </c>
      <c r="B106" s="2" t="s">
        <v>126</v>
      </c>
      <c r="C106" s="30" t="s">
        <v>21</v>
      </c>
      <c r="D106" s="25">
        <f>IFERROR(SUMIFS(SUMMARY!D:D, SUMMARY!B:B, A106, SUMMARY!A:A, "ADMIN"), 0)</f>
        <v>0</v>
      </c>
      <c r="E106" s="25">
        <f>IFERROR(SUMIFS(SUMMARY!D:D, SUMMARY!B:B, A106, SUMMARY!A:A, "WAREHOUSE"), 0)</f>
        <v>0</v>
      </c>
      <c r="F106" s="24">
        <f>IFERROR(SUMIFS(SUMMARY!D:D, SUMMARY!B:B, A106, SUMMARY!A:A, "LAGTANG"), 0)</f>
        <v>0</v>
      </c>
      <c r="G106" s="26">
        <f>IFERROR(SUMIFS(SUMMARY!D:D, SUMMARY!B:B, A106, SUMMARY!A:A, "V-RAMA"), 0)</f>
        <v>1</v>
      </c>
      <c r="H106" s="24">
        <f>IFERROR(SUMIFS(SUMMARY!D:D, SUMMARY!B:B, A106, SUMMARY!A:A, "BULACAO"), 0)</f>
        <v>0</v>
      </c>
      <c r="I106" s="24">
        <f>IFERROR(SUMIFS(SUMMARY!D:D, SUMMARY!B:B, A106, SUMMARY!A:A, "Y3S TALISAY"), 0)</f>
        <v>0</v>
      </c>
      <c r="J106" s="24">
        <f>IFERROR(SUMIFS(SUMMARY!D:D, SUMMARY!B:B, A106, SUMMARY!A:A, "MINGLANILLA"), 0)</f>
        <v>0</v>
      </c>
      <c r="K106" s="24">
        <f>IFERROR(SUMIFS(SUMMARY!D:D, SUMMARY!B:B, A106, SUMMARY!A:A, "Y3S PARDO"), 0)</f>
        <v>0</v>
      </c>
      <c r="L106" s="24">
        <f>IFERROR(SUMIFS(SUMMARY!D:D, SUMMARY!B:B, A106, SUMMARY!A:A, "LAPU-LAPU"), 0)</f>
        <v>2</v>
      </c>
      <c r="M106" s="24">
        <f>IFERROR(SUMIFS(SUMMARY!D:D, SUMMARY!B:B, A106, SUMMARY!A:A, "BACAYAN"), 0)</f>
        <v>0</v>
      </c>
      <c r="N106" s="24">
        <f>IFERROR(SUMIFS(SUMMARY!D:D, SUMMARY!B:B, A106, SUMMARY!A:A, "SAN FERNANDO MB"), 0)</f>
        <v>0</v>
      </c>
      <c r="O106" s="24">
        <f>IFERROR(SUMIFS(SUMMARY!D:D, SUMMARY!B:B, A106, SUMMARY!A:A, "Y3S SAN FERNANDO"), 0)</f>
        <v>0</v>
      </c>
      <c r="P106" s="24">
        <f>IFERROR(SUMIFS(SUMMARY!D:D, SUMMARY!B:B, A106, SUMMARY!A:A, "LILOAN"), 0)</f>
        <v>0</v>
      </c>
      <c r="Q106" s="24">
        <f>IFERROR(SUMIFS(SUMMARY!D:D, SUMMARY!B:B, A106, SUMMARY!A:A, "CORDOVA MB"), 0)</f>
        <v>0</v>
      </c>
      <c r="R106" s="24">
        <f>IFERROR(SUMIFS(SUMMARY!D:D, SUMMARY!B:B, A106, SUMMARY!A:A, "Y3S CORDOVA"), 0)</f>
        <v>0</v>
      </c>
      <c r="S106" s="24">
        <f>IFERROR(SUMIFS(SUMMARY!D:D, SUMMARY!B:B, A106, SUMMARY!A:A, "CLARIN"), 0)</f>
        <v>0</v>
      </c>
      <c r="T106" s="24">
        <f>IFERROR(SUMIFS(SUMMARY!D:D, SUMMARY!B:B, A106, SUMMARY!A:A, "TOLEDO"), 0)</f>
        <v>1</v>
      </c>
      <c r="U106" s="24">
        <f>IFERROR(SUMIFS(SUMMARY!D:D, SUMMARY!B:B, A106, SUMMARY!A:A, "UBAY"), 0)</f>
        <v>0</v>
      </c>
      <c r="V106" s="24">
        <f>IFERROR(SUMIFS(SUMMARY!D:D, SUMMARY!B:B, A106, SUMMARY!A:A, "CARMEN"), 0)</f>
        <v>1</v>
      </c>
      <c r="W106" s="24">
        <f>IFERROR(SUMIFS(SUMMARY!D:D, SUMMARY!B:B, A106, SUMMARY!A:A, "TUBIGON"), 0)</f>
        <v>1</v>
      </c>
      <c r="X106" s="24">
        <f>IFERROR(SUMIFS(SUMMARY!D:D, SUMMARY!B:B, A106, SUMMARY!A:A, "TALIBON"), 0)</f>
        <v>0</v>
      </c>
      <c r="Y106" s="24">
        <f>IFERROR(SUMIFS(SUMMARY!D:D, SUMMARY!B:B, A106, SUMMARY!A:A, "BOGO"), 0)</f>
        <v>0</v>
      </c>
      <c r="Z106" s="24">
        <f>IFERROR(SUMIFS(SUMMARY!D:D, SUMMARY!B:B, A106, SUMMARY!A:A, "BALAMBAN"), 0)</f>
        <v>0</v>
      </c>
      <c r="AA106" s="24">
        <f>IFERROR(SUMIFS(SUMMARY!D:D, SUMMARY!B:B, A106, SUMMARY!A:A, "Y3S BARILI"), 0)</f>
        <v>0</v>
      </c>
      <c r="AB106" s="24">
        <f>IFERROR(SUMIFS(SUMMARY!D:D, SUMMARY!B:B, A106, SUMMARY!A:A, "BARILI MB"), 0)</f>
        <v>0</v>
      </c>
      <c r="AC106" s="24">
        <f>IFERROR(SUMIFS(SUMMARY!D:D, SUMMARY!B:B, A106, SUMMARY!A:A, "SIERRA BULLONES"), 0)</f>
        <v>0</v>
      </c>
      <c r="AD106" s="24">
        <f>IFERROR(SUMIFS(SUMMARY!D:D, SUMMARY!B:B, A106, SUMMARY!A:A, "PITOGO"), 0)</f>
        <v>1</v>
      </c>
      <c r="AE106" s="24">
        <f>IFERROR(SUMIFS(SUMMARY!D:D, SUMMARY!B:B, A106, SUMMARY!A:A, "TAYUD CONSOLACION"), 0)</f>
        <v>0</v>
      </c>
      <c r="AF106" s="24">
        <f>IFERROR(SUMIFS(SUMMARY!D:D, SUMMARY!B:B, A106, SUMMARY!A:A, "PINAMUNGAJAN"), 0)</f>
        <v>0</v>
      </c>
      <c r="AG106" s="24">
        <f>IFERROR(SUMIFS(SUMMARY!D:D, SUMMARY!B:B, A106, SUMMARY!A:A, "CANDIJAY"), 0)</f>
        <v>0</v>
      </c>
      <c r="AH106" s="24">
        <f>IFERROR(SUMIFS(SUMMARY!D:D, SUMMARY!B:B, A106, SUMMARY!A:A, "YATI LILOAN"), 0)</f>
        <v>0</v>
      </c>
      <c r="AI106" s="27">
        <f>IFERROR(SUMIFS(SUMMARY!D:D, SUMMARY!B:B, A106, SUMMARY!A:A, "CAMOTES"), 0)</f>
        <v>0</v>
      </c>
      <c r="AJ106" s="28">
        <f t="shared" si="1"/>
        <v>7</v>
      </c>
    </row>
    <row r="107" ht="15.75" customHeight="1">
      <c r="C107" s="31"/>
      <c r="D107" s="32"/>
      <c r="E107" s="32"/>
      <c r="F107" s="31"/>
      <c r="G107" s="32"/>
      <c r="H107" s="31"/>
      <c r="I107" s="31"/>
      <c r="J107" s="31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</row>
    <row r="108" ht="15.75" customHeight="1">
      <c r="C108" s="31"/>
      <c r="D108" s="32"/>
      <c r="E108" s="32"/>
      <c r="F108" s="31"/>
      <c r="G108" s="32"/>
      <c r="H108" s="31"/>
      <c r="I108" s="31"/>
      <c r="J108" s="31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</row>
    <row r="109" ht="15.75" customHeight="1">
      <c r="C109" s="31"/>
      <c r="D109" s="32"/>
      <c r="E109" s="32"/>
      <c r="F109" s="31"/>
      <c r="G109" s="32"/>
      <c r="H109" s="31"/>
      <c r="I109" s="31"/>
      <c r="J109" s="31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</row>
    <row r="110" ht="15.75" customHeight="1">
      <c r="C110" s="31"/>
      <c r="D110" s="32"/>
      <c r="E110" s="32"/>
      <c r="F110" s="31"/>
      <c r="G110" s="32"/>
      <c r="H110" s="31"/>
      <c r="I110" s="31"/>
      <c r="J110" s="31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</row>
    <row r="111" ht="15.75" customHeight="1">
      <c r="C111" s="31"/>
      <c r="D111" s="32"/>
      <c r="E111" s="32"/>
      <c r="F111" s="31"/>
      <c r="G111" s="32"/>
      <c r="H111" s="31"/>
      <c r="I111" s="31"/>
      <c r="J111" s="31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</row>
    <row r="112" ht="15.75" customHeight="1">
      <c r="C112" s="31"/>
      <c r="D112" s="32"/>
      <c r="E112" s="32"/>
      <c r="F112" s="31"/>
      <c r="G112" s="32"/>
      <c r="H112" s="31"/>
      <c r="I112" s="31"/>
      <c r="J112" s="31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</row>
    <row r="113" ht="15.75" customHeight="1">
      <c r="C113" s="31"/>
      <c r="D113" s="32"/>
      <c r="E113" s="32"/>
      <c r="F113" s="31"/>
      <c r="G113" s="32"/>
      <c r="H113" s="31"/>
      <c r="I113" s="31"/>
      <c r="J113" s="31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</row>
    <row r="114" ht="15.75" customHeight="1">
      <c r="C114" s="31"/>
      <c r="D114" s="32"/>
      <c r="E114" s="32"/>
      <c r="F114" s="31"/>
      <c r="G114" s="32"/>
      <c r="H114" s="31"/>
      <c r="I114" s="31"/>
      <c r="J114" s="31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</row>
    <row r="115" ht="15.75" customHeight="1">
      <c r="C115" s="31"/>
      <c r="D115" s="32"/>
      <c r="E115" s="32"/>
      <c r="F115" s="31"/>
      <c r="G115" s="32"/>
      <c r="H115" s="31"/>
      <c r="I115" s="31"/>
      <c r="J115" s="31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</row>
    <row r="116" ht="15.75" customHeight="1">
      <c r="C116" s="31"/>
      <c r="D116" s="32"/>
      <c r="E116" s="32"/>
      <c r="F116" s="31"/>
      <c r="G116" s="32"/>
      <c r="H116" s="31"/>
      <c r="I116" s="31"/>
      <c r="J116" s="31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</row>
    <row r="117" ht="15.75" customHeight="1">
      <c r="C117" s="31"/>
      <c r="D117" s="32"/>
      <c r="E117" s="32"/>
      <c r="F117" s="31"/>
      <c r="G117" s="32"/>
      <c r="H117" s="31"/>
      <c r="I117" s="31"/>
      <c r="J117" s="31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</row>
    <row r="118" ht="15.75" customHeight="1">
      <c r="C118" s="31"/>
      <c r="D118" s="32"/>
      <c r="E118" s="32"/>
      <c r="F118" s="31"/>
      <c r="G118" s="32"/>
      <c r="H118" s="31"/>
      <c r="I118" s="31"/>
      <c r="J118" s="31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</row>
    <row r="119" ht="15.75" customHeight="1">
      <c r="C119" s="31"/>
      <c r="D119" s="32"/>
      <c r="E119" s="32"/>
      <c r="F119" s="31"/>
      <c r="G119" s="32"/>
      <c r="H119" s="31"/>
      <c r="I119" s="31"/>
      <c r="J119" s="31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</row>
    <row r="120" ht="15.75" customHeight="1">
      <c r="C120" s="31"/>
      <c r="D120" s="32"/>
      <c r="E120" s="32"/>
      <c r="F120" s="31"/>
      <c r="G120" s="32"/>
      <c r="H120" s="31"/>
      <c r="I120" s="31"/>
      <c r="J120" s="31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</row>
    <row r="121" ht="15.75" customHeight="1">
      <c r="C121" s="31"/>
      <c r="D121" s="32"/>
      <c r="E121" s="32"/>
      <c r="F121" s="31"/>
      <c r="G121" s="32"/>
      <c r="H121" s="31"/>
      <c r="I121" s="31"/>
      <c r="J121" s="31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</row>
    <row r="122" ht="15.75" customHeight="1">
      <c r="C122" s="31"/>
      <c r="D122" s="32"/>
      <c r="E122" s="32"/>
      <c r="F122" s="31"/>
      <c r="G122" s="32"/>
      <c r="H122" s="31"/>
      <c r="I122" s="31"/>
      <c r="J122" s="31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</row>
    <row r="123" ht="15.75" customHeight="1">
      <c r="C123" s="31"/>
      <c r="D123" s="32"/>
      <c r="E123" s="32"/>
      <c r="F123" s="31"/>
      <c r="G123" s="32"/>
      <c r="H123" s="31"/>
      <c r="I123" s="31"/>
      <c r="J123" s="31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</row>
    <row r="124" ht="15.75" customHeight="1">
      <c r="C124" s="31"/>
      <c r="D124" s="32"/>
      <c r="E124" s="32"/>
      <c r="F124" s="31"/>
      <c r="G124" s="32"/>
      <c r="H124" s="31"/>
      <c r="I124" s="31"/>
      <c r="J124" s="31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</row>
    <row r="125" ht="15.75" customHeight="1">
      <c r="C125" s="31"/>
      <c r="D125" s="32"/>
      <c r="E125" s="32"/>
      <c r="F125" s="31"/>
      <c r="G125" s="32"/>
      <c r="H125" s="31"/>
      <c r="I125" s="31"/>
      <c r="J125" s="31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</row>
    <row r="126" ht="15.75" customHeight="1">
      <c r="C126" s="31"/>
      <c r="D126" s="32"/>
      <c r="E126" s="32"/>
      <c r="F126" s="31"/>
      <c r="G126" s="32"/>
      <c r="H126" s="31"/>
      <c r="I126" s="31"/>
      <c r="J126" s="31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</row>
    <row r="127" ht="15.75" customHeight="1">
      <c r="C127" s="31"/>
      <c r="D127" s="32"/>
      <c r="E127" s="32"/>
      <c r="F127" s="31"/>
      <c r="G127" s="32"/>
      <c r="H127" s="31"/>
      <c r="I127" s="31"/>
      <c r="J127" s="31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</row>
    <row r="128" ht="15.75" customHeight="1">
      <c r="C128" s="31"/>
      <c r="D128" s="32"/>
      <c r="E128" s="32"/>
      <c r="F128" s="31"/>
      <c r="G128" s="32"/>
      <c r="H128" s="31"/>
      <c r="I128" s="31"/>
      <c r="J128" s="31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</row>
    <row r="129" ht="15.75" customHeight="1">
      <c r="C129" s="31"/>
      <c r="D129" s="32"/>
      <c r="E129" s="32"/>
      <c r="F129" s="31"/>
      <c r="G129" s="32"/>
      <c r="H129" s="31"/>
      <c r="I129" s="31"/>
      <c r="J129" s="31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</row>
    <row r="130" ht="15.75" customHeight="1">
      <c r="C130" s="31"/>
      <c r="D130" s="32"/>
      <c r="E130" s="32"/>
      <c r="F130" s="31"/>
      <c r="G130" s="32"/>
      <c r="H130" s="31"/>
      <c r="I130" s="31"/>
      <c r="J130" s="31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</row>
    <row r="131" ht="15.75" customHeight="1">
      <c r="C131" s="31"/>
      <c r="D131" s="32"/>
      <c r="E131" s="32"/>
      <c r="F131" s="31"/>
      <c r="G131" s="32"/>
      <c r="H131" s="31"/>
      <c r="I131" s="31"/>
      <c r="J131" s="31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</row>
    <row r="132" ht="15.75" customHeight="1">
      <c r="C132" s="31"/>
      <c r="D132" s="32"/>
      <c r="E132" s="32"/>
      <c r="F132" s="31"/>
      <c r="G132" s="32"/>
      <c r="H132" s="31"/>
      <c r="I132" s="31"/>
      <c r="J132" s="31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</row>
    <row r="133" ht="15.75" customHeight="1">
      <c r="C133" s="31"/>
      <c r="D133" s="32"/>
      <c r="E133" s="32"/>
      <c r="F133" s="31"/>
      <c r="G133" s="32"/>
      <c r="H133" s="31"/>
      <c r="I133" s="31"/>
      <c r="J133" s="31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</row>
    <row r="134" ht="15.75" customHeight="1">
      <c r="C134" s="31"/>
      <c r="D134" s="32"/>
      <c r="E134" s="32"/>
      <c r="F134" s="31"/>
      <c r="G134" s="32"/>
      <c r="H134" s="31"/>
      <c r="I134" s="31"/>
      <c r="J134" s="31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</row>
    <row r="135" ht="15.75" customHeight="1">
      <c r="C135" s="31"/>
      <c r="D135" s="32"/>
      <c r="E135" s="32"/>
      <c r="F135" s="31"/>
      <c r="G135" s="32"/>
      <c r="H135" s="31"/>
      <c r="I135" s="31"/>
      <c r="J135" s="31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</row>
    <row r="136" ht="15.75" customHeight="1">
      <c r="C136" s="31"/>
      <c r="D136" s="32"/>
      <c r="E136" s="32"/>
      <c r="F136" s="31"/>
      <c r="G136" s="32"/>
      <c r="H136" s="31"/>
      <c r="I136" s="31"/>
      <c r="J136" s="31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</row>
    <row r="137" ht="15.75" customHeight="1">
      <c r="C137" s="31"/>
      <c r="D137" s="32"/>
      <c r="E137" s="32"/>
      <c r="F137" s="31"/>
      <c r="G137" s="32"/>
      <c r="H137" s="31"/>
      <c r="I137" s="31"/>
      <c r="J137" s="31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</row>
    <row r="138" ht="15.75" customHeight="1">
      <c r="C138" s="31"/>
      <c r="D138" s="32"/>
      <c r="E138" s="32"/>
      <c r="F138" s="31"/>
      <c r="G138" s="32"/>
      <c r="H138" s="31"/>
      <c r="I138" s="31"/>
      <c r="J138" s="31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</row>
    <row r="139" ht="15.75" customHeight="1">
      <c r="C139" s="31"/>
      <c r="D139" s="32"/>
      <c r="E139" s="32"/>
      <c r="F139" s="31"/>
      <c r="G139" s="32"/>
      <c r="H139" s="31"/>
      <c r="I139" s="31"/>
      <c r="J139" s="31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</row>
    <row r="140" ht="15.75" customHeight="1">
      <c r="C140" s="31"/>
      <c r="D140" s="32"/>
      <c r="E140" s="32"/>
      <c r="F140" s="31"/>
      <c r="G140" s="32"/>
      <c r="H140" s="31"/>
      <c r="I140" s="31"/>
      <c r="J140" s="31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</row>
    <row r="141" ht="15.75" customHeight="1">
      <c r="C141" s="31"/>
      <c r="D141" s="32"/>
      <c r="E141" s="32"/>
      <c r="F141" s="31"/>
      <c r="G141" s="32"/>
      <c r="H141" s="31"/>
      <c r="I141" s="31"/>
      <c r="J141" s="31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</row>
    <row r="142" ht="15.75" customHeight="1">
      <c r="C142" s="31"/>
      <c r="D142" s="32"/>
      <c r="E142" s="32"/>
      <c r="F142" s="31"/>
      <c r="G142" s="32"/>
      <c r="H142" s="31"/>
      <c r="I142" s="31"/>
      <c r="J142" s="31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</row>
    <row r="143" ht="15.75" customHeight="1">
      <c r="C143" s="31"/>
      <c r="D143" s="32"/>
      <c r="E143" s="32"/>
      <c r="F143" s="31"/>
      <c r="G143" s="32"/>
      <c r="H143" s="31"/>
      <c r="I143" s="31"/>
      <c r="J143" s="31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</row>
    <row r="144" ht="15.75" customHeight="1">
      <c r="C144" s="31"/>
      <c r="D144" s="32"/>
      <c r="E144" s="32"/>
      <c r="F144" s="31"/>
      <c r="G144" s="32"/>
      <c r="H144" s="31"/>
      <c r="I144" s="31"/>
      <c r="J144" s="31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</row>
    <row r="145" ht="15.75" customHeight="1">
      <c r="C145" s="31"/>
      <c r="D145" s="32"/>
      <c r="E145" s="32"/>
      <c r="F145" s="31"/>
      <c r="G145" s="32"/>
      <c r="H145" s="31"/>
      <c r="I145" s="31"/>
      <c r="J145" s="31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</row>
    <row r="146" ht="15.75" customHeight="1">
      <c r="C146" s="31"/>
      <c r="D146" s="32"/>
      <c r="E146" s="32"/>
      <c r="F146" s="31"/>
      <c r="G146" s="32"/>
      <c r="H146" s="31"/>
      <c r="I146" s="31"/>
      <c r="J146" s="31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</row>
    <row r="147" ht="15.75" customHeight="1">
      <c r="C147" s="31"/>
      <c r="D147" s="32"/>
      <c r="E147" s="32"/>
      <c r="F147" s="31"/>
      <c r="G147" s="32"/>
      <c r="H147" s="31"/>
      <c r="I147" s="31"/>
      <c r="J147" s="31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</row>
    <row r="148" ht="15.75" customHeight="1">
      <c r="C148" s="31"/>
      <c r="D148" s="32"/>
      <c r="E148" s="32"/>
      <c r="F148" s="31"/>
      <c r="G148" s="32"/>
      <c r="H148" s="31"/>
      <c r="I148" s="31"/>
      <c r="J148" s="31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</row>
    <row r="149" ht="15.75" customHeight="1">
      <c r="C149" s="31"/>
      <c r="D149" s="32"/>
      <c r="E149" s="32"/>
      <c r="F149" s="31"/>
      <c r="G149" s="32"/>
      <c r="H149" s="31"/>
      <c r="I149" s="31"/>
      <c r="J149" s="31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</row>
    <row r="150" ht="15.75" customHeight="1">
      <c r="C150" s="31"/>
      <c r="D150" s="32"/>
      <c r="E150" s="32"/>
      <c r="F150" s="31"/>
      <c r="G150" s="32"/>
      <c r="H150" s="31"/>
      <c r="I150" s="31"/>
      <c r="J150" s="31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</row>
    <row r="151" ht="15.75" customHeight="1">
      <c r="C151" s="31"/>
      <c r="D151" s="32"/>
      <c r="E151" s="32"/>
      <c r="F151" s="31"/>
      <c r="G151" s="32"/>
      <c r="H151" s="31"/>
      <c r="I151" s="31"/>
      <c r="J151" s="31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</row>
    <row r="152" ht="15.75" customHeight="1">
      <c r="C152" s="31"/>
      <c r="D152" s="32"/>
      <c r="E152" s="32"/>
      <c r="F152" s="31"/>
      <c r="G152" s="32"/>
      <c r="H152" s="31"/>
      <c r="I152" s="31"/>
      <c r="J152" s="31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</row>
    <row r="153" ht="15.75" customHeight="1">
      <c r="C153" s="31"/>
      <c r="D153" s="32"/>
      <c r="E153" s="32"/>
      <c r="F153" s="31"/>
      <c r="G153" s="32"/>
      <c r="H153" s="31"/>
      <c r="I153" s="31"/>
      <c r="J153" s="31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</row>
    <row r="154" ht="15.75" customHeight="1">
      <c r="C154" s="31"/>
      <c r="D154" s="32"/>
      <c r="E154" s="32"/>
      <c r="F154" s="31"/>
      <c r="G154" s="32"/>
      <c r="H154" s="31"/>
      <c r="I154" s="31"/>
      <c r="J154" s="31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</row>
    <row r="155" ht="15.75" customHeight="1">
      <c r="C155" s="31"/>
      <c r="D155" s="32"/>
      <c r="E155" s="32"/>
      <c r="F155" s="31"/>
      <c r="G155" s="32"/>
      <c r="H155" s="31"/>
      <c r="I155" s="31"/>
      <c r="J155" s="31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</row>
    <row r="156" ht="15.75" customHeight="1">
      <c r="C156" s="31"/>
      <c r="D156" s="32"/>
      <c r="E156" s="32"/>
      <c r="F156" s="31"/>
      <c r="G156" s="32"/>
      <c r="H156" s="31"/>
      <c r="I156" s="31"/>
      <c r="J156" s="31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</row>
    <row r="157" ht="15.75" customHeight="1">
      <c r="C157" s="31"/>
      <c r="D157" s="32"/>
      <c r="E157" s="32"/>
      <c r="F157" s="31"/>
      <c r="G157" s="32"/>
      <c r="H157" s="31"/>
      <c r="I157" s="31"/>
      <c r="J157" s="31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</row>
    <row r="158" ht="15.75" customHeight="1">
      <c r="C158" s="31"/>
      <c r="D158" s="32"/>
      <c r="E158" s="32"/>
      <c r="F158" s="31"/>
      <c r="G158" s="32"/>
      <c r="H158" s="31"/>
      <c r="I158" s="31"/>
      <c r="J158" s="31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</row>
    <row r="159" ht="15.75" customHeight="1">
      <c r="C159" s="31"/>
      <c r="D159" s="32"/>
      <c r="E159" s="32"/>
      <c r="F159" s="31"/>
      <c r="G159" s="32"/>
      <c r="H159" s="31"/>
      <c r="I159" s="31"/>
      <c r="J159" s="31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</row>
    <row r="160" ht="15.75" customHeight="1">
      <c r="C160" s="31"/>
      <c r="D160" s="32"/>
      <c r="E160" s="32"/>
      <c r="F160" s="31"/>
      <c r="G160" s="32"/>
      <c r="H160" s="31"/>
      <c r="I160" s="31"/>
      <c r="J160" s="31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</row>
    <row r="161" ht="15.75" customHeight="1">
      <c r="C161" s="31"/>
      <c r="D161" s="32"/>
      <c r="E161" s="32"/>
      <c r="F161" s="31"/>
      <c r="G161" s="32"/>
      <c r="H161" s="31"/>
      <c r="I161" s="31"/>
      <c r="J161" s="31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</row>
    <row r="162" ht="15.75" customHeight="1">
      <c r="C162" s="31"/>
      <c r="D162" s="32"/>
      <c r="E162" s="32"/>
      <c r="F162" s="31"/>
      <c r="G162" s="32"/>
      <c r="H162" s="31"/>
      <c r="I162" s="31"/>
      <c r="J162" s="31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</row>
    <row r="163" ht="15.75" customHeight="1">
      <c r="C163" s="31"/>
      <c r="D163" s="32"/>
      <c r="E163" s="32"/>
      <c r="F163" s="31"/>
      <c r="G163" s="32"/>
      <c r="H163" s="31"/>
      <c r="I163" s="31"/>
      <c r="J163" s="31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</row>
    <row r="164" ht="15.75" customHeight="1">
      <c r="C164" s="31"/>
      <c r="D164" s="32"/>
      <c r="E164" s="32"/>
      <c r="F164" s="31"/>
      <c r="G164" s="32"/>
      <c r="H164" s="31"/>
      <c r="I164" s="31"/>
      <c r="J164" s="31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</row>
    <row r="165" ht="15.75" customHeight="1">
      <c r="C165" s="31"/>
      <c r="D165" s="32"/>
      <c r="E165" s="32"/>
      <c r="F165" s="31"/>
      <c r="G165" s="32"/>
      <c r="H165" s="31"/>
      <c r="I165" s="31"/>
      <c r="J165" s="31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</row>
    <row r="166" ht="15.75" customHeight="1">
      <c r="C166" s="31"/>
      <c r="D166" s="32"/>
      <c r="E166" s="32"/>
      <c r="F166" s="31"/>
      <c r="G166" s="32"/>
      <c r="H166" s="31"/>
      <c r="I166" s="31"/>
      <c r="J166" s="31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</row>
    <row r="167" ht="15.75" customHeight="1">
      <c r="C167" s="31"/>
      <c r="D167" s="32"/>
      <c r="E167" s="32"/>
      <c r="F167" s="31"/>
      <c r="G167" s="32"/>
      <c r="H167" s="31"/>
      <c r="I167" s="31"/>
      <c r="J167" s="31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</row>
    <row r="168" ht="15.75" customHeight="1">
      <c r="C168" s="31"/>
      <c r="D168" s="32"/>
      <c r="E168" s="32"/>
      <c r="F168" s="31"/>
      <c r="G168" s="32"/>
      <c r="H168" s="31"/>
      <c r="I168" s="31"/>
      <c r="J168" s="31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</row>
    <row r="169" ht="15.75" customHeight="1">
      <c r="C169" s="31"/>
      <c r="D169" s="32"/>
      <c r="E169" s="32"/>
      <c r="F169" s="31"/>
      <c r="G169" s="32"/>
      <c r="H169" s="31"/>
      <c r="I169" s="31"/>
      <c r="J169" s="31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</row>
    <row r="170" ht="15.75" customHeight="1">
      <c r="C170" s="31"/>
      <c r="D170" s="32"/>
      <c r="E170" s="32"/>
      <c r="F170" s="31"/>
      <c r="G170" s="32"/>
      <c r="H170" s="31"/>
      <c r="I170" s="31"/>
      <c r="J170" s="31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</row>
    <row r="171" ht="15.75" customHeight="1">
      <c r="C171" s="31"/>
      <c r="D171" s="32"/>
      <c r="E171" s="32"/>
      <c r="F171" s="31"/>
      <c r="G171" s="32"/>
      <c r="H171" s="31"/>
      <c r="I171" s="31"/>
      <c r="J171" s="31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</row>
    <row r="172" ht="15.75" customHeight="1">
      <c r="C172" s="31"/>
      <c r="D172" s="32"/>
      <c r="E172" s="32"/>
      <c r="F172" s="31"/>
      <c r="G172" s="32"/>
      <c r="H172" s="31"/>
      <c r="I172" s="31"/>
      <c r="J172" s="31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</row>
    <row r="173" ht="15.75" customHeight="1">
      <c r="C173" s="31"/>
      <c r="D173" s="32"/>
      <c r="E173" s="32"/>
      <c r="F173" s="31"/>
      <c r="G173" s="32"/>
      <c r="H173" s="31"/>
      <c r="I173" s="31"/>
      <c r="J173" s="31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</row>
    <row r="174" ht="15.75" customHeight="1">
      <c r="C174" s="31"/>
      <c r="D174" s="32"/>
      <c r="E174" s="32"/>
      <c r="F174" s="31"/>
      <c r="G174" s="32"/>
      <c r="H174" s="31"/>
      <c r="I174" s="31"/>
      <c r="J174" s="31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</row>
    <row r="175" ht="15.75" customHeight="1">
      <c r="C175" s="31"/>
      <c r="D175" s="32"/>
      <c r="E175" s="32"/>
      <c r="F175" s="31"/>
      <c r="G175" s="32"/>
      <c r="H175" s="31"/>
      <c r="I175" s="31"/>
      <c r="J175" s="31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</row>
    <row r="176" ht="15.75" customHeight="1">
      <c r="C176" s="31"/>
      <c r="D176" s="32"/>
      <c r="E176" s="32"/>
      <c r="F176" s="31"/>
      <c r="G176" s="32"/>
      <c r="H176" s="31"/>
      <c r="I176" s="31"/>
      <c r="J176" s="31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</row>
    <row r="177" ht="15.75" customHeight="1">
      <c r="C177" s="31"/>
      <c r="D177" s="32"/>
      <c r="E177" s="32"/>
      <c r="F177" s="31"/>
      <c r="G177" s="32"/>
      <c r="H177" s="31"/>
      <c r="I177" s="31"/>
      <c r="J177" s="31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</row>
    <row r="178" ht="15.75" customHeight="1">
      <c r="C178" s="31"/>
      <c r="D178" s="32"/>
      <c r="E178" s="32"/>
      <c r="F178" s="31"/>
      <c r="G178" s="32"/>
      <c r="H178" s="31"/>
      <c r="I178" s="31"/>
      <c r="J178" s="31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</row>
    <row r="179" ht="15.75" customHeight="1">
      <c r="C179" s="31"/>
      <c r="D179" s="32"/>
      <c r="E179" s="32"/>
      <c r="F179" s="31"/>
      <c r="G179" s="32"/>
      <c r="H179" s="31"/>
      <c r="I179" s="31"/>
      <c r="J179" s="31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</row>
    <row r="180" ht="15.75" customHeight="1">
      <c r="C180" s="31"/>
      <c r="D180" s="32"/>
      <c r="E180" s="32"/>
      <c r="F180" s="31"/>
      <c r="G180" s="32"/>
      <c r="H180" s="31"/>
      <c r="I180" s="31"/>
      <c r="J180" s="31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</row>
    <row r="181" ht="15.75" customHeight="1">
      <c r="C181" s="31"/>
      <c r="D181" s="32"/>
      <c r="E181" s="32"/>
      <c r="F181" s="31"/>
      <c r="G181" s="32"/>
      <c r="H181" s="31"/>
      <c r="I181" s="31"/>
      <c r="J181" s="31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</row>
    <row r="182" ht="15.75" customHeight="1">
      <c r="C182" s="31"/>
      <c r="D182" s="32"/>
      <c r="E182" s="32"/>
      <c r="F182" s="31"/>
      <c r="G182" s="32"/>
      <c r="H182" s="31"/>
      <c r="I182" s="31"/>
      <c r="J182" s="31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</row>
    <row r="183" ht="15.75" customHeight="1">
      <c r="C183" s="31"/>
      <c r="D183" s="32"/>
      <c r="E183" s="32"/>
      <c r="F183" s="31"/>
      <c r="G183" s="32"/>
      <c r="H183" s="31"/>
      <c r="I183" s="31"/>
      <c r="J183" s="31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</row>
    <row r="184" ht="15.75" customHeight="1">
      <c r="C184" s="31"/>
      <c r="D184" s="32"/>
      <c r="E184" s="32"/>
      <c r="F184" s="31"/>
      <c r="G184" s="32"/>
      <c r="H184" s="31"/>
      <c r="I184" s="31"/>
      <c r="J184" s="31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</row>
    <row r="185" ht="15.75" customHeight="1">
      <c r="C185" s="31"/>
      <c r="D185" s="32"/>
      <c r="E185" s="32"/>
      <c r="F185" s="31"/>
      <c r="G185" s="32"/>
      <c r="H185" s="31"/>
      <c r="I185" s="31"/>
      <c r="J185" s="31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</row>
    <row r="186" ht="15.75" customHeight="1">
      <c r="C186" s="31"/>
      <c r="D186" s="32"/>
      <c r="E186" s="32"/>
      <c r="F186" s="31"/>
      <c r="G186" s="32"/>
      <c r="H186" s="31"/>
      <c r="I186" s="31"/>
      <c r="J186" s="31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</row>
    <row r="187" ht="15.75" customHeight="1">
      <c r="C187" s="31"/>
      <c r="D187" s="32"/>
      <c r="E187" s="32"/>
      <c r="F187" s="31"/>
      <c r="G187" s="32"/>
      <c r="H187" s="31"/>
      <c r="I187" s="31"/>
      <c r="J187" s="31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</row>
    <row r="188" ht="15.75" customHeight="1">
      <c r="C188" s="31"/>
      <c r="D188" s="32"/>
      <c r="E188" s="32"/>
      <c r="F188" s="31"/>
      <c r="G188" s="32"/>
      <c r="H188" s="31"/>
      <c r="I188" s="31"/>
      <c r="J188" s="31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</row>
    <row r="189" ht="15.75" customHeight="1">
      <c r="C189" s="31"/>
      <c r="D189" s="32"/>
      <c r="E189" s="32"/>
      <c r="F189" s="31"/>
      <c r="G189" s="32"/>
      <c r="H189" s="31"/>
      <c r="I189" s="31"/>
      <c r="J189" s="31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</row>
    <row r="190" ht="15.75" customHeight="1">
      <c r="C190" s="31"/>
      <c r="D190" s="32"/>
      <c r="E190" s="32"/>
      <c r="F190" s="31"/>
      <c r="G190" s="32"/>
      <c r="H190" s="31"/>
      <c r="I190" s="31"/>
      <c r="J190" s="31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</row>
    <row r="191" ht="15.75" customHeight="1">
      <c r="C191" s="31"/>
      <c r="D191" s="32"/>
      <c r="E191" s="32"/>
      <c r="F191" s="31"/>
      <c r="G191" s="32"/>
      <c r="H191" s="31"/>
      <c r="I191" s="31"/>
      <c r="J191" s="31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</row>
    <row r="192" ht="15.75" customHeight="1">
      <c r="C192" s="31"/>
      <c r="D192" s="32"/>
      <c r="E192" s="32"/>
      <c r="F192" s="31"/>
      <c r="G192" s="32"/>
      <c r="H192" s="31"/>
      <c r="I192" s="31"/>
      <c r="J192" s="31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</row>
    <row r="193" ht="15.75" customHeight="1">
      <c r="C193" s="31"/>
      <c r="D193" s="32"/>
      <c r="E193" s="32"/>
      <c r="F193" s="31"/>
      <c r="G193" s="32"/>
      <c r="H193" s="31"/>
      <c r="I193" s="31"/>
      <c r="J193" s="31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</row>
    <row r="194" ht="15.75" customHeight="1">
      <c r="C194" s="31"/>
      <c r="D194" s="32"/>
      <c r="E194" s="32"/>
      <c r="F194" s="31"/>
      <c r="G194" s="32"/>
      <c r="H194" s="31"/>
      <c r="I194" s="31"/>
      <c r="J194" s="31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</row>
    <row r="195" ht="15.75" customHeight="1">
      <c r="C195" s="31"/>
      <c r="D195" s="32"/>
      <c r="E195" s="32"/>
      <c r="F195" s="31"/>
      <c r="G195" s="32"/>
      <c r="H195" s="31"/>
      <c r="I195" s="31"/>
      <c r="J195" s="31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</row>
    <row r="196" ht="15.75" customHeight="1">
      <c r="C196" s="31"/>
      <c r="D196" s="32"/>
      <c r="E196" s="32"/>
      <c r="F196" s="31"/>
      <c r="G196" s="32"/>
      <c r="H196" s="31"/>
      <c r="I196" s="31"/>
      <c r="J196" s="31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</row>
    <row r="197" ht="15.75" customHeight="1">
      <c r="C197" s="31"/>
      <c r="D197" s="32"/>
      <c r="E197" s="32"/>
      <c r="F197" s="31"/>
      <c r="G197" s="32"/>
      <c r="H197" s="31"/>
      <c r="I197" s="31"/>
      <c r="J197" s="31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</row>
    <row r="198" ht="15.75" customHeight="1">
      <c r="C198" s="31"/>
      <c r="D198" s="32"/>
      <c r="E198" s="32"/>
      <c r="F198" s="31"/>
      <c r="G198" s="32"/>
      <c r="H198" s="31"/>
      <c r="I198" s="31"/>
      <c r="J198" s="31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</row>
    <row r="199" ht="15.75" customHeight="1">
      <c r="C199" s="31"/>
      <c r="D199" s="32"/>
      <c r="E199" s="32"/>
      <c r="F199" s="31"/>
      <c r="G199" s="32"/>
      <c r="H199" s="31"/>
      <c r="I199" s="31"/>
      <c r="J199" s="31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</row>
    <row r="200" ht="15.75" customHeight="1">
      <c r="C200" s="31"/>
      <c r="D200" s="32"/>
      <c r="E200" s="32"/>
      <c r="F200" s="31"/>
      <c r="G200" s="32"/>
      <c r="H200" s="31"/>
      <c r="I200" s="31"/>
      <c r="J200" s="31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</row>
    <row r="201" ht="15.75" customHeight="1">
      <c r="C201" s="31"/>
      <c r="D201" s="32"/>
      <c r="E201" s="32"/>
      <c r="F201" s="31"/>
      <c r="G201" s="32"/>
      <c r="H201" s="31"/>
      <c r="I201" s="31"/>
      <c r="J201" s="31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</row>
    <row r="202" ht="15.75" customHeight="1">
      <c r="C202" s="31"/>
      <c r="D202" s="32"/>
      <c r="E202" s="32"/>
      <c r="F202" s="31"/>
      <c r="G202" s="32"/>
      <c r="H202" s="31"/>
      <c r="I202" s="31"/>
      <c r="J202" s="31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</row>
    <row r="203" ht="15.75" customHeight="1">
      <c r="C203" s="31"/>
      <c r="D203" s="32"/>
      <c r="E203" s="32"/>
      <c r="F203" s="31"/>
      <c r="G203" s="32"/>
      <c r="H203" s="31"/>
      <c r="I203" s="31"/>
      <c r="J203" s="31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</row>
    <row r="204" ht="15.75" customHeight="1">
      <c r="C204" s="31"/>
      <c r="D204" s="32"/>
      <c r="E204" s="32"/>
      <c r="F204" s="31"/>
      <c r="G204" s="32"/>
      <c r="H204" s="31"/>
      <c r="I204" s="31"/>
      <c r="J204" s="31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</row>
    <row r="205" ht="15.75" customHeight="1">
      <c r="C205" s="31"/>
      <c r="D205" s="32"/>
      <c r="E205" s="32"/>
      <c r="F205" s="31"/>
      <c r="G205" s="32"/>
      <c r="H205" s="31"/>
      <c r="I205" s="31"/>
      <c r="J205" s="31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</row>
    <row r="206" ht="15.75" customHeight="1">
      <c r="C206" s="31"/>
      <c r="D206" s="32"/>
      <c r="E206" s="32"/>
      <c r="F206" s="31"/>
      <c r="G206" s="32"/>
      <c r="H206" s="31"/>
      <c r="I206" s="31"/>
      <c r="J206" s="31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</row>
    <row r="207" ht="15.75" customHeight="1">
      <c r="C207" s="31"/>
      <c r="D207" s="32"/>
      <c r="E207" s="32"/>
      <c r="F207" s="31"/>
      <c r="G207" s="32"/>
      <c r="H207" s="31"/>
      <c r="I207" s="31"/>
      <c r="J207" s="31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</row>
    <row r="208" ht="15.75" customHeight="1">
      <c r="C208" s="31"/>
      <c r="D208" s="32"/>
      <c r="E208" s="32"/>
      <c r="F208" s="31"/>
      <c r="G208" s="32"/>
      <c r="H208" s="31"/>
      <c r="I208" s="31"/>
      <c r="J208" s="31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</row>
    <row r="209" ht="15.75" customHeight="1">
      <c r="C209" s="31"/>
      <c r="D209" s="32"/>
      <c r="E209" s="32"/>
      <c r="F209" s="31"/>
      <c r="G209" s="32"/>
      <c r="H209" s="31"/>
      <c r="I209" s="31"/>
      <c r="J209" s="31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</row>
    <row r="210" ht="15.75" customHeight="1">
      <c r="C210" s="31"/>
      <c r="D210" s="32"/>
      <c r="E210" s="32"/>
      <c r="F210" s="31"/>
      <c r="G210" s="32"/>
      <c r="H210" s="31"/>
      <c r="I210" s="31"/>
      <c r="J210" s="31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</row>
    <row r="211" ht="15.75" customHeight="1">
      <c r="C211" s="31"/>
      <c r="D211" s="32"/>
      <c r="E211" s="32"/>
      <c r="F211" s="31"/>
      <c r="G211" s="32"/>
      <c r="H211" s="31"/>
      <c r="I211" s="31"/>
      <c r="J211" s="31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</row>
    <row r="212" ht="15.75" customHeight="1">
      <c r="C212" s="31"/>
      <c r="D212" s="32"/>
      <c r="E212" s="32"/>
      <c r="F212" s="31"/>
      <c r="G212" s="32"/>
      <c r="H212" s="31"/>
      <c r="I212" s="31"/>
      <c r="J212" s="31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</row>
    <row r="213" ht="15.75" customHeight="1">
      <c r="C213" s="31"/>
      <c r="D213" s="32"/>
      <c r="E213" s="32"/>
      <c r="F213" s="31"/>
      <c r="G213" s="32"/>
      <c r="H213" s="31"/>
      <c r="I213" s="31"/>
      <c r="J213" s="31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</row>
    <row r="214" ht="15.75" customHeight="1">
      <c r="C214" s="31"/>
      <c r="D214" s="32"/>
      <c r="E214" s="32"/>
      <c r="F214" s="31"/>
      <c r="G214" s="32"/>
      <c r="H214" s="31"/>
      <c r="I214" s="31"/>
      <c r="J214" s="31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</row>
    <row r="215" ht="15.75" customHeight="1">
      <c r="C215" s="31"/>
      <c r="D215" s="32"/>
      <c r="E215" s="32"/>
      <c r="F215" s="31"/>
      <c r="G215" s="32"/>
      <c r="H215" s="31"/>
      <c r="I215" s="31"/>
      <c r="J215" s="31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</row>
    <row r="216" ht="15.75" customHeight="1">
      <c r="C216" s="31"/>
      <c r="D216" s="32"/>
      <c r="E216" s="32"/>
      <c r="F216" s="31"/>
      <c r="G216" s="32"/>
      <c r="H216" s="31"/>
      <c r="I216" s="31"/>
      <c r="J216" s="31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</row>
    <row r="217" ht="15.75" customHeight="1">
      <c r="C217" s="31"/>
      <c r="D217" s="32"/>
      <c r="E217" s="32"/>
      <c r="F217" s="31"/>
      <c r="G217" s="32"/>
      <c r="H217" s="31"/>
      <c r="I217" s="31"/>
      <c r="J217" s="31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</row>
    <row r="218" ht="15.75" customHeight="1">
      <c r="C218" s="31"/>
      <c r="D218" s="32"/>
      <c r="E218" s="32"/>
      <c r="F218" s="31"/>
      <c r="G218" s="32"/>
      <c r="H218" s="31"/>
      <c r="I218" s="31"/>
      <c r="J218" s="31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</row>
    <row r="219" ht="15.75" customHeight="1">
      <c r="C219" s="31"/>
      <c r="D219" s="32"/>
      <c r="E219" s="32"/>
      <c r="F219" s="31"/>
      <c r="G219" s="32"/>
      <c r="H219" s="31"/>
      <c r="I219" s="31"/>
      <c r="J219" s="31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</row>
    <row r="220" ht="15.75" customHeight="1">
      <c r="C220" s="31"/>
      <c r="D220" s="32"/>
      <c r="E220" s="32"/>
      <c r="F220" s="31"/>
      <c r="G220" s="32"/>
      <c r="H220" s="31"/>
      <c r="I220" s="31"/>
      <c r="J220" s="31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</row>
    <row r="221" ht="15.75" customHeight="1">
      <c r="C221" s="31"/>
      <c r="D221" s="32"/>
      <c r="E221" s="32"/>
      <c r="F221" s="31"/>
      <c r="G221" s="32"/>
      <c r="H221" s="31"/>
      <c r="I221" s="31"/>
      <c r="J221" s="31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</row>
    <row r="222" ht="15.75" customHeight="1">
      <c r="C222" s="31"/>
      <c r="D222" s="32"/>
      <c r="E222" s="32"/>
      <c r="F222" s="31"/>
      <c r="G222" s="32"/>
      <c r="H222" s="31"/>
      <c r="I222" s="31"/>
      <c r="J222" s="31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</row>
    <row r="223" ht="15.75" customHeight="1">
      <c r="C223" s="31"/>
      <c r="D223" s="32"/>
      <c r="E223" s="32"/>
      <c r="F223" s="31"/>
      <c r="G223" s="32"/>
      <c r="H223" s="31"/>
      <c r="I223" s="31"/>
      <c r="J223" s="31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</row>
    <row r="224" ht="15.75" customHeight="1">
      <c r="C224" s="31"/>
      <c r="D224" s="32"/>
      <c r="E224" s="32"/>
      <c r="F224" s="31"/>
      <c r="G224" s="32"/>
      <c r="H224" s="31"/>
      <c r="I224" s="31"/>
      <c r="J224" s="31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</row>
    <row r="225" ht="15.75" customHeight="1">
      <c r="C225" s="31"/>
      <c r="D225" s="32"/>
      <c r="E225" s="32"/>
      <c r="F225" s="31"/>
      <c r="G225" s="32"/>
      <c r="H225" s="31"/>
      <c r="I225" s="31"/>
      <c r="J225" s="31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</row>
    <row r="226" ht="15.75" customHeight="1">
      <c r="C226" s="31"/>
      <c r="D226" s="32"/>
      <c r="E226" s="32"/>
      <c r="F226" s="31"/>
      <c r="G226" s="32"/>
      <c r="H226" s="31"/>
      <c r="I226" s="31"/>
      <c r="J226" s="31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</row>
    <row r="227" ht="15.75" customHeight="1">
      <c r="C227" s="31"/>
      <c r="D227" s="32"/>
      <c r="E227" s="32"/>
      <c r="F227" s="31"/>
      <c r="G227" s="32"/>
      <c r="H227" s="31"/>
      <c r="I227" s="31"/>
      <c r="J227" s="31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</row>
    <row r="228" ht="15.75" customHeight="1">
      <c r="C228" s="31"/>
      <c r="D228" s="32"/>
      <c r="E228" s="32"/>
      <c r="F228" s="31"/>
      <c r="G228" s="32"/>
      <c r="H228" s="31"/>
      <c r="I228" s="31"/>
      <c r="J228" s="31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</row>
    <row r="229" ht="15.75" customHeight="1">
      <c r="C229" s="31"/>
      <c r="D229" s="32"/>
      <c r="E229" s="32"/>
      <c r="F229" s="31"/>
      <c r="G229" s="32"/>
      <c r="H229" s="31"/>
      <c r="I229" s="31"/>
      <c r="J229" s="31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</row>
    <row r="230" ht="15.75" customHeight="1">
      <c r="C230" s="31"/>
      <c r="D230" s="32"/>
      <c r="E230" s="32"/>
      <c r="F230" s="31"/>
      <c r="G230" s="32"/>
      <c r="H230" s="31"/>
      <c r="I230" s="31"/>
      <c r="J230" s="31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</row>
    <row r="231" ht="15.75" customHeight="1">
      <c r="C231" s="31"/>
      <c r="D231" s="32"/>
      <c r="E231" s="32"/>
      <c r="F231" s="31"/>
      <c r="G231" s="32"/>
      <c r="H231" s="31"/>
      <c r="I231" s="31"/>
      <c r="J231" s="31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</row>
    <row r="232" ht="15.75" customHeight="1">
      <c r="C232" s="31"/>
      <c r="D232" s="32"/>
      <c r="E232" s="32"/>
      <c r="F232" s="31"/>
      <c r="G232" s="32"/>
      <c r="H232" s="31"/>
      <c r="I232" s="31"/>
      <c r="J232" s="31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</row>
    <row r="233" ht="15.75" customHeight="1">
      <c r="C233" s="31"/>
      <c r="D233" s="32"/>
      <c r="E233" s="32"/>
      <c r="F233" s="31"/>
      <c r="G233" s="32"/>
      <c r="H233" s="31"/>
      <c r="I233" s="31"/>
      <c r="J233" s="31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</row>
    <row r="234" ht="15.75" customHeight="1">
      <c r="C234" s="31"/>
      <c r="D234" s="32"/>
      <c r="E234" s="32"/>
      <c r="F234" s="31"/>
      <c r="G234" s="32"/>
      <c r="H234" s="31"/>
      <c r="I234" s="31"/>
      <c r="J234" s="31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</row>
    <row r="235" ht="15.75" customHeight="1">
      <c r="C235" s="31"/>
      <c r="D235" s="32"/>
      <c r="E235" s="32"/>
      <c r="F235" s="31"/>
      <c r="G235" s="32"/>
      <c r="H235" s="31"/>
      <c r="I235" s="31"/>
      <c r="J235" s="31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</row>
    <row r="236" ht="15.75" customHeight="1">
      <c r="C236" s="31"/>
      <c r="D236" s="32"/>
      <c r="E236" s="32"/>
      <c r="F236" s="31"/>
      <c r="G236" s="32"/>
      <c r="H236" s="31"/>
      <c r="I236" s="31"/>
      <c r="J236" s="31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</row>
    <row r="237" ht="15.75" customHeight="1">
      <c r="C237" s="31"/>
      <c r="D237" s="32"/>
      <c r="E237" s="32"/>
      <c r="F237" s="31"/>
      <c r="G237" s="32"/>
      <c r="H237" s="31"/>
      <c r="I237" s="31"/>
      <c r="J237" s="31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</row>
    <row r="238" ht="15.75" customHeight="1">
      <c r="C238" s="31"/>
      <c r="D238" s="32"/>
      <c r="E238" s="32"/>
      <c r="F238" s="31"/>
      <c r="G238" s="32"/>
      <c r="H238" s="31"/>
      <c r="I238" s="31"/>
      <c r="J238" s="31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</row>
    <row r="239" ht="15.75" customHeight="1">
      <c r="C239" s="31"/>
      <c r="D239" s="32"/>
      <c r="E239" s="32"/>
      <c r="F239" s="31"/>
      <c r="G239" s="32"/>
      <c r="H239" s="31"/>
      <c r="I239" s="31"/>
      <c r="J239" s="31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</row>
    <row r="240" ht="15.75" customHeight="1">
      <c r="C240" s="31"/>
      <c r="D240" s="32"/>
      <c r="E240" s="32"/>
      <c r="F240" s="31"/>
      <c r="G240" s="32"/>
      <c r="H240" s="31"/>
      <c r="I240" s="31"/>
      <c r="J240" s="31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</row>
    <row r="241" ht="15.75" customHeight="1">
      <c r="C241" s="31"/>
      <c r="D241" s="32"/>
      <c r="E241" s="32"/>
      <c r="F241" s="31"/>
      <c r="G241" s="32"/>
      <c r="H241" s="31"/>
      <c r="I241" s="31"/>
      <c r="J241" s="31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</row>
    <row r="242" ht="15.75" customHeight="1">
      <c r="C242" s="31"/>
      <c r="D242" s="32"/>
      <c r="E242" s="32"/>
      <c r="F242" s="31"/>
      <c r="G242" s="32"/>
      <c r="H242" s="31"/>
      <c r="I242" s="31"/>
      <c r="J242" s="31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</row>
    <row r="243" ht="15.75" customHeight="1">
      <c r="C243" s="31"/>
      <c r="D243" s="32"/>
      <c r="E243" s="32"/>
      <c r="F243" s="31"/>
      <c r="G243" s="32"/>
      <c r="H243" s="31"/>
      <c r="I243" s="31"/>
      <c r="J243" s="31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</row>
    <row r="244" ht="15.75" customHeight="1">
      <c r="C244" s="31"/>
      <c r="D244" s="32"/>
      <c r="E244" s="32"/>
      <c r="F244" s="31"/>
      <c r="G244" s="32"/>
      <c r="H244" s="31"/>
      <c r="I244" s="31"/>
      <c r="J244" s="31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</row>
    <row r="245" ht="15.75" customHeight="1">
      <c r="C245" s="31"/>
      <c r="D245" s="32"/>
      <c r="E245" s="32"/>
      <c r="F245" s="31"/>
      <c r="G245" s="32"/>
      <c r="H245" s="31"/>
      <c r="I245" s="31"/>
      <c r="J245" s="31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</row>
    <row r="246" ht="15.75" customHeight="1">
      <c r="C246" s="31"/>
      <c r="D246" s="32"/>
      <c r="E246" s="32"/>
      <c r="F246" s="31"/>
      <c r="G246" s="32"/>
      <c r="H246" s="31"/>
      <c r="I246" s="31"/>
      <c r="J246" s="31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</row>
    <row r="247" ht="15.75" customHeight="1">
      <c r="C247" s="31"/>
      <c r="D247" s="32"/>
      <c r="E247" s="32"/>
      <c r="F247" s="31"/>
      <c r="G247" s="32"/>
      <c r="H247" s="31"/>
      <c r="I247" s="31"/>
      <c r="J247" s="31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</row>
    <row r="248" ht="15.75" customHeight="1">
      <c r="C248" s="31"/>
      <c r="D248" s="32"/>
      <c r="E248" s="32"/>
      <c r="F248" s="31"/>
      <c r="G248" s="32"/>
      <c r="H248" s="31"/>
      <c r="I248" s="31"/>
      <c r="J248" s="31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</row>
    <row r="249" ht="15.75" customHeight="1">
      <c r="C249" s="31"/>
      <c r="D249" s="32"/>
      <c r="E249" s="32"/>
      <c r="F249" s="31"/>
      <c r="G249" s="32"/>
      <c r="H249" s="31"/>
      <c r="I249" s="31"/>
      <c r="J249" s="31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</row>
    <row r="250" ht="15.75" customHeight="1">
      <c r="C250" s="31"/>
      <c r="D250" s="32"/>
      <c r="E250" s="32"/>
      <c r="F250" s="31"/>
      <c r="G250" s="32"/>
      <c r="H250" s="31"/>
      <c r="I250" s="31"/>
      <c r="J250" s="31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</row>
    <row r="251" ht="15.75" customHeight="1">
      <c r="C251" s="31"/>
      <c r="D251" s="32"/>
      <c r="E251" s="32"/>
      <c r="F251" s="31"/>
      <c r="G251" s="32"/>
      <c r="H251" s="31"/>
      <c r="I251" s="31"/>
      <c r="J251" s="31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</row>
    <row r="252" ht="15.75" customHeight="1">
      <c r="C252" s="31"/>
      <c r="D252" s="32"/>
      <c r="E252" s="32"/>
      <c r="F252" s="31"/>
      <c r="G252" s="32"/>
      <c r="H252" s="31"/>
      <c r="I252" s="31"/>
      <c r="J252" s="31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</row>
    <row r="253" ht="15.75" customHeight="1">
      <c r="C253" s="31"/>
      <c r="D253" s="32"/>
      <c r="E253" s="32"/>
      <c r="F253" s="31"/>
      <c r="G253" s="32"/>
      <c r="H253" s="31"/>
      <c r="I253" s="31"/>
      <c r="J253" s="31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</row>
    <row r="254" ht="15.75" customHeight="1">
      <c r="C254" s="31"/>
      <c r="D254" s="32"/>
      <c r="E254" s="32"/>
      <c r="F254" s="31"/>
      <c r="G254" s="32"/>
      <c r="H254" s="31"/>
      <c r="I254" s="31"/>
      <c r="J254" s="31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</row>
    <row r="255" ht="15.75" customHeight="1">
      <c r="C255" s="31"/>
      <c r="D255" s="32"/>
      <c r="E255" s="32"/>
      <c r="F255" s="31"/>
      <c r="G255" s="32"/>
      <c r="H255" s="31"/>
      <c r="I255" s="31"/>
      <c r="J255" s="31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</row>
    <row r="256" ht="15.75" customHeight="1">
      <c r="C256" s="31"/>
      <c r="D256" s="32"/>
      <c r="E256" s="32"/>
      <c r="F256" s="31"/>
      <c r="G256" s="32"/>
      <c r="H256" s="31"/>
      <c r="I256" s="31"/>
      <c r="J256" s="31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</row>
    <row r="257" ht="15.75" customHeight="1">
      <c r="C257" s="31"/>
      <c r="D257" s="32"/>
      <c r="E257" s="32"/>
      <c r="F257" s="31"/>
      <c r="G257" s="32"/>
      <c r="H257" s="31"/>
      <c r="I257" s="31"/>
      <c r="J257" s="31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</row>
    <row r="258" ht="15.75" customHeight="1">
      <c r="C258" s="31"/>
      <c r="D258" s="32"/>
      <c r="E258" s="32"/>
      <c r="F258" s="31"/>
      <c r="G258" s="32"/>
      <c r="H258" s="31"/>
      <c r="I258" s="31"/>
      <c r="J258" s="31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</row>
    <row r="259" ht="15.75" customHeight="1">
      <c r="C259" s="31"/>
      <c r="D259" s="32"/>
      <c r="E259" s="32"/>
      <c r="F259" s="31"/>
      <c r="G259" s="32"/>
      <c r="H259" s="31"/>
      <c r="I259" s="31"/>
      <c r="J259" s="31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</row>
    <row r="260" ht="15.75" customHeight="1">
      <c r="C260" s="31"/>
      <c r="D260" s="32"/>
      <c r="E260" s="32"/>
      <c r="F260" s="31"/>
      <c r="G260" s="32"/>
      <c r="H260" s="31"/>
      <c r="I260" s="31"/>
      <c r="J260" s="31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</row>
    <row r="261" ht="15.75" customHeight="1">
      <c r="C261" s="31"/>
      <c r="D261" s="32"/>
      <c r="E261" s="32"/>
      <c r="F261" s="31"/>
      <c r="G261" s="32"/>
      <c r="H261" s="31"/>
      <c r="I261" s="31"/>
      <c r="J261" s="31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</row>
    <row r="262" ht="15.75" customHeight="1">
      <c r="C262" s="31"/>
      <c r="D262" s="32"/>
      <c r="E262" s="32"/>
      <c r="F262" s="31"/>
      <c r="G262" s="32"/>
      <c r="H262" s="31"/>
      <c r="I262" s="31"/>
      <c r="J262" s="31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</row>
    <row r="263" ht="15.75" customHeight="1">
      <c r="C263" s="31"/>
      <c r="D263" s="32"/>
      <c r="E263" s="32"/>
      <c r="F263" s="31"/>
      <c r="G263" s="32"/>
      <c r="H263" s="31"/>
      <c r="I263" s="31"/>
      <c r="J263" s="31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</row>
    <row r="264" ht="15.75" customHeight="1">
      <c r="C264" s="31"/>
      <c r="D264" s="32"/>
      <c r="E264" s="32"/>
      <c r="F264" s="31"/>
      <c r="G264" s="32"/>
      <c r="H264" s="31"/>
      <c r="I264" s="31"/>
      <c r="J264" s="31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</row>
    <row r="265" ht="15.75" customHeight="1">
      <c r="C265" s="31"/>
      <c r="D265" s="32"/>
      <c r="E265" s="32"/>
      <c r="F265" s="31"/>
      <c r="G265" s="32"/>
      <c r="H265" s="31"/>
      <c r="I265" s="31"/>
      <c r="J265" s="31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</row>
    <row r="266" ht="15.75" customHeight="1">
      <c r="C266" s="31"/>
      <c r="D266" s="32"/>
      <c r="E266" s="32"/>
      <c r="F266" s="31"/>
      <c r="G266" s="32"/>
      <c r="H266" s="31"/>
      <c r="I266" s="31"/>
      <c r="J266" s="31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</row>
    <row r="267" ht="15.75" customHeight="1">
      <c r="C267" s="31"/>
      <c r="D267" s="32"/>
      <c r="E267" s="32"/>
      <c r="F267" s="31"/>
      <c r="G267" s="32"/>
      <c r="H267" s="31"/>
      <c r="I267" s="31"/>
      <c r="J267" s="31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</row>
    <row r="268" ht="15.75" customHeight="1">
      <c r="C268" s="31"/>
      <c r="D268" s="32"/>
      <c r="E268" s="32"/>
      <c r="F268" s="31"/>
      <c r="G268" s="32"/>
      <c r="H268" s="31"/>
      <c r="I268" s="31"/>
      <c r="J268" s="31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</row>
    <row r="269" ht="15.75" customHeight="1">
      <c r="C269" s="31"/>
      <c r="D269" s="32"/>
      <c r="E269" s="32"/>
      <c r="F269" s="31"/>
      <c r="G269" s="32"/>
      <c r="H269" s="31"/>
      <c r="I269" s="31"/>
      <c r="J269" s="31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</row>
    <row r="270" ht="15.75" customHeight="1">
      <c r="C270" s="31"/>
      <c r="D270" s="32"/>
      <c r="E270" s="32"/>
      <c r="F270" s="31"/>
      <c r="G270" s="32"/>
      <c r="H270" s="31"/>
      <c r="I270" s="31"/>
      <c r="J270" s="31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</row>
    <row r="271" ht="15.75" customHeight="1">
      <c r="C271" s="31"/>
      <c r="D271" s="32"/>
      <c r="E271" s="32"/>
      <c r="F271" s="31"/>
      <c r="G271" s="32"/>
      <c r="H271" s="31"/>
      <c r="I271" s="31"/>
      <c r="J271" s="31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</row>
    <row r="272" ht="15.75" customHeight="1">
      <c r="C272" s="31"/>
      <c r="D272" s="32"/>
      <c r="E272" s="32"/>
      <c r="F272" s="31"/>
      <c r="G272" s="32"/>
      <c r="H272" s="31"/>
      <c r="I272" s="31"/>
      <c r="J272" s="31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</row>
    <row r="273" ht="15.75" customHeight="1">
      <c r="C273" s="31"/>
      <c r="D273" s="32"/>
      <c r="E273" s="32"/>
      <c r="F273" s="31"/>
      <c r="G273" s="32"/>
      <c r="H273" s="31"/>
      <c r="I273" s="31"/>
      <c r="J273" s="31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</row>
    <row r="274" ht="15.75" customHeight="1">
      <c r="C274" s="31"/>
      <c r="D274" s="32"/>
      <c r="E274" s="32"/>
      <c r="F274" s="31"/>
      <c r="G274" s="32"/>
      <c r="H274" s="31"/>
      <c r="I274" s="31"/>
      <c r="J274" s="31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</row>
    <row r="275" ht="15.75" customHeight="1">
      <c r="C275" s="31"/>
      <c r="D275" s="32"/>
      <c r="E275" s="32"/>
      <c r="F275" s="31"/>
      <c r="G275" s="32"/>
      <c r="H275" s="31"/>
      <c r="I275" s="31"/>
      <c r="J275" s="31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</row>
    <row r="276" ht="15.75" customHeight="1">
      <c r="C276" s="31"/>
      <c r="D276" s="32"/>
      <c r="E276" s="32"/>
      <c r="F276" s="31"/>
      <c r="G276" s="32"/>
      <c r="H276" s="31"/>
      <c r="I276" s="31"/>
      <c r="J276" s="31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</row>
    <row r="277" ht="15.75" customHeight="1">
      <c r="C277" s="31"/>
      <c r="D277" s="32"/>
      <c r="E277" s="32"/>
      <c r="F277" s="31"/>
      <c r="G277" s="32"/>
      <c r="H277" s="31"/>
      <c r="I277" s="31"/>
      <c r="J277" s="31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</row>
    <row r="278" ht="15.75" customHeight="1">
      <c r="C278" s="31"/>
      <c r="D278" s="32"/>
      <c r="E278" s="32"/>
      <c r="F278" s="31"/>
      <c r="G278" s="32"/>
      <c r="H278" s="31"/>
      <c r="I278" s="31"/>
      <c r="J278" s="31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</row>
    <row r="279" ht="15.75" customHeight="1">
      <c r="C279" s="31"/>
      <c r="D279" s="32"/>
      <c r="E279" s="32"/>
      <c r="F279" s="31"/>
      <c r="G279" s="32"/>
      <c r="H279" s="31"/>
      <c r="I279" s="31"/>
      <c r="J279" s="31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</row>
    <row r="280" ht="15.75" customHeight="1">
      <c r="C280" s="31"/>
      <c r="D280" s="32"/>
      <c r="E280" s="32"/>
      <c r="F280" s="31"/>
      <c r="G280" s="32"/>
      <c r="H280" s="31"/>
      <c r="I280" s="31"/>
      <c r="J280" s="31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</row>
    <row r="281" ht="15.75" customHeight="1">
      <c r="C281" s="31"/>
      <c r="D281" s="32"/>
      <c r="E281" s="32"/>
      <c r="F281" s="31"/>
      <c r="G281" s="32"/>
      <c r="H281" s="31"/>
      <c r="I281" s="31"/>
      <c r="J281" s="31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</row>
    <row r="282" ht="15.75" customHeight="1">
      <c r="C282" s="31"/>
      <c r="D282" s="32"/>
      <c r="E282" s="32"/>
      <c r="F282" s="31"/>
      <c r="G282" s="32"/>
      <c r="H282" s="31"/>
      <c r="I282" s="31"/>
      <c r="J282" s="31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</row>
    <row r="283" ht="15.75" customHeight="1">
      <c r="C283" s="31"/>
      <c r="D283" s="32"/>
      <c r="E283" s="32"/>
      <c r="F283" s="31"/>
      <c r="G283" s="32"/>
      <c r="H283" s="31"/>
      <c r="I283" s="31"/>
      <c r="J283" s="31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</row>
    <row r="284" ht="15.75" customHeight="1">
      <c r="C284" s="31"/>
      <c r="D284" s="32"/>
      <c r="E284" s="32"/>
      <c r="F284" s="31"/>
      <c r="G284" s="32"/>
      <c r="H284" s="31"/>
      <c r="I284" s="31"/>
      <c r="J284" s="31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</row>
    <row r="285" ht="15.75" customHeight="1">
      <c r="C285" s="31"/>
      <c r="D285" s="32"/>
      <c r="E285" s="32"/>
      <c r="F285" s="31"/>
      <c r="G285" s="32"/>
      <c r="H285" s="31"/>
      <c r="I285" s="31"/>
      <c r="J285" s="31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</row>
    <row r="286" ht="15.75" customHeight="1">
      <c r="C286" s="31"/>
      <c r="D286" s="32"/>
      <c r="E286" s="32"/>
      <c r="F286" s="31"/>
      <c r="G286" s="32"/>
      <c r="H286" s="31"/>
      <c r="I286" s="31"/>
      <c r="J286" s="31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</row>
    <row r="287" ht="15.75" customHeight="1">
      <c r="C287" s="31"/>
      <c r="D287" s="32"/>
      <c r="E287" s="32"/>
      <c r="F287" s="31"/>
      <c r="G287" s="32"/>
      <c r="H287" s="31"/>
      <c r="I287" s="31"/>
      <c r="J287" s="31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</row>
    <row r="288" ht="15.75" customHeight="1">
      <c r="C288" s="31"/>
      <c r="D288" s="32"/>
      <c r="E288" s="32"/>
      <c r="F288" s="31"/>
      <c r="G288" s="32"/>
      <c r="H288" s="31"/>
      <c r="I288" s="31"/>
      <c r="J288" s="31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</row>
    <row r="289" ht="15.75" customHeight="1">
      <c r="C289" s="31"/>
      <c r="D289" s="32"/>
      <c r="E289" s="32"/>
      <c r="F289" s="31"/>
      <c r="G289" s="32"/>
      <c r="H289" s="31"/>
      <c r="I289" s="31"/>
      <c r="J289" s="31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</row>
    <row r="290" ht="15.75" customHeight="1">
      <c r="C290" s="31"/>
      <c r="D290" s="32"/>
      <c r="E290" s="32"/>
      <c r="F290" s="31"/>
      <c r="G290" s="32"/>
      <c r="H290" s="31"/>
      <c r="I290" s="31"/>
      <c r="J290" s="31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</row>
    <row r="291" ht="15.75" customHeight="1">
      <c r="C291" s="31"/>
      <c r="D291" s="32"/>
      <c r="E291" s="32"/>
      <c r="F291" s="31"/>
      <c r="G291" s="32"/>
      <c r="H291" s="31"/>
      <c r="I291" s="31"/>
      <c r="J291" s="31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</row>
    <row r="292" ht="15.75" customHeight="1">
      <c r="C292" s="31"/>
      <c r="D292" s="32"/>
      <c r="E292" s="32"/>
      <c r="F292" s="31"/>
      <c r="G292" s="32"/>
      <c r="H292" s="31"/>
      <c r="I292" s="31"/>
      <c r="J292" s="31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</row>
    <row r="293" ht="15.75" customHeight="1">
      <c r="C293" s="31"/>
      <c r="D293" s="32"/>
      <c r="E293" s="32"/>
      <c r="F293" s="31"/>
      <c r="G293" s="32"/>
      <c r="H293" s="31"/>
      <c r="I293" s="31"/>
      <c r="J293" s="31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</row>
    <row r="294" ht="15.75" customHeight="1">
      <c r="C294" s="31"/>
      <c r="D294" s="32"/>
      <c r="E294" s="32"/>
      <c r="F294" s="31"/>
      <c r="G294" s="32"/>
      <c r="H294" s="31"/>
      <c r="I294" s="31"/>
      <c r="J294" s="31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</row>
    <row r="295" ht="15.75" customHeight="1">
      <c r="C295" s="31"/>
      <c r="D295" s="32"/>
      <c r="E295" s="32"/>
      <c r="F295" s="31"/>
      <c r="G295" s="32"/>
      <c r="H295" s="31"/>
      <c r="I295" s="31"/>
      <c r="J295" s="31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</row>
    <row r="296" ht="15.75" customHeight="1">
      <c r="C296" s="31"/>
      <c r="D296" s="32"/>
      <c r="E296" s="32"/>
      <c r="F296" s="31"/>
      <c r="G296" s="32"/>
      <c r="H296" s="31"/>
      <c r="I296" s="31"/>
      <c r="J296" s="31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</row>
    <row r="297" ht="15.75" customHeight="1">
      <c r="C297" s="31"/>
      <c r="D297" s="32"/>
      <c r="E297" s="32"/>
      <c r="F297" s="31"/>
      <c r="G297" s="32"/>
      <c r="H297" s="31"/>
      <c r="I297" s="31"/>
      <c r="J297" s="31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</row>
    <row r="298" ht="15.75" customHeight="1">
      <c r="C298" s="31"/>
      <c r="D298" s="32"/>
      <c r="E298" s="32"/>
      <c r="F298" s="31"/>
      <c r="G298" s="32"/>
      <c r="H298" s="31"/>
      <c r="I298" s="31"/>
      <c r="J298" s="31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</row>
    <row r="299" ht="15.75" customHeight="1">
      <c r="C299" s="31"/>
      <c r="D299" s="32"/>
      <c r="E299" s="32"/>
      <c r="F299" s="31"/>
      <c r="G299" s="32"/>
      <c r="H299" s="31"/>
      <c r="I299" s="31"/>
      <c r="J299" s="31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</row>
    <row r="300" ht="15.75" customHeight="1">
      <c r="C300" s="31"/>
      <c r="D300" s="32"/>
      <c r="E300" s="32"/>
      <c r="F300" s="31"/>
      <c r="G300" s="32"/>
      <c r="H300" s="31"/>
      <c r="I300" s="31"/>
      <c r="J300" s="31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</row>
    <row r="301" ht="15.75" customHeight="1">
      <c r="C301" s="31"/>
      <c r="D301" s="32"/>
      <c r="E301" s="32"/>
      <c r="F301" s="31"/>
      <c r="G301" s="32"/>
      <c r="H301" s="31"/>
      <c r="I301" s="31"/>
      <c r="J301" s="31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</row>
    <row r="302" ht="15.75" customHeight="1">
      <c r="C302" s="31"/>
      <c r="D302" s="32"/>
      <c r="E302" s="32"/>
      <c r="F302" s="31"/>
      <c r="G302" s="32"/>
      <c r="H302" s="31"/>
      <c r="I302" s="31"/>
      <c r="J302" s="31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</row>
    <row r="303" ht="15.75" customHeight="1">
      <c r="C303" s="31"/>
      <c r="D303" s="32"/>
      <c r="E303" s="32"/>
      <c r="F303" s="31"/>
      <c r="G303" s="32"/>
      <c r="H303" s="31"/>
      <c r="I303" s="31"/>
      <c r="J303" s="31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</row>
    <row r="304" ht="15.75" customHeight="1">
      <c r="C304" s="31"/>
      <c r="D304" s="32"/>
      <c r="E304" s="32"/>
      <c r="F304" s="31"/>
      <c r="G304" s="32"/>
      <c r="H304" s="31"/>
      <c r="I304" s="31"/>
      <c r="J304" s="31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</row>
    <row r="305" ht="15.75" customHeight="1">
      <c r="C305" s="31"/>
      <c r="D305" s="32"/>
      <c r="E305" s="32"/>
      <c r="F305" s="31"/>
      <c r="G305" s="32"/>
      <c r="H305" s="31"/>
      <c r="I305" s="31"/>
      <c r="J305" s="31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</row>
    <row r="306" ht="15.75" customHeight="1">
      <c r="C306" s="31"/>
      <c r="D306" s="32"/>
      <c r="E306" s="32"/>
      <c r="F306" s="31"/>
      <c r="G306" s="32"/>
      <c r="H306" s="31"/>
      <c r="I306" s="31"/>
      <c r="J306" s="31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</row>
    <row r="307" ht="15.75" customHeight="1">
      <c r="C307" s="31"/>
      <c r="D307" s="32"/>
      <c r="E307" s="32"/>
      <c r="F307" s="31"/>
      <c r="G307" s="32"/>
      <c r="H307" s="31"/>
      <c r="I307" s="31"/>
      <c r="J307" s="31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</row>
    <row r="308" ht="15.75" customHeight="1">
      <c r="C308" s="31"/>
      <c r="D308" s="32"/>
      <c r="E308" s="32"/>
      <c r="F308" s="31"/>
      <c r="G308" s="32"/>
      <c r="H308" s="31"/>
      <c r="I308" s="31"/>
      <c r="J308" s="31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</row>
    <row r="309" ht="15.75" customHeight="1">
      <c r="C309" s="31"/>
      <c r="D309" s="32"/>
      <c r="E309" s="32"/>
      <c r="F309" s="31"/>
      <c r="G309" s="32"/>
      <c r="H309" s="31"/>
      <c r="I309" s="31"/>
      <c r="J309" s="31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</row>
    <row r="310" ht="15.75" customHeight="1">
      <c r="C310" s="31"/>
      <c r="D310" s="32"/>
      <c r="E310" s="32"/>
      <c r="F310" s="31"/>
      <c r="G310" s="32"/>
      <c r="H310" s="31"/>
      <c r="I310" s="31"/>
      <c r="J310" s="31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</row>
    <row r="311" ht="15.75" customHeight="1">
      <c r="C311" s="31"/>
      <c r="D311" s="32"/>
      <c r="E311" s="32"/>
      <c r="F311" s="31"/>
      <c r="G311" s="32"/>
      <c r="H311" s="31"/>
      <c r="I311" s="31"/>
      <c r="J311" s="31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</row>
    <row r="312" ht="15.75" customHeight="1">
      <c r="C312" s="31"/>
      <c r="D312" s="32"/>
      <c r="E312" s="32"/>
      <c r="F312" s="31"/>
      <c r="G312" s="32"/>
      <c r="H312" s="31"/>
      <c r="I312" s="31"/>
      <c r="J312" s="31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</row>
    <row r="313" ht="15.75" customHeight="1">
      <c r="C313" s="31"/>
      <c r="D313" s="32"/>
      <c r="E313" s="32"/>
      <c r="F313" s="31"/>
      <c r="G313" s="32"/>
      <c r="H313" s="31"/>
      <c r="I313" s="31"/>
      <c r="J313" s="31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</row>
    <row r="314" ht="15.75" customHeight="1">
      <c r="C314" s="31"/>
      <c r="D314" s="32"/>
      <c r="E314" s="32"/>
      <c r="F314" s="31"/>
      <c r="G314" s="32"/>
      <c r="H314" s="31"/>
      <c r="I314" s="31"/>
      <c r="J314" s="31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</row>
    <row r="315" ht="15.75" customHeight="1">
      <c r="C315" s="31"/>
      <c r="D315" s="32"/>
      <c r="E315" s="32"/>
      <c r="F315" s="31"/>
      <c r="G315" s="32"/>
      <c r="H315" s="31"/>
      <c r="I315" s="31"/>
      <c r="J315" s="31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</row>
    <row r="316" ht="15.75" customHeight="1">
      <c r="C316" s="31"/>
      <c r="D316" s="32"/>
      <c r="E316" s="32"/>
      <c r="F316" s="31"/>
      <c r="G316" s="32"/>
      <c r="H316" s="31"/>
      <c r="I316" s="31"/>
      <c r="J316" s="31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</row>
    <row r="317" ht="15.75" customHeight="1">
      <c r="C317" s="31"/>
      <c r="D317" s="32"/>
      <c r="E317" s="32"/>
      <c r="F317" s="31"/>
      <c r="G317" s="32"/>
      <c r="H317" s="31"/>
      <c r="I317" s="31"/>
      <c r="J317" s="31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</row>
    <row r="318" ht="15.75" customHeight="1">
      <c r="C318" s="31"/>
      <c r="D318" s="32"/>
      <c r="E318" s="32"/>
      <c r="F318" s="31"/>
      <c r="G318" s="32"/>
      <c r="H318" s="31"/>
      <c r="I318" s="31"/>
      <c r="J318" s="31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</row>
    <row r="319" ht="15.75" customHeight="1">
      <c r="C319" s="31"/>
      <c r="D319" s="32"/>
      <c r="E319" s="32"/>
      <c r="F319" s="31"/>
      <c r="G319" s="32"/>
      <c r="H319" s="31"/>
      <c r="I319" s="31"/>
      <c r="J319" s="31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</row>
    <row r="320" ht="15.75" customHeight="1">
      <c r="C320" s="31"/>
      <c r="D320" s="32"/>
      <c r="E320" s="32"/>
      <c r="F320" s="31"/>
      <c r="G320" s="32"/>
      <c r="H320" s="31"/>
      <c r="I320" s="31"/>
      <c r="J320" s="31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</row>
    <row r="321" ht="15.75" customHeight="1">
      <c r="C321" s="31"/>
      <c r="D321" s="32"/>
      <c r="E321" s="32"/>
      <c r="F321" s="31"/>
      <c r="G321" s="32"/>
      <c r="H321" s="31"/>
      <c r="I321" s="31"/>
      <c r="J321" s="31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</row>
    <row r="322" ht="15.75" customHeight="1">
      <c r="C322" s="31"/>
      <c r="D322" s="32"/>
      <c r="E322" s="32"/>
      <c r="F322" s="31"/>
      <c r="G322" s="32"/>
      <c r="H322" s="31"/>
      <c r="I322" s="31"/>
      <c r="J322" s="31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</row>
    <row r="323" ht="15.75" customHeight="1">
      <c r="C323" s="31"/>
      <c r="D323" s="32"/>
      <c r="E323" s="32"/>
      <c r="F323" s="31"/>
      <c r="G323" s="32"/>
      <c r="H323" s="31"/>
      <c r="I323" s="31"/>
      <c r="J323" s="31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</row>
    <row r="324" ht="15.75" customHeight="1">
      <c r="C324" s="31"/>
      <c r="D324" s="32"/>
      <c r="E324" s="32"/>
      <c r="F324" s="31"/>
      <c r="G324" s="32"/>
      <c r="H324" s="31"/>
      <c r="I324" s="31"/>
      <c r="J324" s="31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</row>
    <row r="325" ht="15.75" customHeight="1">
      <c r="C325" s="31"/>
      <c r="D325" s="32"/>
      <c r="E325" s="32"/>
      <c r="F325" s="31"/>
      <c r="G325" s="32"/>
      <c r="H325" s="31"/>
      <c r="I325" s="31"/>
      <c r="J325" s="31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</row>
    <row r="326" ht="15.75" customHeight="1">
      <c r="C326" s="31"/>
      <c r="D326" s="32"/>
      <c r="E326" s="32"/>
      <c r="F326" s="31"/>
      <c r="G326" s="32"/>
      <c r="H326" s="31"/>
      <c r="I326" s="31"/>
      <c r="J326" s="31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</row>
    <row r="327" ht="15.75" customHeight="1">
      <c r="C327" s="31"/>
      <c r="D327" s="32"/>
      <c r="E327" s="32"/>
      <c r="F327" s="31"/>
      <c r="G327" s="32"/>
      <c r="H327" s="31"/>
      <c r="I327" s="31"/>
      <c r="J327" s="31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</row>
    <row r="328" ht="15.75" customHeight="1">
      <c r="C328" s="31"/>
      <c r="D328" s="32"/>
      <c r="E328" s="32"/>
      <c r="F328" s="31"/>
      <c r="G328" s="32"/>
      <c r="H328" s="31"/>
      <c r="I328" s="31"/>
      <c r="J328" s="31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</row>
    <row r="329" ht="15.75" customHeight="1">
      <c r="C329" s="31"/>
      <c r="D329" s="32"/>
      <c r="E329" s="32"/>
      <c r="F329" s="31"/>
      <c r="G329" s="32"/>
      <c r="H329" s="31"/>
      <c r="I329" s="31"/>
      <c r="J329" s="31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</row>
    <row r="330" ht="15.75" customHeight="1">
      <c r="C330" s="31"/>
      <c r="D330" s="32"/>
      <c r="E330" s="32"/>
      <c r="F330" s="31"/>
      <c r="G330" s="32"/>
      <c r="H330" s="31"/>
      <c r="I330" s="31"/>
      <c r="J330" s="31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</row>
    <row r="331" ht="15.75" customHeight="1">
      <c r="C331" s="31"/>
      <c r="D331" s="32"/>
      <c r="E331" s="32"/>
      <c r="F331" s="31"/>
      <c r="G331" s="32"/>
      <c r="H331" s="31"/>
      <c r="I331" s="31"/>
      <c r="J331" s="31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</row>
    <row r="332" ht="15.75" customHeight="1">
      <c r="C332" s="31"/>
      <c r="D332" s="32"/>
      <c r="E332" s="32"/>
      <c r="F332" s="31"/>
      <c r="G332" s="32"/>
      <c r="H332" s="31"/>
      <c r="I332" s="31"/>
      <c r="J332" s="31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</row>
    <row r="333" ht="15.75" customHeight="1">
      <c r="C333" s="31"/>
      <c r="D333" s="32"/>
      <c r="E333" s="32"/>
      <c r="F333" s="31"/>
      <c r="G333" s="32"/>
      <c r="H333" s="31"/>
      <c r="I333" s="31"/>
      <c r="J333" s="31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</row>
    <row r="334" ht="15.75" customHeight="1">
      <c r="C334" s="31"/>
      <c r="D334" s="32"/>
      <c r="E334" s="32"/>
      <c r="F334" s="31"/>
      <c r="G334" s="32"/>
      <c r="H334" s="31"/>
      <c r="I334" s="31"/>
      <c r="J334" s="31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</row>
    <row r="335" ht="15.75" customHeight="1">
      <c r="C335" s="31"/>
      <c r="D335" s="32"/>
      <c r="E335" s="32"/>
      <c r="F335" s="31"/>
      <c r="G335" s="32"/>
      <c r="H335" s="31"/>
      <c r="I335" s="31"/>
      <c r="J335" s="31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</row>
    <row r="336" ht="15.75" customHeight="1">
      <c r="C336" s="31"/>
      <c r="D336" s="32"/>
      <c r="E336" s="32"/>
      <c r="F336" s="31"/>
      <c r="G336" s="32"/>
      <c r="H336" s="31"/>
      <c r="I336" s="31"/>
      <c r="J336" s="31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</row>
    <row r="337" ht="15.75" customHeight="1">
      <c r="C337" s="31"/>
      <c r="D337" s="32"/>
      <c r="E337" s="32"/>
      <c r="F337" s="31"/>
      <c r="G337" s="32"/>
      <c r="H337" s="31"/>
      <c r="I337" s="31"/>
      <c r="J337" s="31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</row>
    <row r="338" ht="15.75" customHeight="1">
      <c r="C338" s="31"/>
      <c r="D338" s="32"/>
      <c r="E338" s="32"/>
      <c r="F338" s="31"/>
      <c r="G338" s="32"/>
      <c r="H338" s="31"/>
      <c r="I338" s="31"/>
      <c r="J338" s="31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</row>
    <row r="339" ht="15.75" customHeight="1">
      <c r="C339" s="31"/>
      <c r="D339" s="32"/>
      <c r="E339" s="32"/>
      <c r="F339" s="31"/>
      <c r="G339" s="32"/>
      <c r="H339" s="31"/>
      <c r="I339" s="31"/>
      <c r="J339" s="31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</row>
    <row r="340" ht="15.75" customHeight="1">
      <c r="C340" s="31"/>
      <c r="D340" s="32"/>
      <c r="E340" s="32"/>
      <c r="F340" s="31"/>
      <c r="G340" s="32"/>
      <c r="H340" s="31"/>
      <c r="I340" s="31"/>
      <c r="J340" s="31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</row>
    <row r="341" ht="15.75" customHeight="1">
      <c r="C341" s="31"/>
      <c r="D341" s="32"/>
      <c r="E341" s="32"/>
      <c r="F341" s="31"/>
      <c r="G341" s="32"/>
      <c r="H341" s="31"/>
      <c r="I341" s="31"/>
      <c r="J341" s="31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</row>
    <row r="342" ht="15.75" customHeight="1">
      <c r="C342" s="31"/>
      <c r="D342" s="32"/>
      <c r="E342" s="32"/>
      <c r="F342" s="31"/>
      <c r="G342" s="32"/>
      <c r="H342" s="31"/>
      <c r="I342" s="31"/>
      <c r="J342" s="31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</row>
    <row r="343" ht="15.75" customHeight="1">
      <c r="C343" s="31"/>
      <c r="D343" s="32"/>
      <c r="E343" s="32"/>
      <c r="F343" s="31"/>
      <c r="G343" s="32"/>
      <c r="H343" s="31"/>
      <c r="I343" s="31"/>
      <c r="J343" s="31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</row>
    <row r="344" ht="15.75" customHeight="1">
      <c r="C344" s="31"/>
      <c r="D344" s="32"/>
      <c r="E344" s="32"/>
      <c r="F344" s="31"/>
      <c r="G344" s="32"/>
      <c r="H344" s="31"/>
      <c r="I344" s="31"/>
      <c r="J344" s="31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</row>
    <row r="345" ht="15.75" customHeight="1">
      <c r="C345" s="31"/>
      <c r="D345" s="32"/>
      <c r="E345" s="32"/>
      <c r="F345" s="31"/>
      <c r="G345" s="32"/>
      <c r="H345" s="31"/>
      <c r="I345" s="31"/>
      <c r="J345" s="31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</row>
    <row r="346" ht="15.75" customHeight="1">
      <c r="C346" s="31"/>
      <c r="D346" s="32"/>
      <c r="E346" s="32"/>
      <c r="F346" s="31"/>
      <c r="G346" s="32"/>
      <c r="H346" s="31"/>
      <c r="I346" s="31"/>
      <c r="J346" s="31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</row>
    <row r="347" ht="15.75" customHeight="1">
      <c r="C347" s="31"/>
      <c r="D347" s="32"/>
      <c r="E347" s="32"/>
      <c r="F347" s="31"/>
      <c r="G347" s="32"/>
      <c r="H347" s="31"/>
      <c r="I347" s="31"/>
      <c r="J347" s="31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</row>
    <row r="348" ht="15.75" customHeight="1">
      <c r="C348" s="31"/>
      <c r="D348" s="32"/>
      <c r="E348" s="32"/>
      <c r="F348" s="31"/>
      <c r="G348" s="32"/>
      <c r="H348" s="31"/>
      <c r="I348" s="31"/>
      <c r="J348" s="31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</row>
    <row r="349" ht="15.75" customHeight="1">
      <c r="C349" s="31"/>
      <c r="D349" s="32"/>
      <c r="E349" s="32"/>
      <c r="F349" s="31"/>
      <c r="G349" s="32"/>
      <c r="H349" s="31"/>
      <c r="I349" s="31"/>
      <c r="J349" s="31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</row>
    <row r="350" ht="15.75" customHeight="1">
      <c r="C350" s="31"/>
      <c r="D350" s="32"/>
      <c r="E350" s="32"/>
      <c r="F350" s="31"/>
      <c r="G350" s="32"/>
      <c r="H350" s="31"/>
      <c r="I350" s="31"/>
      <c r="J350" s="31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</row>
    <row r="351" ht="15.75" customHeight="1">
      <c r="C351" s="31"/>
      <c r="D351" s="32"/>
      <c r="E351" s="32"/>
      <c r="F351" s="31"/>
      <c r="G351" s="32"/>
      <c r="H351" s="31"/>
      <c r="I351" s="31"/>
      <c r="J351" s="31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</row>
    <row r="352" ht="15.75" customHeight="1">
      <c r="C352" s="31"/>
      <c r="D352" s="32"/>
      <c r="E352" s="32"/>
      <c r="F352" s="31"/>
      <c r="G352" s="32"/>
      <c r="H352" s="31"/>
      <c r="I352" s="31"/>
      <c r="J352" s="31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</row>
    <row r="353" ht="15.75" customHeight="1">
      <c r="C353" s="31"/>
      <c r="D353" s="32"/>
      <c r="E353" s="32"/>
      <c r="F353" s="31"/>
      <c r="G353" s="32"/>
      <c r="H353" s="31"/>
      <c r="I353" s="31"/>
      <c r="J353" s="31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</row>
    <row r="354" ht="15.75" customHeight="1">
      <c r="C354" s="31"/>
      <c r="D354" s="32"/>
      <c r="E354" s="32"/>
      <c r="F354" s="31"/>
      <c r="G354" s="32"/>
      <c r="H354" s="31"/>
      <c r="I354" s="31"/>
      <c r="J354" s="31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</row>
    <row r="355" ht="15.75" customHeight="1">
      <c r="C355" s="31"/>
      <c r="D355" s="32"/>
      <c r="E355" s="32"/>
      <c r="F355" s="31"/>
      <c r="G355" s="32"/>
      <c r="H355" s="31"/>
      <c r="I355" s="31"/>
      <c r="J355" s="31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</row>
    <row r="356" ht="15.75" customHeight="1">
      <c r="C356" s="31"/>
      <c r="D356" s="32"/>
      <c r="E356" s="32"/>
      <c r="F356" s="31"/>
      <c r="G356" s="32"/>
      <c r="H356" s="31"/>
      <c r="I356" s="31"/>
      <c r="J356" s="31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</row>
    <row r="357" ht="15.75" customHeight="1">
      <c r="C357" s="31"/>
      <c r="D357" s="32"/>
      <c r="E357" s="32"/>
      <c r="F357" s="31"/>
      <c r="G357" s="32"/>
      <c r="H357" s="31"/>
      <c r="I357" s="31"/>
      <c r="J357" s="31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</row>
    <row r="358" ht="15.75" customHeight="1">
      <c r="C358" s="31"/>
      <c r="D358" s="32"/>
      <c r="E358" s="32"/>
      <c r="F358" s="31"/>
      <c r="G358" s="32"/>
      <c r="H358" s="31"/>
      <c r="I358" s="31"/>
      <c r="J358" s="31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</row>
    <row r="359" ht="15.75" customHeight="1">
      <c r="C359" s="31"/>
      <c r="D359" s="32"/>
      <c r="E359" s="32"/>
      <c r="F359" s="31"/>
      <c r="G359" s="32"/>
      <c r="H359" s="31"/>
      <c r="I359" s="31"/>
      <c r="J359" s="31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</row>
    <row r="360" ht="15.75" customHeight="1">
      <c r="C360" s="31"/>
      <c r="D360" s="32"/>
      <c r="E360" s="32"/>
      <c r="F360" s="31"/>
      <c r="G360" s="32"/>
      <c r="H360" s="31"/>
      <c r="I360" s="31"/>
      <c r="J360" s="31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</row>
    <row r="361" ht="15.75" customHeight="1">
      <c r="C361" s="31"/>
      <c r="D361" s="32"/>
      <c r="E361" s="32"/>
      <c r="F361" s="31"/>
      <c r="G361" s="32"/>
      <c r="H361" s="31"/>
      <c r="I361" s="31"/>
      <c r="J361" s="31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</row>
    <row r="362" ht="15.75" customHeight="1">
      <c r="C362" s="31"/>
      <c r="D362" s="32"/>
      <c r="E362" s="32"/>
      <c r="F362" s="31"/>
      <c r="G362" s="32"/>
      <c r="H362" s="31"/>
      <c r="I362" s="31"/>
      <c r="J362" s="31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</row>
    <row r="363" ht="15.75" customHeight="1">
      <c r="C363" s="31"/>
      <c r="D363" s="32"/>
      <c r="E363" s="32"/>
      <c r="F363" s="31"/>
      <c r="G363" s="32"/>
      <c r="H363" s="31"/>
      <c r="I363" s="31"/>
      <c r="J363" s="31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</row>
    <row r="364" ht="15.75" customHeight="1">
      <c r="C364" s="31"/>
      <c r="D364" s="32"/>
      <c r="E364" s="32"/>
      <c r="F364" s="31"/>
      <c r="G364" s="32"/>
      <c r="H364" s="31"/>
      <c r="I364" s="31"/>
      <c r="J364" s="31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</row>
    <row r="365" ht="15.75" customHeight="1">
      <c r="C365" s="31"/>
      <c r="D365" s="32"/>
      <c r="E365" s="32"/>
      <c r="F365" s="31"/>
      <c r="G365" s="32"/>
      <c r="H365" s="31"/>
      <c r="I365" s="31"/>
      <c r="J365" s="31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</row>
    <row r="366" ht="15.75" customHeight="1">
      <c r="C366" s="31"/>
      <c r="D366" s="32"/>
      <c r="E366" s="32"/>
      <c r="F366" s="31"/>
      <c r="G366" s="32"/>
      <c r="H366" s="31"/>
      <c r="I366" s="31"/>
      <c r="J366" s="31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</row>
    <row r="367" ht="15.75" customHeight="1">
      <c r="C367" s="31"/>
      <c r="D367" s="32"/>
      <c r="E367" s="32"/>
      <c r="F367" s="31"/>
      <c r="G367" s="32"/>
      <c r="H367" s="31"/>
      <c r="I367" s="31"/>
      <c r="J367" s="31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</row>
    <row r="368" ht="15.75" customHeight="1">
      <c r="C368" s="31"/>
      <c r="D368" s="32"/>
      <c r="E368" s="32"/>
      <c r="F368" s="31"/>
      <c r="G368" s="32"/>
      <c r="H368" s="31"/>
      <c r="I368" s="31"/>
      <c r="J368" s="31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</row>
    <row r="369" ht="15.75" customHeight="1">
      <c r="C369" s="31"/>
      <c r="D369" s="32"/>
      <c r="E369" s="32"/>
      <c r="F369" s="31"/>
      <c r="G369" s="32"/>
      <c r="H369" s="31"/>
      <c r="I369" s="31"/>
      <c r="J369" s="31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</row>
    <row r="370" ht="15.75" customHeight="1">
      <c r="C370" s="31"/>
      <c r="D370" s="32"/>
      <c r="E370" s="32"/>
      <c r="F370" s="31"/>
      <c r="G370" s="32"/>
      <c r="H370" s="31"/>
      <c r="I370" s="31"/>
      <c r="J370" s="31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</row>
    <row r="371" ht="15.75" customHeight="1">
      <c r="C371" s="31"/>
      <c r="D371" s="32"/>
      <c r="E371" s="32"/>
      <c r="F371" s="31"/>
      <c r="G371" s="32"/>
      <c r="H371" s="31"/>
      <c r="I371" s="31"/>
      <c r="J371" s="31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</row>
    <row r="372" ht="15.75" customHeight="1">
      <c r="C372" s="31"/>
      <c r="D372" s="32"/>
      <c r="E372" s="32"/>
      <c r="F372" s="31"/>
      <c r="G372" s="32"/>
      <c r="H372" s="31"/>
      <c r="I372" s="31"/>
      <c r="J372" s="31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</row>
    <row r="373" ht="15.75" customHeight="1">
      <c r="C373" s="31"/>
      <c r="D373" s="32"/>
      <c r="E373" s="32"/>
      <c r="F373" s="31"/>
      <c r="G373" s="32"/>
      <c r="H373" s="31"/>
      <c r="I373" s="31"/>
      <c r="J373" s="31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</row>
    <row r="374" ht="15.75" customHeight="1">
      <c r="C374" s="31"/>
      <c r="D374" s="32"/>
      <c r="E374" s="32"/>
      <c r="F374" s="31"/>
      <c r="G374" s="32"/>
      <c r="H374" s="31"/>
      <c r="I374" s="31"/>
      <c r="J374" s="31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</row>
    <row r="375" ht="15.75" customHeight="1">
      <c r="C375" s="31"/>
      <c r="D375" s="32"/>
      <c r="E375" s="32"/>
      <c r="F375" s="31"/>
      <c r="G375" s="32"/>
      <c r="H375" s="31"/>
      <c r="I375" s="31"/>
      <c r="J375" s="31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</row>
    <row r="376" ht="15.75" customHeight="1">
      <c r="C376" s="31"/>
      <c r="D376" s="32"/>
      <c r="E376" s="32"/>
      <c r="F376" s="31"/>
      <c r="G376" s="32"/>
      <c r="H376" s="31"/>
      <c r="I376" s="31"/>
      <c r="J376" s="31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</row>
    <row r="377" ht="15.75" customHeight="1">
      <c r="C377" s="31"/>
      <c r="D377" s="32"/>
      <c r="E377" s="32"/>
      <c r="F377" s="31"/>
      <c r="G377" s="32"/>
      <c r="H377" s="31"/>
      <c r="I377" s="31"/>
      <c r="J377" s="31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</row>
    <row r="378" ht="15.75" customHeight="1">
      <c r="C378" s="31"/>
      <c r="D378" s="32"/>
      <c r="E378" s="32"/>
      <c r="F378" s="31"/>
      <c r="G378" s="32"/>
      <c r="H378" s="31"/>
      <c r="I378" s="31"/>
      <c r="J378" s="31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</row>
    <row r="379" ht="15.75" customHeight="1">
      <c r="C379" s="31"/>
      <c r="D379" s="32"/>
      <c r="E379" s="32"/>
      <c r="F379" s="31"/>
      <c r="G379" s="32"/>
      <c r="H379" s="31"/>
      <c r="I379" s="31"/>
      <c r="J379" s="31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</row>
    <row r="380" ht="15.75" customHeight="1">
      <c r="C380" s="31"/>
      <c r="D380" s="32"/>
      <c r="E380" s="32"/>
      <c r="F380" s="31"/>
      <c r="G380" s="32"/>
      <c r="H380" s="31"/>
      <c r="I380" s="31"/>
      <c r="J380" s="31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</row>
    <row r="381" ht="15.75" customHeight="1">
      <c r="C381" s="31"/>
      <c r="D381" s="32"/>
      <c r="E381" s="32"/>
      <c r="F381" s="31"/>
      <c r="G381" s="32"/>
      <c r="H381" s="31"/>
      <c r="I381" s="31"/>
      <c r="J381" s="31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</row>
    <row r="382" ht="15.75" customHeight="1">
      <c r="C382" s="31"/>
      <c r="D382" s="32"/>
      <c r="E382" s="32"/>
      <c r="F382" s="31"/>
      <c r="G382" s="32"/>
      <c r="H382" s="31"/>
      <c r="I382" s="31"/>
      <c r="J382" s="31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</row>
    <row r="383" ht="15.75" customHeight="1">
      <c r="C383" s="31"/>
      <c r="D383" s="32"/>
      <c r="E383" s="32"/>
      <c r="F383" s="31"/>
      <c r="G383" s="32"/>
      <c r="H383" s="31"/>
      <c r="I383" s="31"/>
      <c r="J383" s="31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</row>
    <row r="384" ht="15.75" customHeight="1">
      <c r="C384" s="31"/>
      <c r="D384" s="32"/>
      <c r="E384" s="32"/>
      <c r="F384" s="31"/>
      <c r="G384" s="32"/>
      <c r="H384" s="31"/>
      <c r="I384" s="31"/>
      <c r="J384" s="31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</row>
    <row r="385" ht="15.75" customHeight="1">
      <c r="C385" s="31"/>
      <c r="D385" s="32"/>
      <c r="E385" s="32"/>
      <c r="F385" s="31"/>
      <c r="G385" s="32"/>
      <c r="H385" s="31"/>
      <c r="I385" s="31"/>
      <c r="J385" s="31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</row>
    <row r="386" ht="15.75" customHeight="1">
      <c r="C386" s="31"/>
      <c r="D386" s="32"/>
      <c r="E386" s="32"/>
      <c r="F386" s="31"/>
      <c r="G386" s="32"/>
      <c r="H386" s="31"/>
      <c r="I386" s="31"/>
      <c r="J386" s="31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</row>
    <row r="387" ht="15.75" customHeight="1">
      <c r="C387" s="31"/>
      <c r="D387" s="32"/>
      <c r="E387" s="32"/>
      <c r="F387" s="31"/>
      <c r="G387" s="32"/>
      <c r="H387" s="31"/>
      <c r="I387" s="31"/>
      <c r="J387" s="31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</row>
    <row r="388" ht="15.75" customHeight="1">
      <c r="C388" s="31"/>
      <c r="D388" s="32"/>
      <c r="E388" s="32"/>
      <c r="F388" s="31"/>
      <c r="G388" s="32"/>
      <c r="H388" s="31"/>
      <c r="I388" s="31"/>
      <c r="J388" s="31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</row>
    <row r="389" ht="15.75" customHeight="1">
      <c r="C389" s="31"/>
      <c r="D389" s="32"/>
      <c r="E389" s="32"/>
      <c r="F389" s="31"/>
      <c r="G389" s="32"/>
      <c r="H389" s="31"/>
      <c r="I389" s="31"/>
      <c r="J389" s="31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</row>
    <row r="390" ht="15.75" customHeight="1">
      <c r="C390" s="31"/>
      <c r="D390" s="32"/>
      <c r="E390" s="32"/>
      <c r="F390" s="31"/>
      <c r="G390" s="32"/>
      <c r="H390" s="31"/>
      <c r="I390" s="31"/>
      <c r="J390" s="31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</row>
    <row r="391" ht="15.75" customHeight="1">
      <c r="C391" s="31"/>
      <c r="D391" s="32"/>
      <c r="E391" s="32"/>
      <c r="F391" s="31"/>
      <c r="G391" s="32"/>
      <c r="H391" s="31"/>
      <c r="I391" s="31"/>
      <c r="J391" s="31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</row>
    <row r="392" ht="15.75" customHeight="1">
      <c r="C392" s="31"/>
      <c r="D392" s="32"/>
      <c r="E392" s="32"/>
      <c r="F392" s="31"/>
      <c r="G392" s="32"/>
      <c r="H392" s="31"/>
      <c r="I392" s="31"/>
      <c r="J392" s="31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</row>
    <row r="393" ht="15.75" customHeight="1">
      <c r="C393" s="31"/>
      <c r="D393" s="32"/>
      <c r="E393" s="32"/>
      <c r="F393" s="31"/>
      <c r="G393" s="32"/>
      <c r="H393" s="31"/>
      <c r="I393" s="31"/>
      <c r="J393" s="31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</row>
    <row r="394" ht="15.75" customHeight="1">
      <c r="C394" s="31"/>
      <c r="D394" s="32"/>
      <c r="E394" s="32"/>
      <c r="F394" s="31"/>
      <c r="G394" s="32"/>
      <c r="H394" s="31"/>
      <c r="I394" s="31"/>
      <c r="J394" s="31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</row>
    <row r="395" ht="15.75" customHeight="1">
      <c r="C395" s="31"/>
      <c r="D395" s="32"/>
      <c r="E395" s="32"/>
      <c r="F395" s="31"/>
      <c r="G395" s="32"/>
      <c r="H395" s="31"/>
      <c r="I395" s="31"/>
      <c r="J395" s="31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</row>
    <row r="396" ht="15.75" customHeight="1">
      <c r="C396" s="31"/>
      <c r="D396" s="32"/>
      <c r="E396" s="32"/>
      <c r="F396" s="31"/>
      <c r="G396" s="32"/>
      <c r="H396" s="31"/>
      <c r="I396" s="31"/>
      <c r="J396" s="31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</row>
    <row r="397" ht="15.75" customHeight="1">
      <c r="C397" s="31"/>
      <c r="D397" s="32"/>
      <c r="E397" s="32"/>
      <c r="F397" s="31"/>
      <c r="G397" s="32"/>
      <c r="H397" s="31"/>
      <c r="I397" s="31"/>
      <c r="J397" s="31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</row>
    <row r="398" ht="15.75" customHeight="1">
      <c r="C398" s="31"/>
      <c r="D398" s="32"/>
      <c r="E398" s="32"/>
      <c r="F398" s="31"/>
      <c r="G398" s="32"/>
      <c r="H398" s="31"/>
      <c r="I398" s="31"/>
      <c r="J398" s="31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</row>
    <row r="399" ht="15.75" customHeight="1">
      <c r="C399" s="31"/>
      <c r="D399" s="32"/>
      <c r="E399" s="32"/>
      <c r="F399" s="31"/>
      <c r="G399" s="32"/>
      <c r="H399" s="31"/>
      <c r="I399" s="31"/>
      <c r="J399" s="31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</row>
    <row r="400" ht="15.75" customHeight="1">
      <c r="C400" s="31"/>
      <c r="D400" s="32"/>
      <c r="E400" s="32"/>
      <c r="F400" s="31"/>
      <c r="G400" s="32"/>
      <c r="H400" s="31"/>
      <c r="I400" s="31"/>
      <c r="J400" s="31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</row>
    <row r="401" ht="15.75" customHeight="1">
      <c r="C401" s="31"/>
      <c r="D401" s="32"/>
      <c r="E401" s="32"/>
      <c r="F401" s="31"/>
      <c r="G401" s="32"/>
      <c r="H401" s="31"/>
      <c r="I401" s="31"/>
      <c r="J401" s="31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</row>
    <row r="402" ht="15.75" customHeight="1">
      <c r="C402" s="31"/>
      <c r="D402" s="32"/>
      <c r="E402" s="32"/>
      <c r="F402" s="31"/>
      <c r="G402" s="32"/>
      <c r="H402" s="31"/>
      <c r="I402" s="31"/>
      <c r="J402" s="31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</row>
    <row r="403" ht="15.75" customHeight="1">
      <c r="C403" s="31"/>
      <c r="D403" s="32"/>
      <c r="E403" s="32"/>
      <c r="F403" s="31"/>
      <c r="G403" s="32"/>
      <c r="H403" s="31"/>
      <c r="I403" s="31"/>
      <c r="J403" s="31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</row>
    <row r="404" ht="15.75" customHeight="1">
      <c r="C404" s="31"/>
      <c r="D404" s="32"/>
      <c r="E404" s="32"/>
      <c r="F404" s="31"/>
      <c r="G404" s="32"/>
      <c r="H404" s="31"/>
      <c r="I404" s="31"/>
      <c r="J404" s="31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</row>
    <row r="405" ht="15.75" customHeight="1">
      <c r="C405" s="31"/>
      <c r="D405" s="32"/>
      <c r="E405" s="32"/>
      <c r="F405" s="31"/>
      <c r="G405" s="32"/>
      <c r="H405" s="31"/>
      <c r="I405" s="31"/>
      <c r="J405" s="31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</row>
    <row r="406" ht="15.75" customHeight="1">
      <c r="C406" s="31"/>
      <c r="D406" s="32"/>
      <c r="E406" s="32"/>
      <c r="F406" s="31"/>
      <c r="G406" s="32"/>
      <c r="H406" s="31"/>
      <c r="I406" s="31"/>
      <c r="J406" s="31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</row>
    <row r="407" ht="15.75" customHeight="1">
      <c r="C407" s="31"/>
      <c r="D407" s="32"/>
      <c r="E407" s="32"/>
      <c r="F407" s="31"/>
      <c r="G407" s="32"/>
      <c r="H407" s="31"/>
      <c r="I407" s="31"/>
      <c r="J407" s="31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</row>
    <row r="408" ht="15.75" customHeight="1">
      <c r="C408" s="31"/>
      <c r="D408" s="32"/>
      <c r="E408" s="32"/>
      <c r="F408" s="31"/>
      <c r="G408" s="32"/>
      <c r="H408" s="31"/>
      <c r="I408" s="31"/>
      <c r="J408" s="31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</row>
    <row r="409" ht="15.75" customHeight="1">
      <c r="C409" s="31"/>
      <c r="D409" s="32"/>
      <c r="E409" s="32"/>
      <c r="F409" s="31"/>
      <c r="G409" s="32"/>
      <c r="H409" s="31"/>
      <c r="I409" s="31"/>
      <c r="J409" s="31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</row>
    <row r="410" ht="15.75" customHeight="1">
      <c r="C410" s="31"/>
      <c r="D410" s="32"/>
      <c r="E410" s="32"/>
      <c r="F410" s="31"/>
      <c r="G410" s="32"/>
      <c r="H410" s="31"/>
      <c r="I410" s="31"/>
      <c r="J410" s="31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</row>
    <row r="411" ht="15.75" customHeight="1">
      <c r="C411" s="31"/>
      <c r="D411" s="32"/>
      <c r="E411" s="32"/>
      <c r="F411" s="31"/>
      <c r="G411" s="32"/>
      <c r="H411" s="31"/>
      <c r="I411" s="31"/>
      <c r="J411" s="31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</row>
    <row r="412" ht="15.75" customHeight="1">
      <c r="C412" s="31"/>
      <c r="D412" s="32"/>
      <c r="E412" s="32"/>
      <c r="F412" s="31"/>
      <c r="G412" s="32"/>
      <c r="H412" s="31"/>
      <c r="I412" s="31"/>
      <c r="J412" s="31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</row>
    <row r="413" ht="15.75" customHeight="1">
      <c r="C413" s="31"/>
      <c r="D413" s="32"/>
      <c r="E413" s="32"/>
      <c r="F413" s="31"/>
      <c r="G413" s="32"/>
      <c r="H413" s="31"/>
      <c r="I413" s="31"/>
      <c r="J413" s="31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</row>
    <row r="414" ht="15.75" customHeight="1">
      <c r="C414" s="31"/>
      <c r="D414" s="32"/>
      <c r="E414" s="32"/>
      <c r="F414" s="31"/>
      <c r="G414" s="32"/>
      <c r="H414" s="31"/>
      <c r="I414" s="31"/>
      <c r="J414" s="31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</row>
    <row r="415" ht="15.75" customHeight="1">
      <c r="C415" s="31"/>
      <c r="D415" s="32"/>
      <c r="E415" s="32"/>
      <c r="F415" s="31"/>
      <c r="G415" s="32"/>
      <c r="H415" s="31"/>
      <c r="I415" s="31"/>
      <c r="J415" s="31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</row>
    <row r="416" ht="15.75" customHeight="1">
      <c r="C416" s="31"/>
      <c r="D416" s="32"/>
      <c r="E416" s="32"/>
      <c r="F416" s="31"/>
      <c r="G416" s="32"/>
      <c r="H416" s="31"/>
      <c r="I416" s="31"/>
      <c r="J416" s="31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</row>
    <row r="417" ht="15.75" customHeight="1">
      <c r="C417" s="31"/>
      <c r="D417" s="32"/>
      <c r="E417" s="32"/>
      <c r="F417" s="31"/>
      <c r="G417" s="32"/>
      <c r="H417" s="31"/>
      <c r="I417" s="31"/>
      <c r="J417" s="31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</row>
    <row r="418" ht="15.75" customHeight="1">
      <c r="C418" s="31"/>
      <c r="D418" s="32"/>
      <c r="E418" s="32"/>
      <c r="F418" s="31"/>
      <c r="G418" s="32"/>
      <c r="H418" s="31"/>
      <c r="I418" s="31"/>
      <c r="J418" s="31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</row>
    <row r="419" ht="15.75" customHeight="1">
      <c r="C419" s="31"/>
      <c r="D419" s="32"/>
      <c r="E419" s="32"/>
      <c r="F419" s="31"/>
      <c r="G419" s="32"/>
      <c r="H419" s="31"/>
      <c r="I419" s="31"/>
      <c r="J419" s="31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</row>
    <row r="420" ht="15.75" customHeight="1">
      <c r="C420" s="31"/>
      <c r="D420" s="32"/>
      <c r="E420" s="32"/>
      <c r="F420" s="31"/>
      <c r="G420" s="32"/>
      <c r="H420" s="31"/>
      <c r="I420" s="31"/>
      <c r="J420" s="31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</row>
    <row r="421" ht="15.75" customHeight="1">
      <c r="C421" s="31"/>
      <c r="D421" s="32"/>
      <c r="E421" s="32"/>
      <c r="F421" s="31"/>
      <c r="G421" s="32"/>
      <c r="H421" s="31"/>
      <c r="I421" s="31"/>
      <c r="J421" s="31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</row>
    <row r="422" ht="15.75" customHeight="1">
      <c r="C422" s="31"/>
      <c r="D422" s="32"/>
      <c r="E422" s="32"/>
      <c r="F422" s="31"/>
      <c r="G422" s="32"/>
      <c r="H422" s="31"/>
      <c r="I422" s="31"/>
      <c r="J422" s="31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</row>
    <row r="423" ht="15.75" customHeight="1">
      <c r="C423" s="31"/>
      <c r="D423" s="32"/>
      <c r="E423" s="32"/>
      <c r="F423" s="31"/>
      <c r="G423" s="32"/>
      <c r="H423" s="31"/>
      <c r="I423" s="31"/>
      <c r="J423" s="31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</row>
    <row r="424" ht="15.75" customHeight="1">
      <c r="C424" s="31"/>
      <c r="D424" s="32"/>
      <c r="E424" s="32"/>
      <c r="F424" s="31"/>
      <c r="G424" s="32"/>
      <c r="H424" s="31"/>
      <c r="I424" s="31"/>
      <c r="J424" s="31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</row>
    <row r="425" ht="15.75" customHeight="1">
      <c r="C425" s="31"/>
      <c r="D425" s="32"/>
      <c r="E425" s="32"/>
      <c r="F425" s="31"/>
      <c r="G425" s="32"/>
      <c r="H425" s="31"/>
      <c r="I425" s="31"/>
      <c r="J425" s="31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</row>
    <row r="426" ht="15.75" customHeight="1">
      <c r="C426" s="31"/>
      <c r="D426" s="32"/>
      <c r="E426" s="32"/>
      <c r="F426" s="31"/>
      <c r="G426" s="32"/>
      <c r="H426" s="31"/>
      <c r="I426" s="31"/>
      <c r="J426" s="31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</row>
    <row r="427" ht="15.75" customHeight="1">
      <c r="C427" s="31"/>
      <c r="D427" s="32"/>
      <c r="E427" s="32"/>
      <c r="F427" s="31"/>
      <c r="G427" s="32"/>
      <c r="H427" s="31"/>
      <c r="I427" s="31"/>
      <c r="J427" s="31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</row>
    <row r="428" ht="15.75" customHeight="1">
      <c r="C428" s="31"/>
      <c r="D428" s="32"/>
      <c r="E428" s="32"/>
      <c r="F428" s="31"/>
      <c r="G428" s="32"/>
      <c r="H428" s="31"/>
      <c r="I428" s="31"/>
      <c r="J428" s="31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</row>
    <row r="429" ht="15.75" customHeight="1">
      <c r="C429" s="31"/>
      <c r="D429" s="32"/>
      <c r="E429" s="32"/>
      <c r="F429" s="31"/>
      <c r="G429" s="32"/>
      <c r="H429" s="31"/>
      <c r="I429" s="31"/>
      <c r="J429" s="31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</row>
    <row r="430" ht="15.75" customHeight="1">
      <c r="C430" s="31"/>
      <c r="D430" s="32"/>
      <c r="E430" s="32"/>
      <c r="F430" s="31"/>
      <c r="G430" s="32"/>
      <c r="H430" s="31"/>
      <c r="I430" s="31"/>
      <c r="J430" s="31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</row>
    <row r="431" ht="15.75" customHeight="1">
      <c r="C431" s="31"/>
      <c r="D431" s="32"/>
      <c r="E431" s="32"/>
      <c r="F431" s="31"/>
      <c r="G431" s="32"/>
      <c r="H431" s="31"/>
      <c r="I431" s="31"/>
      <c r="J431" s="31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</row>
    <row r="432" ht="15.75" customHeight="1">
      <c r="C432" s="31"/>
      <c r="D432" s="32"/>
      <c r="E432" s="32"/>
      <c r="F432" s="31"/>
      <c r="G432" s="32"/>
      <c r="H432" s="31"/>
      <c r="I432" s="31"/>
      <c r="J432" s="31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</row>
    <row r="433" ht="15.75" customHeight="1">
      <c r="C433" s="31"/>
      <c r="D433" s="32"/>
      <c r="E433" s="32"/>
      <c r="F433" s="31"/>
      <c r="G433" s="32"/>
      <c r="H433" s="31"/>
      <c r="I433" s="31"/>
      <c r="J433" s="31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</row>
    <row r="434" ht="15.75" customHeight="1">
      <c r="C434" s="31"/>
      <c r="D434" s="32"/>
      <c r="E434" s="32"/>
      <c r="F434" s="31"/>
      <c r="G434" s="32"/>
      <c r="H434" s="31"/>
      <c r="I434" s="31"/>
      <c r="J434" s="31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</row>
    <row r="435" ht="15.75" customHeight="1">
      <c r="C435" s="31"/>
      <c r="D435" s="32"/>
      <c r="E435" s="32"/>
      <c r="F435" s="31"/>
      <c r="G435" s="32"/>
      <c r="H435" s="31"/>
      <c r="I435" s="31"/>
      <c r="J435" s="31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</row>
    <row r="436" ht="15.75" customHeight="1">
      <c r="C436" s="31"/>
      <c r="D436" s="32"/>
      <c r="E436" s="32"/>
      <c r="F436" s="31"/>
      <c r="G436" s="32"/>
      <c r="H436" s="31"/>
      <c r="I436" s="31"/>
      <c r="J436" s="31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</row>
    <row r="437" ht="15.75" customHeight="1">
      <c r="C437" s="31"/>
      <c r="D437" s="32"/>
      <c r="E437" s="32"/>
      <c r="F437" s="31"/>
      <c r="G437" s="32"/>
      <c r="H437" s="31"/>
      <c r="I437" s="31"/>
      <c r="J437" s="31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</row>
    <row r="438" ht="15.75" customHeight="1">
      <c r="C438" s="31"/>
      <c r="D438" s="32"/>
      <c r="E438" s="32"/>
      <c r="F438" s="31"/>
      <c r="G438" s="32"/>
      <c r="H438" s="31"/>
      <c r="I438" s="31"/>
      <c r="J438" s="31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</row>
    <row r="439" ht="15.75" customHeight="1">
      <c r="C439" s="31"/>
      <c r="D439" s="32"/>
      <c r="E439" s="32"/>
      <c r="F439" s="31"/>
      <c r="G439" s="32"/>
      <c r="H439" s="31"/>
      <c r="I439" s="31"/>
      <c r="J439" s="31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</row>
    <row r="440" ht="15.75" customHeight="1">
      <c r="C440" s="31"/>
      <c r="D440" s="32"/>
      <c r="E440" s="32"/>
      <c r="F440" s="31"/>
      <c r="G440" s="32"/>
      <c r="H440" s="31"/>
      <c r="I440" s="31"/>
      <c r="J440" s="31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</row>
    <row r="441" ht="15.75" customHeight="1">
      <c r="C441" s="31"/>
      <c r="D441" s="32"/>
      <c r="E441" s="32"/>
      <c r="F441" s="31"/>
      <c r="G441" s="32"/>
      <c r="H441" s="31"/>
      <c r="I441" s="31"/>
      <c r="J441" s="31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</row>
    <row r="442" ht="15.75" customHeight="1">
      <c r="C442" s="31"/>
      <c r="D442" s="32"/>
      <c r="E442" s="32"/>
      <c r="F442" s="31"/>
      <c r="G442" s="32"/>
      <c r="H442" s="31"/>
      <c r="I442" s="31"/>
      <c r="J442" s="31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</row>
    <row r="443" ht="15.75" customHeight="1">
      <c r="C443" s="31"/>
      <c r="D443" s="32"/>
      <c r="E443" s="32"/>
      <c r="F443" s="31"/>
      <c r="G443" s="32"/>
      <c r="H443" s="31"/>
      <c r="I443" s="31"/>
      <c r="J443" s="31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</row>
    <row r="444" ht="15.75" customHeight="1">
      <c r="C444" s="31"/>
      <c r="D444" s="32"/>
      <c r="E444" s="32"/>
      <c r="F444" s="31"/>
      <c r="G444" s="32"/>
      <c r="H444" s="31"/>
      <c r="I444" s="31"/>
      <c r="J444" s="31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</row>
    <row r="445" ht="15.75" customHeight="1">
      <c r="C445" s="31"/>
      <c r="D445" s="32"/>
      <c r="E445" s="32"/>
      <c r="F445" s="31"/>
      <c r="G445" s="32"/>
      <c r="H445" s="31"/>
      <c r="I445" s="31"/>
      <c r="J445" s="31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</row>
    <row r="446" ht="15.75" customHeight="1">
      <c r="C446" s="31"/>
      <c r="D446" s="32"/>
      <c r="E446" s="32"/>
      <c r="F446" s="31"/>
      <c r="G446" s="32"/>
      <c r="H446" s="31"/>
      <c r="I446" s="31"/>
      <c r="J446" s="31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</row>
    <row r="447" ht="15.75" customHeight="1">
      <c r="C447" s="31"/>
      <c r="D447" s="32"/>
      <c r="E447" s="32"/>
      <c r="F447" s="31"/>
      <c r="G447" s="32"/>
      <c r="H447" s="31"/>
      <c r="I447" s="31"/>
      <c r="J447" s="31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</row>
    <row r="448" ht="15.75" customHeight="1">
      <c r="C448" s="31"/>
      <c r="D448" s="32"/>
      <c r="E448" s="32"/>
      <c r="F448" s="31"/>
      <c r="G448" s="32"/>
      <c r="H448" s="31"/>
      <c r="I448" s="31"/>
      <c r="J448" s="31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</row>
    <row r="449" ht="15.75" customHeight="1">
      <c r="C449" s="31"/>
      <c r="D449" s="32"/>
      <c r="E449" s="32"/>
      <c r="F449" s="31"/>
      <c r="G449" s="32"/>
      <c r="H449" s="31"/>
      <c r="I449" s="31"/>
      <c r="J449" s="31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</row>
    <row r="450" ht="15.75" customHeight="1">
      <c r="C450" s="31"/>
      <c r="D450" s="32"/>
      <c r="E450" s="32"/>
      <c r="F450" s="31"/>
      <c r="G450" s="32"/>
      <c r="H450" s="31"/>
      <c r="I450" s="31"/>
      <c r="J450" s="31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</row>
    <row r="451" ht="15.75" customHeight="1">
      <c r="C451" s="31"/>
      <c r="D451" s="32"/>
      <c r="E451" s="32"/>
      <c r="F451" s="31"/>
      <c r="G451" s="32"/>
      <c r="H451" s="31"/>
      <c r="I451" s="31"/>
      <c r="J451" s="31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</row>
    <row r="452" ht="15.75" customHeight="1">
      <c r="C452" s="31"/>
      <c r="D452" s="32"/>
      <c r="E452" s="32"/>
      <c r="F452" s="31"/>
      <c r="G452" s="32"/>
      <c r="H452" s="31"/>
      <c r="I452" s="31"/>
      <c r="J452" s="31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</row>
    <row r="453" ht="15.75" customHeight="1">
      <c r="C453" s="31"/>
      <c r="D453" s="32"/>
      <c r="E453" s="32"/>
      <c r="F453" s="31"/>
      <c r="G453" s="32"/>
      <c r="H453" s="31"/>
      <c r="I453" s="31"/>
      <c r="J453" s="31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</row>
    <row r="454" ht="15.75" customHeight="1">
      <c r="C454" s="31"/>
      <c r="D454" s="32"/>
      <c r="E454" s="32"/>
      <c r="F454" s="31"/>
      <c r="G454" s="32"/>
      <c r="H454" s="31"/>
      <c r="I454" s="31"/>
      <c r="J454" s="31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</row>
    <row r="455" ht="15.75" customHeight="1">
      <c r="C455" s="31"/>
      <c r="D455" s="32"/>
      <c r="E455" s="32"/>
      <c r="F455" s="31"/>
      <c r="G455" s="32"/>
      <c r="H455" s="31"/>
      <c r="I455" s="31"/>
      <c r="J455" s="31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</row>
    <row r="456" ht="15.75" customHeight="1">
      <c r="C456" s="31"/>
      <c r="D456" s="32"/>
      <c r="E456" s="32"/>
      <c r="F456" s="31"/>
      <c r="G456" s="32"/>
      <c r="H456" s="31"/>
      <c r="I456" s="31"/>
      <c r="J456" s="31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</row>
    <row r="457" ht="15.75" customHeight="1">
      <c r="C457" s="31"/>
      <c r="D457" s="32"/>
      <c r="E457" s="32"/>
      <c r="F457" s="31"/>
      <c r="G457" s="32"/>
      <c r="H457" s="31"/>
      <c r="I457" s="31"/>
      <c r="J457" s="31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</row>
    <row r="458" ht="15.75" customHeight="1">
      <c r="C458" s="31"/>
      <c r="D458" s="32"/>
      <c r="E458" s="32"/>
      <c r="F458" s="31"/>
      <c r="G458" s="32"/>
      <c r="H458" s="31"/>
      <c r="I458" s="31"/>
      <c r="J458" s="31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</row>
    <row r="459" ht="15.75" customHeight="1">
      <c r="C459" s="31"/>
      <c r="D459" s="32"/>
      <c r="E459" s="32"/>
      <c r="F459" s="31"/>
      <c r="G459" s="32"/>
      <c r="H459" s="31"/>
      <c r="I459" s="31"/>
      <c r="J459" s="31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</row>
    <row r="460" ht="15.75" customHeight="1">
      <c r="C460" s="31"/>
      <c r="D460" s="32"/>
      <c r="E460" s="32"/>
      <c r="F460" s="31"/>
      <c r="G460" s="32"/>
      <c r="H460" s="31"/>
      <c r="I460" s="31"/>
      <c r="J460" s="31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</row>
    <row r="461" ht="15.75" customHeight="1">
      <c r="C461" s="31"/>
      <c r="D461" s="32"/>
      <c r="E461" s="32"/>
      <c r="F461" s="31"/>
      <c r="G461" s="32"/>
      <c r="H461" s="31"/>
      <c r="I461" s="31"/>
      <c r="J461" s="31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</row>
    <row r="462" ht="15.75" customHeight="1">
      <c r="C462" s="31"/>
      <c r="D462" s="32"/>
      <c r="E462" s="32"/>
      <c r="F462" s="31"/>
      <c r="G462" s="32"/>
      <c r="H462" s="31"/>
      <c r="I462" s="31"/>
      <c r="J462" s="31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</row>
    <row r="463" ht="15.75" customHeight="1">
      <c r="C463" s="31"/>
      <c r="D463" s="32"/>
      <c r="E463" s="32"/>
      <c r="F463" s="31"/>
      <c r="G463" s="32"/>
      <c r="H463" s="31"/>
      <c r="I463" s="31"/>
      <c r="J463" s="31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</row>
    <row r="464" ht="15.75" customHeight="1">
      <c r="C464" s="31"/>
      <c r="D464" s="32"/>
      <c r="E464" s="32"/>
      <c r="F464" s="31"/>
      <c r="G464" s="32"/>
      <c r="H464" s="31"/>
      <c r="I464" s="31"/>
      <c r="J464" s="31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</row>
    <row r="465" ht="15.75" customHeight="1">
      <c r="C465" s="31"/>
      <c r="D465" s="32"/>
      <c r="E465" s="32"/>
      <c r="F465" s="31"/>
      <c r="G465" s="32"/>
      <c r="H465" s="31"/>
      <c r="I465" s="31"/>
      <c r="J465" s="31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</row>
    <row r="466" ht="15.75" customHeight="1">
      <c r="C466" s="31"/>
      <c r="D466" s="32"/>
      <c r="E466" s="32"/>
      <c r="F466" s="31"/>
      <c r="G466" s="32"/>
      <c r="H466" s="31"/>
      <c r="I466" s="31"/>
      <c r="J466" s="31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</row>
    <row r="467" ht="15.75" customHeight="1">
      <c r="C467" s="31"/>
      <c r="D467" s="32"/>
      <c r="E467" s="32"/>
      <c r="F467" s="31"/>
      <c r="G467" s="32"/>
      <c r="H467" s="31"/>
      <c r="I467" s="31"/>
      <c r="J467" s="31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</row>
    <row r="468" ht="15.75" customHeight="1">
      <c r="C468" s="31"/>
      <c r="D468" s="32"/>
      <c r="E468" s="32"/>
      <c r="F468" s="31"/>
      <c r="G468" s="32"/>
      <c r="H468" s="31"/>
      <c r="I468" s="31"/>
      <c r="J468" s="31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</row>
    <row r="469" ht="15.75" customHeight="1">
      <c r="C469" s="31"/>
      <c r="D469" s="32"/>
      <c r="E469" s="32"/>
      <c r="F469" s="31"/>
      <c r="G469" s="32"/>
      <c r="H469" s="31"/>
      <c r="I469" s="31"/>
      <c r="J469" s="31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</row>
    <row r="470" ht="15.75" customHeight="1">
      <c r="C470" s="31"/>
      <c r="D470" s="32"/>
      <c r="E470" s="32"/>
      <c r="F470" s="31"/>
      <c r="G470" s="32"/>
      <c r="H470" s="31"/>
      <c r="I470" s="31"/>
      <c r="J470" s="31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</row>
    <row r="471" ht="15.75" customHeight="1">
      <c r="C471" s="31"/>
      <c r="D471" s="32"/>
      <c r="E471" s="32"/>
      <c r="F471" s="31"/>
      <c r="G471" s="32"/>
      <c r="H471" s="31"/>
      <c r="I471" s="31"/>
      <c r="J471" s="31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</row>
    <row r="472" ht="15.75" customHeight="1">
      <c r="C472" s="31"/>
      <c r="D472" s="32"/>
      <c r="E472" s="32"/>
      <c r="F472" s="31"/>
      <c r="G472" s="32"/>
      <c r="H472" s="31"/>
      <c r="I472" s="31"/>
      <c r="J472" s="31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</row>
    <row r="473" ht="15.75" customHeight="1">
      <c r="C473" s="31"/>
      <c r="D473" s="32"/>
      <c r="E473" s="32"/>
      <c r="F473" s="31"/>
      <c r="G473" s="32"/>
      <c r="H473" s="31"/>
      <c r="I473" s="31"/>
      <c r="J473" s="31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</row>
    <row r="474" ht="15.75" customHeight="1">
      <c r="C474" s="31"/>
      <c r="D474" s="32"/>
      <c r="E474" s="32"/>
      <c r="F474" s="31"/>
      <c r="G474" s="32"/>
      <c r="H474" s="31"/>
      <c r="I474" s="31"/>
      <c r="J474" s="31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</row>
    <row r="475" ht="15.75" customHeight="1">
      <c r="C475" s="31"/>
      <c r="D475" s="32"/>
      <c r="E475" s="32"/>
      <c r="F475" s="31"/>
      <c r="G475" s="32"/>
      <c r="H475" s="31"/>
      <c r="I475" s="31"/>
      <c r="J475" s="31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</row>
    <row r="476" ht="15.75" customHeight="1">
      <c r="C476" s="31"/>
      <c r="D476" s="32"/>
      <c r="E476" s="32"/>
      <c r="F476" s="31"/>
      <c r="G476" s="32"/>
      <c r="H476" s="31"/>
      <c r="I476" s="31"/>
      <c r="J476" s="31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</row>
    <row r="477" ht="15.75" customHeight="1">
      <c r="C477" s="31"/>
      <c r="D477" s="32"/>
      <c r="E477" s="32"/>
      <c r="F477" s="31"/>
      <c r="G477" s="32"/>
      <c r="H477" s="31"/>
      <c r="I477" s="31"/>
      <c r="J477" s="31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</row>
    <row r="478" ht="15.75" customHeight="1">
      <c r="C478" s="31"/>
      <c r="D478" s="32"/>
      <c r="E478" s="32"/>
      <c r="F478" s="31"/>
      <c r="G478" s="32"/>
      <c r="H478" s="31"/>
      <c r="I478" s="31"/>
      <c r="J478" s="31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</row>
    <row r="479" ht="15.75" customHeight="1">
      <c r="C479" s="31"/>
      <c r="D479" s="32"/>
      <c r="E479" s="32"/>
      <c r="F479" s="31"/>
      <c r="G479" s="32"/>
      <c r="H479" s="31"/>
      <c r="I479" s="31"/>
      <c r="J479" s="31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</row>
    <row r="480" ht="15.75" customHeight="1">
      <c r="C480" s="31"/>
      <c r="D480" s="32"/>
      <c r="E480" s="32"/>
      <c r="F480" s="31"/>
      <c r="G480" s="32"/>
      <c r="H480" s="31"/>
      <c r="I480" s="31"/>
      <c r="J480" s="31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</row>
    <row r="481" ht="15.75" customHeight="1">
      <c r="C481" s="31"/>
      <c r="D481" s="32"/>
      <c r="E481" s="32"/>
      <c r="F481" s="31"/>
      <c r="G481" s="32"/>
      <c r="H481" s="31"/>
      <c r="I481" s="31"/>
      <c r="J481" s="31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</row>
    <row r="482" ht="15.75" customHeight="1">
      <c r="C482" s="31"/>
      <c r="D482" s="32"/>
      <c r="E482" s="32"/>
      <c r="F482" s="31"/>
      <c r="G482" s="32"/>
      <c r="H482" s="31"/>
      <c r="I482" s="31"/>
      <c r="J482" s="31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</row>
    <row r="483" ht="15.75" customHeight="1">
      <c r="C483" s="31"/>
      <c r="D483" s="32"/>
      <c r="E483" s="32"/>
      <c r="F483" s="31"/>
      <c r="G483" s="32"/>
      <c r="H483" s="31"/>
      <c r="I483" s="31"/>
      <c r="J483" s="31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</row>
    <row r="484" ht="15.75" customHeight="1">
      <c r="C484" s="31"/>
      <c r="D484" s="32"/>
      <c r="E484" s="32"/>
      <c r="F484" s="31"/>
      <c r="G484" s="32"/>
      <c r="H484" s="31"/>
      <c r="I484" s="31"/>
      <c r="J484" s="31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</row>
    <row r="485" ht="15.75" customHeight="1">
      <c r="C485" s="31"/>
      <c r="D485" s="32"/>
      <c r="E485" s="32"/>
      <c r="F485" s="31"/>
      <c r="G485" s="32"/>
      <c r="H485" s="31"/>
      <c r="I485" s="31"/>
      <c r="J485" s="31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</row>
    <row r="486" ht="15.75" customHeight="1">
      <c r="C486" s="31"/>
      <c r="D486" s="32"/>
      <c r="E486" s="32"/>
      <c r="F486" s="31"/>
      <c r="G486" s="32"/>
      <c r="H486" s="31"/>
      <c r="I486" s="31"/>
      <c r="J486" s="31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</row>
    <row r="487" ht="15.75" customHeight="1">
      <c r="C487" s="31"/>
      <c r="D487" s="32"/>
      <c r="E487" s="32"/>
      <c r="F487" s="31"/>
      <c r="G487" s="32"/>
      <c r="H487" s="31"/>
      <c r="I487" s="31"/>
      <c r="J487" s="31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</row>
    <row r="488" ht="15.75" customHeight="1">
      <c r="C488" s="31"/>
      <c r="D488" s="32"/>
      <c r="E488" s="32"/>
      <c r="F488" s="31"/>
      <c r="G488" s="32"/>
      <c r="H488" s="31"/>
      <c r="I488" s="31"/>
      <c r="J488" s="31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</row>
    <row r="489" ht="15.75" customHeight="1">
      <c r="C489" s="31"/>
      <c r="D489" s="32"/>
      <c r="E489" s="32"/>
      <c r="F489" s="31"/>
      <c r="G489" s="32"/>
      <c r="H489" s="31"/>
      <c r="I489" s="31"/>
      <c r="J489" s="31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</row>
    <row r="490" ht="15.75" customHeight="1">
      <c r="C490" s="31"/>
      <c r="D490" s="32"/>
      <c r="E490" s="32"/>
      <c r="F490" s="31"/>
      <c r="G490" s="32"/>
      <c r="H490" s="31"/>
      <c r="I490" s="31"/>
      <c r="J490" s="31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</row>
    <row r="491" ht="15.75" customHeight="1">
      <c r="C491" s="31"/>
      <c r="D491" s="32"/>
      <c r="E491" s="32"/>
      <c r="F491" s="31"/>
      <c r="G491" s="32"/>
      <c r="H491" s="31"/>
      <c r="I491" s="31"/>
      <c r="J491" s="31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</row>
    <row r="492" ht="15.75" customHeight="1">
      <c r="C492" s="31"/>
      <c r="D492" s="32"/>
      <c r="E492" s="32"/>
      <c r="F492" s="31"/>
      <c r="G492" s="32"/>
      <c r="H492" s="31"/>
      <c r="I492" s="31"/>
      <c r="J492" s="31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</row>
    <row r="493" ht="15.75" customHeight="1">
      <c r="C493" s="31"/>
      <c r="D493" s="32"/>
      <c r="E493" s="32"/>
      <c r="F493" s="31"/>
      <c r="G493" s="32"/>
      <c r="H493" s="31"/>
      <c r="I493" s="31"/>
      <c r="J493" s="31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</row>
    <row r="494" ht="15.75" customHeight="1">
      <c r="C494" s="31"/>
      <c r="D494" s="32"/>
      <c r="E494" s="32"/>
      <c r="F494" s="31"/>
      <c r="G494" s="32"/>
      <c r="H494" s="31"/>
      <c r="I494" s="31"/>
      <c r="J494" s="31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</row>
    <row r="495" ht="15.75" customHeight="1">
      <c r="C495" s="31"/>
      <c r="D495" s="32"/>
      <c r="E495" s="32"/>
      <c r="F495" s="31"/>
      <c r="G495" s="32"/>
      <c r="H495" s="31"/>
      <c r="I495" s="31"/>
      <c r="J495" s="31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</row>
    <row r="496" ht="15.75" customHeight="1">
      <c r="C496" s="31"/>
      <c r="D496" s="32"/>
      <c r="E496" s="32"/>
      <c r="F496" s="31"/>
      <c r="G496" s="32"/>
      <c r="H496" s="31"/>
      <c r="I496" s="31"/>
      <c r="J496" s="31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</row>
    <row r="497" ht="15.75" customHeight="1">
      <c r="C497" s="31"/>
      <c r="D497" s="32"/>
      <c r="E497" s="32"/>
      <c r="F497" s="31"/>
      <c r="G497" s="32"/>
      <c r="H497" s="31"/>
      <c r="I497" s="31"/>
      <c r="J497" s="31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</row>
    <row r="498" ht="15.75" customHeight="1">
      <c r="C498" s="31"/>
      <c r="D498" s="32"/>
      <c r="E498" s="32"/>
      <c r="F498" s="31"/>
      <c r="G498" s="32"/>
      <c r="H498" s="31"/>
      <c r="I498" s="31"/>
      <c r="J498" s="31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</row>
    <row r="499" ht="15.75" customHeight="1">
      <c r="C499" s="31"/>
      <c r="D499" s="32"/>
      <c r="E499" s="32"/>
      <c r="F499" s="31"/>
      <c r="G499" s="32"/>
      <c r="H499" s="31"/>
      <c r="I499" s="31"/>
      <c r="J499" s="31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</row>
    <row r="500" ht="15.75" customHeight="1">
      <c r="C500" s="31"/>
      <c r="D500" s="32"/>
      <c r="E500" s="32"/>
      <c r="F500" s="31"/>
      <c r="G500" s="32"/>
      <c r="H500" s="31"/>
      <c r="I500" s="31"/>
      <c r="J500" s="31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</row>
    <row r="501" ht="15.75" customHeight="1">
      <c r="C501" s="31"/>
      <c r="D501" s="32"/>
      <c r="E501" s="32"/>
      <c r="F501" s="31"/>
      <c r="G501" s="32"/>
      <c r="H501" s="31"/>
      <c r="I501" s="31"/>
      <c r="J501" s="31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</row>
    <row r="502" ht="15.75" customHeight="1">
      <c r="C502" s="31"/>
      <c r="D502" s="32"/>
      <c r="E502" s="32"/>
      <c r="F502" s="31"/>
      <c r="G502" s="32"/>
      <c r="H502" s="31"/>
      <c r="I502" s="31"/>
      <c r="J502" s="31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</row>
    <row r="503" ht="15.75" customHeight="1">
      <c r="C503" s="31"/>
      <c r="D503" s="32"/>
      <c r="E503" s="32"/>
      <c r="F503" s="31"/>
      <c r="G503" s="32"/>
      <c r="H503" s="31"/>
      <c r="I503" s="31"/>
      <c r="J503" s="31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</row>
    <row r="504" ht="15.75" customHeight="1">
      <c r="C504" s="31"/>
      <c r="D504" s="32"/>
      <c r="E504" s="32"/>
      <c r="F504" s="31"/>
      <c r="G504" s="32"/>
      <c r="H504" s="31"/>
      <c r="I504" s="31"/>
      <c r="J504" s="31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</row>
    <row r="505" ht="15.75" customHeight="1">
      <c r="C505" s="31"/>
      <c r="D505" s="32"/>
      <c r="E505" s="32"/>
      <c r="F505" s="31"/>
      <c r="G505" s="32"/>
      <c r="H505" s="31"/>
      <c r="I505" s="31"/>
      <c r="J505" s="31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</row>
    <row r="506" ht="15.75" customHeight="1">
      <c r="C506" s="31"/>
      <c r="D506" s="32"/>
      <c r="E506" s="32"/>
      <c r="F506" s="31"/>
      <c r="G506" s="32"/>
      <c r="H506" s="31"/>
      <c r="I506" s="31"/>
      <c r="J506" s="31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</row>
    <row r="507" ht="15.75" customHeight="1">
      <c r="C507" s="31"/>
      <c r="D507" s="32"/>
      <c r="E507" s="32"/>
      <c r="F507" s="31"/>
      <c r="G507" s="32"/>
      <c r="H507" s="31"/>
      <c r="I507" s="31"/>
      <c r="J507" s="31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</row>
    <row r="508" ht="15.75" customHeight="1">
      <c r="C508" s="31"/>
      <c r="D508" s="32"/>
      <c r="E508" s="32"/>
      <c r="F508" s="31"/>
      <c r="G508" s="32"/>
      <c r="H508" s="31"/>
      <c r="I508" s="31"/>
      <c r="J508" s="31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</row>
    <row r="509" ht="15.75" customHeight="1">
      <c r="C509" s="31"/>
      <c r="D509" s="32"/>
      <c r="E509" s="32"/>
      <c r="F509" s="31"/>
      <c r="G509" s="32"/>
      <c r="H509" s="31"/>
      <c r="I509" s="31"/>
      <c r="J509" s="31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</row>
    <row r="510" ht="15.75" customHeight="1">
      <c r="C510" s="31"/>
      <c r="D510" s="32"/>
      <c r="E510" s="32"/>
      <c r="F510" s="31"/>
      <c r="G510" s="32"/>
      <c r="H510" s="31"/>
      <c r="I510" s="31"/>
      <c r="J510" s="31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</row>
    <row r="511" ht="15.75" customHeight="1">
      <c r="C511" s="31"/>
      <c r="D511" s="32"/>
      <c r="E511" s="32"/>
      <c r="F511" s="31"/>
      <c r="G511" s="32"/>
      <c r="H511" s="31"/>
      <c r="I511" s="31"/>
      <c r="J511" s="31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</row>
    <row r="512" ht="15.75" customHeight="1">
      <c r="C512" s="31"/>
      <c r="D512" s="32"/>
      <c r="E512" s="32"/>
      <c r="F512" s="31"/>
      <c r="G512" s="32"/>
      <c r="H512" s="31"/>
      <c r="I512" s="31"/>
      <c r="J512" s="31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</row>
    <row r="513" ht="15.75" customHeight="1">
      <c r="C513" s="31"/>
      <c r="D513" s="32"/>
      <c r="E513" s="32"/>
      <c r="F513" s="31"/>
      <c r="G513" s="32"/>
      <c r="H513" s="31"/>
      <c r="I513" s="31"/>
      <c r="J513" s="31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</row>
    <row r="514" ht="15.75" customHeight="1">
      <c r="C514" s="31"/>
      <c r="D514" s="32"/>
      <c r="E514" s="32"/>
      <c r="F514" s="31"/>
      <c r="G514" s="32"/>
      <c r="H514" s="31"/>
      <c r="I514" s="31"/>
      <c r="J514" s="31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</row>
    <row r="515" ht="15.75" customHeight="1">
      <c r="C515" s="31"/>
      <c r="D515" s="32"/>
      <c r="E515" s="32"/>
      <c r="F515" s="31"/>
      <c r="G515" s="32"/>
      <c r="H515" s="31"/>
      <c r="I515" s="31"/>
      <c r="J515" s="31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</row>
    <row r="516" ht="15.75" customHeight="1">
      <c r="C516" s="31"/>
      <c r="D516" s="32"/>
      <c r="E516" s="32"/>
      <c r="F516" s="31"/>
      <c r="G516" s="32"/>
      <c r="H516" s="31"/>
      <c r="I516" s="31"/>
      <c r="J516" s="31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</row>
    <row r="517" ht="15.75" customHeight="1">
      <c r="C517" s="31"/>
      <c r="D517" s="32"/>
      <c r="E517" s="32"/>
      <c r="F517" s="31"/>
      <c r="G517" s="32"/>
      <c r="H517" s="31"/>
      <c r="I517" s="31"/>
      <c r="J517" s="31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</row>
    <row r="518" ht="15.75" customHeight="1">
      <c r="C518" s="31"/>
      <c r="D518" s="32"/>
      <c r="E518" s="32"/>
      <c r="F518" s="31"/>
      <c r="G518" s="32"/>
      <c r="H518" s="31"/>
      <c r="I518" s="31"/>
      <c r="J518" s="31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</row>
    <row r="519" ht="15.75" customHeight="1">
      <c r="C519" s="31"/>
      <c r="D519" s="32"/>
      <c r="E519" s="32"/>
      <c r="F519" s="31"/>
      <c r="G519" s="32"/>
      <c r="H519" s="31"/>
      <c r="I519" s="31"/>
      <c r="J519" s="31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</row>
    <row r="520" ht="15.75" customHeight="1">
      <c r="C520" s="31"/>
      <c r="D520" s="32"/>
      <c r="E520" s="32"/>
      <c r="F520" s="31"/>
      <c r="G520" s="32"/>
      <c r="H520" s="31"/>
      <c r="I520" s="31"/>
      <c r="J520" s="31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</row>
    <row r="521" ht="15.75" customHeight="1">
      <c r="C521" s="31"/>
      <c r="D521" s="32"/>
      <c r="E521" s="32"/>
      <c r="F521" s="31"/>
      <c r="G521" s="32"/>
      <c r="H521" s="31"/>
      <c r="I521" s="31"/>
      <c r="J521" s="31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</row>
    <row r="522" ht="15.75" customHeight="1">
      <c r="C522" s="31"/>
      <c r="D522" s="32"/>
      <c r="E522" s="32"/>
      <c r="F522" s="31"/>
      <c r="G522" s="32"/>
      <c r="H522" s="31"/>
      <c r="I522" s="31"/>
      <c r="J522" s="31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</row>
    <row r="523" ht="15.75" customHeight="1">
      <c r="C523" s="31"/>
      <c r="D523" s="32"/>
      <c r="E523" s="32"/>
      <c r="F523" s="31"/>
      <c r="G523" s="32"/>
      <c r="H523" s="31"/>
      <c r="I523" s="31"/>
      <c r="J523" s="31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</row>
    <row r="524" ht="15.75" customHeight="1">
      <c r="C524" s="31"/>
      <c r="D524" s="32"/>
      <c r="E524" s="32"/>
      <c r="F524" s="31"/>
      <c r="G524" s="32"/>
      <c r="H524" s="31"/>
      <c r="I524" s="31"/>
      <c r="J524" s="31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</row>
    <row r="525" ht="15.75" customHeight="1">
      <c r="C525" s="31"/>
      <c r="D525" s="32"/>
      <c r="E525" s="32"/>
      <c r="F525" s="31"/>
      <c r="G525" s="32"/>
      <c r="H525" s="31"/>
      <c r="I525" s="31"/>
      <c r="J525" s="31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</row>
    <row r="526" ht="15.75" customHeight="1">
      <c r="C526" s="31"/>
      <c r="D526" s="32"/>
      <c r="E526" s="32"/>
      <c r="F526" s="31"/>
      <c r="G526" s="32"/>
      <c r="H526" s="31"/>
      <c r="I526" s="31"/>
      <c r="J526" s="31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</row>
    <row r="527" ht="15.75" customHeight="1">
      <c r="C527" s="31"/>
      <c r="D527" s="32"/>
      <c r="E527" s="32"/>
      <c r="F527" s="31"/>
      <c r="G527" s="32"/>
      <c r="H527" s="31"/>
      <c r="I527" s="31"/>
      <c r="J527" s="31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</row>
    <row r="528" ht="15.75" customHeight="1">
      <c r="C528" s="31"/>
      <c r="D528" s="32"/>
      <c r="E528" s="32"/>
      <c r="F528" s="31"/>
      <c r="G528" s="32"/>
      <c r="H528" s="31"/>
      <c r="I528" s="31"/>
      <c r="J528" s="31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</row>
    <row r="529" ht="15.75" customHeight="1">
      <c r="C529" s="31"/>
      <c r="D529" s="32"/>
      <c r="E529" s="32"/>
      <c r="F529" s="31"/>
      <c r="G529" s="32"/>
      <c r="H529" s="31"/>
      <c r="I529" s="31"/>
      <c r="J529" s="31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</row>
    <row r="530" ht="15.75" customHeight="1">
      <c r="C530" s="31"/>
      <c r="D530" s="32"/>
      <c r="E530" s="32"/>
      <c r="F530" s="31"/>
      <c r="G530" s="32"/>
      <c r="H530" s="31"/>
      <c r="I530" s="31"/>
      <c r="J530" s="31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</row>
    <row r="531" ht="15.75" customHeight="1">
      <c r="C531" s="31"/>
      <c r="D531" s="32"/>
      <c r="E531" s="32"/>
      <c r="F531" s="31"/>
      <c r="G531" s="32"/>
      <c r="H531" s="31"/>
      <c r="I531" s="31"/>
      <c r="J531" s="31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</row>
    <row r="532" ht="15.75" customHeight="1">
      <c r="C532" s="31"/>
      <c r="D532" s="32"/>
      <c r="E532" s="32"/>
      <c r="F532" s="31"/>
      <c r="G532" s="32"/>
      <c r="H532" s="31"/>
      <c r="I532" s="31"/>
      <c r="J532" s="31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</row>
    <row r="533" ht="15.75" customHeight="1">
      <c r="C533" s="31"/>
      <c r="D533" s="32"/>
      <c r="E533" s="32"/>
      <c r="F533" s="31"/>
      <c r="G533" s="32"/>
      <c r="H533" s="31"/>
      <c r="I533" s="31"/>
      <c r="J533" s="31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</row>
    <row r="534" ht="15.75" customHeight="1">
      <c r="C534" s="31"/>
      <c r="D534" s="32"/>
      <c r="E534" s="32"/>
      <c r="F534" s="31"/>
      <c r="G534" s="32"/>
      <c r="H534" s="31"/>
      <c r="I534" s="31"/>
      <c r="J534" s="31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</row>
    <row r="535" ht="15.75" customHeight="1">
      <c r="C535" s="31"/>
      <c r="D535" s="32"/>
      <c r="E535" s="32"/>
      <c r="F535" s="31"/>
      <c r="G535" s="32"/>
      <c r="H535" s="31"/>
      <c r="I535" s="31"/>
      <c r="J535" s="31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</row>
    <row r="536" ht="15.75" customHeight="1">
      <c r="C536" s="31"/>
      <c r="D536" s="32"/>
      <c r="E536" s="32"/>
      <c r="F536" s="31"/>
      <c r="G536" s="32"/>
      <c r="H536" s="31"/>
      <c r="I536" s="31"/>
      <c r="J536" s="31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</row>
    <row r="537" ht="15.75" customHeight="1">
      <c r="C537" s="31"/>
      <c r="D537" s="32"/>
      <c r="E537" s="32"/>
      <c r="F537" s="31"/>
      <c r="G537" s="32"/>
      <c r="H537" s="31"/>
      <c r="I537" s="31"/>
      <c r="J537" s="31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</row>
    <row r="538" ht="15.75" customHeight="1">
      <c r="C538" s="31"/>
      <c r="D538" s="32"/>
      <c r="E538" s="32"/>
      <c r="F538" s="31"/>
      <c r="G538" s="32"/>
      <c r="H538" s="31"/>
      <c r="I538" s="31"/>
      <c r="J538" s="31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</row>
    <row r="539" ht="15.75" customHeight="1">
      <c r="C539" s="31"/>
      <c r="D539" s="32"/>
      <c r="E539" s="32"/>
      <c r="F539" s="31"/>
      <c r="G539" s="32"/>
      <c r="H539" s="31"/>
      <c r="I539" s="31"/>
      <c r="J539" s="31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</row>
    <row r="540" ht="15.75" customHeight="1">
      <c r="C540" s="31"/>
      <c r="D540" s="32"/>
      <c r="E540" s="32"/>
      <c r="F540" s="31"/>
      <c r="G540" s="32"/>
      <c r="H540" s="31"/>
      <c r="I540" s="31"/>
      <c r="J540" s="31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</row>
    <row r="541" ht="15.75" customHeight="1">
      <c r="C541" s="31"/>
      <c r="D541" s="32"/>
      <c r="E541" s="32"/>
      <c r="F541" s="31"/>
      <c r="G541" s="32"/>
      <c r="H541" s="31"/>
      <c r="I541" s="31"/>
      <c r="J541" s="31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</row>
    <row r="542" ht="15.75" customHeight="1">
      <c r="C542" s="31"/>
      <c r="D542" s="32"/>
      <c r="E542" s="32"/>
      <c r="F542" s="31"/>
      <c r="G542" s="32"/>
      <c r="H542" s="31"/>
      <c r="I542" s="31"/>
      <c r="J542" s="31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</row>
    <row r="543" ht="15.75" customHeight="1">
      <c r="C543" s="31"/>
      <c r="D543" s="32"/>
      <c r="E543" s="32"/>
      <c r="F543" s="31"/>
      <c r="G543" s="32"/>
      <c r="H543" s="31"/>
      <c r="I543" s="31"/>
      <c r="J543" s="31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</row>
    <row r="544" ht="15.75" customHeight="1">
      <c r="C544" s="31"/>
      <c r="D544" s="32"/>
      <c r="E544" s="32"/>
      <c r="F544" s="31"/>
      <c r="G544" s="32"/>
      <c r="H544" s="31"/>
      <c r="I544" s="31"/>
      <c r="J544" s="31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</row>
    <row r="545" ht="15.75" customHeight="1">
      <c r="C545" s="31"/>
      <c r="D545" s="32"/>
      <c r="E545" s="32"/>
      <c r="F545" s="31"/>
      <c r="G545" s="32"/>
      <c r="H545" s="31"/>
      <c r="I545" s="31"/>
      <c r="J545" s="31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</row>
    <row r="546" ht="15.75" customHeight="1">
      <c r="C546" s="31"/>
      <c r="D546" s="32"/>
      <c r="E546" s="32"/>
      <c r="F546" s="31"/>
      <c r="G546" s="32"/>
      <c r="H546" s="31"/>
      <c r="I546" s="31"/>
      <c r="J546" s="31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</row>
    <row r="547" ht="15.75" customHeight="1">
      <c r="C547" s="31"/>
      <c r="D547" s="32"/>
      <c r="E547" s="32"/>
      <c r="F547" s="31"/>
      <c r="G547" s="32"/>
      <c r="H547" s="31"/>
      <c r="I547" s="31"/>
      <c r="J547" s="31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</row>
    <row r="548" ht="15.75" customHeight="1">
      <c r="C548" s="31"/>
      <c r="D548" s="32"/>
      <c r="E548" s="32"/>
      <c r="F548" s="31"/>
      <c r="G548" s="32"/>
      <c r="H548" s="31"/>
      <c r="I548" s="31"/>
      <c r="J548" s="31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</row>
    <row r="549" ht="15.75" customHeight="1">
      <c r="C549" s="31"/>
      <c r="D549" s="32"/>
      <c r="E549" s="32"/>
      <c r="F549" s="31"/>
      <c r="G549" s="32"/>
      <c r="H549" s="31"/>
      <c r="I549" s="31"/>
      <c r="J549" s="31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</row>
    <row r="550" ht="15.75" customHeight="1">
      <c r="C550" s="31"/>
      <c r="D550" s="32"/>
      <c r="E550" s="32"/>
      <c r="F550" s="31"/>
      <c r="G550" s="32"/>
      <c r="H550" s="31"/>
      <c r="I550" s="31"/>
      <c r="J550" s="31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</row>
    <row r="551" ht="15.75" customHeight="1">
      <c r="C551" s="31"/>
      <c r="D551" s="32"/>
      <c r="E551" s="32"/>
      <c r="F551" s="31"/>
      <c r="G551" s="32"/>
      <c r="H551" s="31"/>
      <c r="I551" s="31"/>
      <c r="J551" s="31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</row>
    <row r="552" ht="15.75" customHeight="1">
      <c r="C552" s="31"/>
      <c r="D552" s="32"/>
      <c r="E552" s="32"/>
      <c r="F552" s="31"/>
      <c r="G552" s="32"/>
      <c r="H552" s="31"/>
      <c r="I552" s="31"/>
      <c r="J552" s="31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</row>
    <row r="553" ht="15.75" customHeight="1">
      <c r="C553" s="31"/>
      <c r="D553" s="32"/>
      <c r="E553" s="32"/>
      <c r="F553" s="31"/>
      <c r="G553" s="32"/>
      <c r="H553" s="31"/>
      <c r="I553" s="31"/>
      <c r="J553" s="31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</row>
    <row r="554" ht="15.75" customHeight="1">
      <c r="C554" s="31"/>
      <c r="D554" s="32"/>
      <c r="E554" s="32"/>
      <c r="F554" s="31"/>
      <c r="G554" s="32"/>
      <c r="H554" s="31"/>
      <c r="I554" s="31"/>
      <c r="J554" s="31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</row>
    <row r="555" ht="15.75" customHeight="1">
      <c r="C555" s="31"/>
      <c r="D555" s="32"/>
      <c r="E555" s="32"/>
      <c r="F555" s="31"/>
      <c r="G555" s="32"/>
      <c r="H555" s="31"/>
      <c r="I555" s="31"/>
      <c r="J555" s="31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</row>
    <row r="556" ht="15.75" customHeight="1">
      <c r="C556" s="31"/>
      <c r="D556" s="32"/>
      <c r="E556" s="32"/>
      <c r="F556" s="31"/>
      <c r="G556" s="32"/>
      <c r="H556" s="31"/>
      <c r="I556" s="31"/>
      <c r="J556" s="31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</row>
    <row r="557" ht="15.75" customHeight="1">
      <c r="C557" s="31"/>
      <c r="D557" s="32"/>
      <c r="E557" s="32"/>
      <c r="F557" s="31"/>
      <c r="G557" s="32"/>
      <c r="H557" s="31"/>
      <c r="I557" s="31"/>
      <c r="J557" s="31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</row>
    <row r="558" ht="15.75" customHeight="1">
      <c r="C558" s="31"/>
      <c r="D558" s="32"/>
      <c r="E558" s="32"/>
      <c r="F558" s="31"/>
      <c r="G558" s="32"/>
      <c r="H558" s="31"/>
      <c r="I558" s="31"/>
      <c r="J558" s="31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</row>
    <row r="559" ht="15.75" customHeight="1">
      <c r="C559" s="31"/>
      <c r="D559" s="32"/>
      <c r="E559" s="32"/>
      <c r="F559" s="31"/>
      <c r="G559" s="32"/>
      <c r="H559" s="31"/>
      <c r="I559" s="31"/>
      <c r="J559" s="31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</row>
    <row r="560" ht="15.75" customHeight="1">
      <c r="C560" s="31"/>
      <c r="D560" s="32"/>
      <c r="E560" s="32"/>
      <c r="F560" s="31"/>
      <c r="G560" s="32"/>
      <c r="H560" s="31"/>
      <c r="I560" s="31"/>
      <c r="J560" s="31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</row>
    <row r="561" ht="15.75" customHeight="1">
      <c r="C561" s="31"/>
      <c r="D561" s="32"/>
      <c r="E561" s="32"/>
      <c r="F561" s="31"/>
      <c r="G561" s="32"/>
      <c r="H561" s="31"/>
      <c r="I561" s="31"/>
      <c r="J561" s="31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</row>
    <row r="562" ht="15.75" customHeight="1">
      <c r="C562" s="31"/>
      <c r="D562" s="32"/>
      <c r="E562" s="32"/>
      <c r="F562" s="31"/>
      <c r="G562" s="32"/>
      <c r="H562" s="31"/>
      <c r="I562" s="31"/>
      <c r="J562" s="31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</row>
    <row r="563" ht="15.75" customHeight="1">
      <c r="C563" s="31"/>
      <c r="D563" s="32"/>
      <c r="E563" s="32"/>
      <c r="F563" s="31"/>
      <c r="G563" s="32"/>
      <c r="H563" s="31"/>
      <c r="I563" s="31"/>
      <c r="J563" s="31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</row>
    <row r="564" ht="15.75" customHeight="1">
      <c r="C564" s="31"/>
      <c r="D564" s="32"/>
      <c r="E564" s="32"/>
      <c r="F564" s="31"/>
      <c r="G564" s="32"/>
      <c r="H564" s="31"/>
      <c r="I564" s="31"/>
      <c r="J564" s="31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</row>
    <row r="565" ht="15.75" customHeight="1">
      <c r="C565" s="31"/>
      <c r="D565" s="32"/>
      <c r="E565" s="32"/>
      <c r="F565" s="31"/>
      <c r="G565" s="32"/>
      <c r="H565" s="31"/>
      <c r="I565" s="31"/>
      <c r="J565" s="31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</row>
    <row r="566" ht="15.75" customHeight="1">
      <c r="C566" s="31"/>
      <c r="D566" s="32"/>
      <c r="E566" s="32"/>
      <c r="F566" s="31"/>
      <c r="G566" s="32"/>
      <c r="H566" s="31"/>
      <c r="I566" s="31"/>
      <c r="J566" s="31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</row>
    <row r="567" ht="15.75" customHeight="1">
      <c r="C567" s="31"/>
      <c r="D567" s="32"/>
      <c r="E567" s="32"/>
      <c r="F567" s="31"/>
      <c r="G567" s="32"/>
      <c r="H567" s="31"/>
      <c r="I567" s="31"/>
      <c r="J567" s="31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</row>
    <row r="568" ht="15.75" customHeight="1">
      <c r="C568" s="31"/>
      <c r="D568" s="32"/>
      <c r="E568" s="32"/>
      <c r="F568" s="31"/>
      <c r="G568" s="32"/>
      <c r="H568" s="31"/>
      <c r="I568" s="31"/>
      <c r="J568" s="31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</row>
    <row r="569" ht="15.75" customHeight="1">
      <c r="C569" s="31"/>
      <c r="D569" s="32"/>
      <c r="E569" s="32"/>
      <c r="F569" s="31"/>
      <c r="G569" s="32"/>
      <c r="H569" s="31"/>
      <c r="I569" s="31"/>
      <c r="J569" s="31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</row>
    <row r="570" ht="15.75" customHeight="1">
      <c r="C570" s="31"/>
      <c r="D570" s="32"/>
      <c r="E570" s="32"/>
      <c r="F570" s="31"/>
      <c r="G570" s="32"/>
      <c r="H570" s="31"/>
      <c r="I570" s="31"/>
      <c r="J570" s="31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</row>
    <row r="571" ht="15.75" customHeight="1">
      <c r="C571" s="31"/>
      <c r="D571" s="32"/>
      <c r="E571" s="32"/>
      <c r="F571" s="31"/>
      <c r="G571" s="32"/>
      <c r="H571" s="31"/>
      <c r="I571" s="31"/>
      <c r="J571" s="31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</row>
    <row r="572" ht="15.75" customHeight="1">
      <c r="C572" s="31"/>
      <c r="D572" s="32"/>
      <c r="E572" s="32"/>
      <c r="F572" s="31"/>
      <c r="G572" s="32"/>
      <c r="H572" s="31"/>
      <c r="I572" s="31"/>
      <c r="J572" s="31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</row>
    <row r="573" ht="15.75" customHeight="1">
      <c r="C573" s="31"/>
      <c r="D573" s="32"/>
      <c r="E573" s="32"/>
      <c r="F573" s="31"/>
      <c r="G573" s="32"/>
      <c r="H573" s="31"/>
      <c r="I573" s="31"/>
      <c r="J573" s="31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</row>
    <row r="574" ht="15.75" customHeight="1">
      <c r="C574" s="31"/>
      <c r="D574" s="32"/>
      <c r="E574" s="32"/>
      <c r="F574" s="31"/>
      <c r="G574" s="32"/>
      <c r="H574" s="31"/>
      <c r="I574" s="31"/>
      <c r="J574" s="31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</row>
    <row r="575" ht="15.75" customHeight="1">
      <c r="C575" s="31"/>
      <c r="D575" s="32"/>
      <c r="E575" s="32"/>
      <c r="F575" s="31"/>
      <c r="G575" s="32"/>
      <c r="H575" s="31"/>
      <c r="I575" s="31"/>
      <c r="J575" s="31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</row>
    <row r="576" ht="15.75" customHeight="1">
      <c r="C576" s="31"/>
      <c r="D576" s="32"/>
      <c r="E576" s="32"/>
      <c r="F576" s="31"/>
      <c r="G576" s="32"/>
      <c r="H576" s="31"/>
      <c r="I576" s="31"/>
      <c r="J576" s="31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</row>
    <row r="577" ht="15.75" customHeight="1">
      <c r="C577" s="31"/>
      <c r="D577" s="32"/>
      <c r="E577" s="32"/>
      <c r="F577" s="31"/>
      <c r="G577" s="32"/>
      <c r="H577" s="31"/>
      <c r="I577" s="31"/>
      <c r="J577" s="31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</row>
    <row r="578" ht="15.75" customHeight="1">
      <c r="C578" s="31"/>
      <c r="D578" s="32"/>
      <c r="E578" s="32"/>
      <c r="F578" s="31"/>
      <c r="G578" s="32"/>
      <c r="H578" s="31"/>
      <c r="I578" s="31"/>
      <c r="J578" s="31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</row>
    <row r="579" ht="15.75" customHeight="1">
      <c r="C579" s="31"/>
      <c r="D579" s="32"/>
      <c r="E579" s="32"/>
      <c r="F579" s="31"/>
      <c r="G579" s="32"/>
      <c r="H579" s="31"/>
      <c r="I579" s="31"/>
      <c r="J579" s="31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</row>
    <row r="580" ht="15.75" customHeight="1">
      <c r="C580" s="31"/>
      <c r="D580" s="32"/>
      <c r="E580" s="32"/>
      <c r="F580" s="31"/>
      <c r="G580" s="32"/>
      <c r="H580" s="31"/>
      <c r="I580" s="31"/>
      <c r="J580" s="31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</row>
    <row r="581" ht="15.75" customHeight="1">
      <c r="C581" s="31"/>
      <c r="D581" s="32"/>
      <c r="E581" s="32"/>
      <c r="F581" s="31"/>
      <c r="G581" s="32"/>
      <c r="H581" s="31"/>
      <c r="I581" s="31"/>
      <c r="J581" s="31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</row>
    <row r="582" ht="15.75" customHeight="1">
      <c r="C582" s="31"/>
      <c r="D582" s="32"/>
      <c r="E582" s="32"/>
      <c r="F582" s="31"/>
      <c r="G582" s="32"/>
      <c r="H582" s="31"/>
      <c r="I582" s="31"/>
      <c r="J582" s="31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</row>
    <row r="583" ht="15.75" customHeight="1">
      <c r="C583" s="31"/>
      <c r="D583" s="32"/>
      <c r="E583" s="32"/>
      <c r="F583" s="31"/>
      <c r="G583" s="32"/>
      <c r="H583" s="31"/>
      <c r="I583" s="31"/>
      <c r="J583" s="31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</row>
    <row r="584" ht="15.75" customHeight="1">
      <c r="C584" s="31"/>
      <c r="D584" s="32"/>
      <c r="E584" s="32"/>
      <c r="F584" s="31"/>
      <c r="G584" s="32"/>
      <c r="H584" s="31"/>
      <c r="I584" s="31"/>
      <c r="J584" s="31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</row>
    <row r="585" ht="15.75" customHeight="1">
      <c r="C585" s="31"/>
      <c r="D585" s="32"/>
      <c r="E585" s="32"/>
      <c r="F585" s="31"/>
      <c r="G585" s="32"/>
      <c r="H585" s="31"/>
      <c r="I585" s="31"/>
      <c r="J585" s="31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</row>
    <row r="586" ht="15.75" customHeight="1">
      <c r="C586" s="31"/>
      <c r="D586" s="32"/>
      <c r="E586" s="32"/>
      <c r="F586" s="31"/>
      <c r="G586" s="32"/>
      <c r="H586" s="31"/>
      <c r="I586" s="31"/>
      <c r="J586" s="31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</row>
    <row r="587" ht="15.75" customHeight="1">
      <c r="C587" s="31"/>
      <c r="D587" s="32"/>
      <c r="E587" s="32"/>
      <c r="F587" s="31"/>
      <c r="G587" s="32"/>
      <c r="H587" s="31"/>
      <c r="I587" s="31"/>
      <c r="J587" s="31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</row>
    <row r="588" ht="15.75" customHeight="1">
      <c r="C588" s="31"/>
      <c r="D588" s="32"/>
      <c r="E588" s="32"/>
      <c r="F588" s="31"/>
      <c r="G588" s="32"/>
      <c r="H588" s="31"/>
      <c r="I588" s="31"/>
      <c r="J588" s="31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</row>
    <row r="589" ht="15.75" customHeight="1">
      <c r="C589" s="31"/>
      <c r="D589" s="32"/>
      <c r="E589" s="32"/>
      <c r="F589" s="31"/>
      <c r="G589" s="32"/>
      <c r="H589" s="31"/>
      <c r="I589" s="31"/>
      <c r="J589" s="31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</row>
    <row r="590" ht="15.75" customHeight="1">
      <c r="C590" s="31"/>
      <c r="D590" s="32"/>
      <c r="E590" s="32"/>
      <c r="F590" s="31"/>
      <c r="G590" s="32"/>
      <c r="H590" s="31"/>
      <c r="I590" s="31"/>
      <c r="J590" s="31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</row>
    <row r="591" ht="15.75" customHeight="1">
      <c r="C591" s="31"/>
      <c r="D591" s="32"/>
      <c r="E591" s="32"/>
      <c r="F591" s="31"/>
      <c r="G591" s="32"/>
      <c r="H591" s="31"/>
      <c r="I591" s="31"/>
      <c r="J591" s="31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</row>
    <row r="592" ht="15.75" customHeight="1">
      <c r="C592" s="31"/>
      <c r="D592" s="32"/>
      <c r="E592" s="32"/>
      <c r="F592" s="31"/>
      <c r="G592" s="32"/>
      <c r="H592" s="31"/>
      <c r="I592" s="31"/>
      <c r="J592" s="31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</row>
    <row r="593" ht="15.75" customHeight="1">
      <c r="C593" s="31"/>
      <c r="D593" s="32"/>
      <c r="E593" s="32"/>
      <c r="F593" s="31"/>
      <c r="G593" s="32"/>
      <c r="H593" s="31"/>
      <c r="I593" s="31"/>
      <c r="J593" s="31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</row>
    <row r="594" ht="15.75" customHeight="1">
      <c r="C594" s="31"/>
      <c r="D594" s="32"/>
      <c r="E594" s="32"/>
      <c r="F594" s="31"/>
      <c r="G594" s="32"/>
      <c r="H594" s="31"/>
      <c r="I594" s="31"/>
      <c r="J594" s="31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</row>
    <row r="595" ht="15.75" customHeight="1">
      <c r="C595" s="31"/>
      <c r="D595" s="32"/>
      <c r="E595" s="32"/>
      <c r="F595" s="31"/>
      <c r="G595" s="32"/>
      <c r="H595" s="31"/>
      <c r="I595" s="31"/>
      <c r="J595" s="31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</row>
    <row r="596" ht="15.75" customHeight="1">
      <c r="C596" s="31"/>
      <c r="D596" s="32"/>
      <c r="E596" s="32"/>
      <c r="F596" s="31"/>
      <c r="G596" s="32"/>
      <c r="H596" s="31"/>
      <c r="I596" s="31"/>
      <c r="J596" s="31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</row>
    <row r="597" ht="15.75" customHeight="1">
      <c r="C597" s="31"/>
      <c r="D597" s="32"/>
      <c r="E597" s="32"/>
      <c r="F597" s="31"/>
      <c r="G597" s="32"/>
      <c r="H597" s="31"/>
      <c r="I597" s="31"/>
      <c r="J597" s="31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</row>
    <row r="598" ht="15.75" customHeight="1">
      <c r="C598" s="31"/>
      <c r="D598" s="32"/>
      <c r="E598" s="32"/>
      <c r="F598" s="31"/>
      <c r="G598" s="32"/>
      <c r="H598" s="31"/>
      <c r="I598" s="31"/>
      <c r="J598" s="31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</row>
    <row r="599" ht="15.75" customHeight="1">
      <c r="C599" s="31"/>
      <c r="D599" s="32"/>
      <c r="E599" s="32"/>
      <c r="F599" s="31"/>
      <c r="G599" s="32"/>
      <c r="H599" s="31"/>
      <c r="I599" s="31"/>
      <c r="J599" s="31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</row>
    <row r="600" ht="15.75" customHeight="1">
      <c r="C600" s="31"/>
      <c r="D600" s="32"/>
      <c r="E600" s="32"/>
      <c r="F600" s="31"/>
      <c r="G600" s="32"/>
      <c r="H600" s="31"/>
      <c r="I600" s="31"/>
      <c r="J600" s="31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</row>
    <row r="601" ht="15.75" customHeight="1">
      <c r="C601" s="31"/>
      <c r="D601" s="32"/>
      <c r="E601" s="32"/>
      <c r="F601" s="31"/>
      <c r="G601" s="32"/>
      <c r="H601" s="31"/>
      <c r="I601" s="31"/>
      <c r="J601" s="31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</row>
    <row r="602" ht="15.75" customHeight="1">
      <c r="C602" s="31"/>
      <c r="D602" s="32"/>
      <c r="E602" s="32"/>
      <c r="F602" s="31"/>
      <c r="G602" s="32"/>
      <c r="H602" s="31"/>
      <c r="I602" s="31"/>
      <c r="J602" s="31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</row>
    <row r="603" ht="15.75" customHeight="1">
      <c r="C603" s="31"/>
      <c r="D603" s="32"/>
      <c r="E603" s="32"/>
      <c r="F603" s="31"/>
      <c r="G603" s="32"/>
      <c r="H603" s="31"/>
      <c r="I603" s="31"/>
      <c r="J603" s="31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</row>
    <row r="604" ht="15.75" customHeight="1">
      <c r="C604" s="31"/>
      <c r="D604" s="32"/>
      <c r="E604" s="32"/>
      <c r="F604" s="31"/>
      <c r="G604" s="32"/>
      <c r="H604" s="31"/>
      <c r="I604" s="31"/>
      <c r="J604" s="31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</row>
    <row r="605" ht="15.75" customHeight="1">
      <c r="C605" s="31"/>
      <c r="D605" s="32"/>
      <c r="E605" s="32"/>
      <c r="F605" s="31"/>
      <c r="G605" s="32"/>
      <c r="H605" s="31"/>
      <c r="I605" s="31"/>
      <c r="J605" s="31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</row>
    <row r="606" ht="15.75" customHeight="1">
      <c r="C606" s="31"/>
      <c r="D606" s="32"/>
      <c r="E606" s="32"/>
      <c r="F606" s="31"/>
      <c r="G606" s="32"/>
      <c r="H606" s="31"/>
      <c r="I606" s="31"/>
      <c r="J606" s="31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</row>
    <row r="607" ht="15.75" customHeight="1">
      <c r="C607" s="31"/>
      <c r="D607" s="32"/>
      <c r="E607" s="32"/>
      <c r="F607" s="31"/>
      <c r="G607" s="32"/>
      <c r="H607" s="31"/>
      <c r="I607" s="31"/>
      <c r="J607" s="31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</row>
    <row r="608" ht="15.75" customHeight="1">
      <c r="C608" s="31"/>
      <c r="D608" s="32"/>
      <c r="E608" s="32"/>
      <c r="F608" s="31"/>
      <c r="G608" s="32"/>
      <c r="H608" s="31"/>
      <c r="I608" s="31"/>
      <c r="J608" s="31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</row>
    <row r="609" ht="15.75" customHeight="1">
      <c r="C609" s="31"/>
      <c r="D609" s="32"/>
      <c r="E609" s="32"/>
      <c r="F609" s="31"/>
      <c r="G609" s="32"/>
      <c r="H609" s="31"/>
      <c r="I609" s="31"/>
      <c r="J609" s="31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</row>
    <row r="610" ht="15.75" customHeight="1">
      <c r="C610" s="31"/>
      <c r="D610" s="32"/>
      <c r="E610" s="32"/>
      <c r="F610" s="31"/>
      <c r="G610" s="32"/>
      <c r="H610" s="31"/>
      <c r="I610" s="31"/>
      <c r="J610" s="31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</row>
    <row r="611" ht="15.75" customHeight="1">
      <c r="C611" s="31"/>
      <c r="D611" s="32"/>
      <c r="E611" s="32"/>
      <c r="F611" s="31"/>
      <c r="G611" s="32"/>
      <c r="H611" s="31"/>
      <c r="I611" s="31"/>
      <c r="J611" s="31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</row>
    <row r="612" ht="15.75" customHeight="1">
      <c r="C612" s="31"/>
      <c r="D612" s="32"/>
      <c r="E612" s="32"/>
      <c r="F612" s="31"/>
      <c r="G612" s="32"/>
      <c r="H612" s="31"/>
      <c r="I612" s="31"/>
      <c r="J612" s="31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</row>
    <row r="613" ht="15.75" customHeight="1">
      <c r="C613" s="31"/>
      <c r="D613" s="32"/>
      <c r="E613" s="32"/>
      <c r="F613" s="31"/>
      <c r="G613" s="32"/>
      <c r="H613" s="31"/>
      <c r="I613" s="31"/>
      <c r="J613" s="31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</row>
    <row r="614" ht="15.75" customHeight="1">
      <c r="C614" s="31"/>
      <c r="D614" s="32"/>
      <c r="E614" s="32"/>
      <c r="F614" s="31"/>
      <c r="G614" s="32"/>
      <c r="H614" s="31"/>
      <c r="I614" s="31"/>
      <c r="J614" s="31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</row>
    <row r="615" ht="15.75" customHeight="1">
      <c r="C615" s="31"/>
      <c r="D615" s="32"/>
      <c r="E615" s="32"/>
      <c r="F615" s="31"/>
      <c r="G615" s="32"/>
      <c r="H615" s="31"/>
      <c r="I615" s="31"/>
      <c r="J615" s="31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</row>
    <row r="616" ht="15.75" customHeight="1">
      <c r="C616" s="31"/>
      <c r="D616" s="32"/>
      <c r="E616" s="32"/>
      <c r="F616" s="31"/>
      <c r="G616" s="32"/>
      <c r="H616" s="31"/>
      <c r="I616" s="31"/>
      <c r="J616" s="31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</row>
    <row r="617" ht="15.75" customHeight="1">
      <c r="C617" s="31"/>
      <c r="D617" s="32"/>
      <c r="E617" s="32"/>
      <c r="F617" s="31"/>
      <c r="G617" s="32"/>
      <c r="H617" s="31"/>
      <c r="I617" s="31"/>
      <c r="J617" s="31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</row>
    <row r="618" ht="15.75" customHeight="1">
      <c r="C618" s="31"/>
      <c r="D618" s="32"/>
      <c r="E618" s="32"/>
      <c r="F618" s="31"/>
      <c r="G618" s="32"/>
      <c r="H618" s="31"/>
      <c r="I618" s="31"/>
      <c r="J618" s="31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</row>
    <row r="619" ht="15.75" customHeight="1">
      <c r="C619" s="31"/>
      <c r="D619" s="32"/>
      <c r="E619" s="32"/>
      <c r="F619" s="31"/>
      <c r="G619" s="32"/>
      <c r="H619" s="31"/>
      <c r="I619" s="31"/>
      <c r="J619" s="31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</row>
    <row r="620" ht="15.75" customHeight="1">
      <c r="C620" s="31"/>
      <c r="D620" s="32"/>
      <c r="E620" s="32"/>
      <c r="F620" s="31"/>
      <c r="G620" s="32"/>
      <c r="H620" s="31"/>
      <c r="I620" s="31"/>
      <c r="J620" s="31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</row>
    <row r="621" ht="15.75" customHeight="1">
      <c r="C621" s="31"/>
      <c r="D621" s="32"/>
      <c r="E621" s="32"/>
      <c r="F621" s="31"/>
      <c r="G621" s="32"/>
      <c r="H621" s="31"/>
      <c r="I621" s="31"/>
      <c r="J621" s="31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</row>
    <row r="622" ht="15.75" customHeight="1">
      <c r="C622" s="31"/>
      <c r="D622" s="32"/>
      <c r="E622" s="32"/>
      <c r="F622" s="31"/>
      <c r="G622" s="32"/>
      <c r="H622" s="31"/>
      <c r="I622" s="31"/>
      <c r="J622" s="31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</row>
    <row r="623" ht="15.75" customHeight="1">
      <c r="C623" s="31"/>
      <c r="D623" s="32"/>
      <c r="E623" s="32"/>
      <c r="F623" s="31"/>
      <c r="G623" s="32"/>
      <c r="H623" s="31"/>
      <c r="I623" s="31"/>
      <c r="J623" s="31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</row>
    <row r="624" ht="15.75" customHeight="1">
      <c r="C624" s="31"/>
      <c r="D624" s="32"/>
      <c r="E624" s="32"/>
      <c r="F624" s="31"/>
      <c r="G624" s="32"/>
      <c r="H624" s="31"/>
      <c r="I624" s="31"/>
      <c r="J624" s="31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</row>
    <row r="625" ht="15.75" customHeight="1">
      <c r="C625" s="31"/>
      <c r="D625" s="32"/>
      <c r="E625" s="32"/>
      <c r="F625" s="31"/>
      <c r="G625" s="32"/>
      <c r="H625" s="31"/>
      <c r="I625" s="31"/>
      <c r="J625" s="31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</row>
    <row r="626" ht="15.75" customHeight="1">
      <c r="C626" s="31"/>
      <c r="D626" s="32"/>
      <c r="E626" s="32"/>
      <c r="F626" s="31"/>
      <c r="G626" s="32"/>
      <c r="H626" s="31"/>
      <c r="I626" s="31"/>
      <c r="J626" s="31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</row>
    <row r="627" ht="15.75" customHeight="1">
      <c r="C627" s="31"/>
      <c r="D627" s="32"/>
      <c r="E627" s="32"/>
      <c r="F627" s="31"/>
      <c r="G627" s="32"/>
      <c r="H627" s="31"/>
      <c r="I627" s="31"/>
      <c r="J627" s="31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</row>
    <row r="628" ht="15.75" customHeight="1">
      <c r="C628" s="31"/>
      <c r="D628" s="32"/>
      <c r="E628" s="32"/>
      <c r="F628" s="31"/>
      <c r="G628" s="32"/>
      <c r="H628" s="31"/>
      <c r="I628" s="31"/>
      <c r="J628" s="31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</row>
    <row r="629" ht="15.75" customHeight="1">
      <c r="C629" s="31"/>
      <c r="D629" s="32"/>
      <c r="E629" s="32"/>
      <c r="F629" s="31"/>
      <c r="G629" s="32"/>
      <c r="H629" s="31"/>
      <c r="I629" s="31"/>
      <c r="J629" s="31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</row>
    <row r="630" ht="15.75" customHeight="1">
      <c r="C630" s="31"/>
      <c r="D630" s="32"/>
      <c r="E630" s="32"/>
      <c r="F630" s="31"/>
      <c r="G630" s="32"/>
      <c r="H630" s="31"/>
      <c r="I630" s="31"/>
      <c r="J630" s="31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</row>
    <row r="631" ht="15.75" customHeight="1">
      <c r="C631" s="31"/>
      <c r="D631" s="32"/>
      <c r="E631" s="32"/>
      <c r="F631" s="31"/>
      <c r="G631" s="32"/>
      <c r="H631" s="31"/>
      <c r="I631" s="31"/>
      <c r="J631" s="31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</row>
    <row r="632" ht="15.75" customHeight="1">
      <c r="C632" s="31"/>
      <c r="D632" s="32"/>
      <c r="E632" s="32"/>
      <c r="F632" s="31"/>
      <c r="G632" s="32"/>
      <c r="H632" s="31"/>
      <c r="I632" s="31"/>
      <c r="J632" s="31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</row>
    <row r="633" ht="15.75" customHeight="1">
      <c r="C633" s="31"/>
      <c r="D633" s="32"/>
      <c r="E633" s="32"/>
      <c r="F633" s="31"/>
      <c r="G633" s="32"/>
      <c r="H633" s="31"/>
      <c r="I633" s="31"/>
      <c r="J633" s="31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</row>
    <row r="634" ht="15.75" customHeight="1">
      <c r="C634" s="31"/>
      <c r="D634" s="32"/>
      <c r="E634" s="32"/>
      <c r="F634" s="31"/>
      <c r="G634" s="32"/>
      <c r="H634" s="31"/>
      <c r="I634" s="31"/>
      <c r="J634" s="31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</row>
    <row r="635" ht="15.75" customHeight="1">
      <c r="C635" s="31"/>
      <c r="D635" s="32"/>
      <c r="E635" s="32"/>
      <c r="F635" s="31"/>
      <c r="G635" s="32"/>
      <c r="H635" s="31"/>
      <c r="I635" s="31"/>
      <c r="J635" s="31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</row>
    <row r="636" ht="15.75" customHeight="1">
      <c r="C636" s="31"/>
      <c r="D636" s="32"/>
      <c r="E636" s="32"/>
      <c r="F636" s="31"/>
      <c r="G636" s="32"/>
      <c r="H636" s="31"/>
      <c r="I636" s="31"/>
      <c r="J636" s="31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</row>
    <row r="637" ht="15.75" customHeight="1">
      <c r="C637" s="31"/>
      <c r="D637" s="32"/>
      <c r="E637" s="32"/>
      <c r="F637" s="31"/>
      <c r="G637" s="32"/>
      <c r="H637" s="31"/>
      <c r="I637" s="31"/>
      <c r="J637" s="31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</row>
    <row r="638" ht="15.75" customHeight="1">
      <c r="C638" s="31"/>
      <c r="D638" s="32"/>
      <c r="E638" s="32"/>
      <c r="F638" s="31"/>
      <c r="G638" s="32"/>
      <c r="H638" s="31"/>
      <c r="I638" s="31"/>
      <c r="J638" s="31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</row>
    <row r="639" ht="15.75" customHeight="1">
      <c r="C639" s="31"/>
      <c r="D639" s="32"/>
      <c r="E639" s="32"/>
      <c r="F639" s="31"/>
      <c r="G639" s="32"/>
      <c r="H639" s="31"/>
      <c r="I639" s="31"/>
      <c r="J639" s="31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</row>
    <row r="640" ht="15.75" customHeight="1">
      <c r="C640" s="31"/>
      <c r="D640" s="32"/>
      <c r="E640" s="32"/>
      <c r="F640" s="31"/>
      <c r="G640" s="32"/>
      <c r="H640" s="31"/>
      <c r="I640" s="31"/>
      <c r="J640" s="31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</row>
    <row r="641" ht="15.75" customHeight="1">
      <c r="C641" s="31"/>
      <c r="D641" s="32"/>
      <c r="E641" s="32"/>
      <c r="F641" s="31"/>
      <c r="G641" s="32"/>
      <c r="H641" s="31"/>
      <c r="I641" s="31"/>
      <c r="J641" s="31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</row>
    <row r="642" ht="15.75" customHeight="1">
      <c r="C642" s="31"/>
      <c r="D642" s="32"/>
      <c r="E642" s="32"/>
      <c r="F642" s="31"/>
      <c r="G642" s="32"/>
      <c r="H642" s="31"/>
      <c r="I642" s="31"/>
      <c r="J642" s="31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</row>
    <row r="643" ht="15.75" customHeight="1">
      <c r="C643" s="31"/>
      <c r="D643" s="32"/>
      <c r="E643" s="32"/>
      <c r="F643" s="31"/>
      <c r="G643" s="32"/>
      <c r="H643" s="31"/>
      <c r="I643" s="31"/>
      <c r="J643" s="31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</row>
    <row r="644" ht="15.75" customHeight="1">
      <c r="C644" s="31"/>
      <c r="D644" s="32"/>
      <c r="E644" s="32"/>
      <c r="F644" s="31"/>
      <c r="G644" s="32"/>
      <c r="H644" s="31"/>
      <c r="I644" s="31"/>
      <c r="J644" s="31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</row>
    <row r="645" ht="15.75" customHeight="1">
      <c r="C645" s="31"/>
      <c r="D645" s="32"/>
      <c r="E645" s="32"/>
      <c r="F645" s="31"/>
      <c r="G645" s="32"/>
      <c r="H645" s="31"/>
      <c r="I645" s="31"/>
      <c r="J645" s="31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</row>
    <row r="646" ht="15.75" customHeight="1">
      <c r="C646" s="31"/>
      <c r="D646" s="32"/>
      <c r="E646" s="32"/>
      <c r="F646" s="31"/>
      <c r="G646" s="32"/>
      <c r="H646" s="31"/>
      <c r="I646" s="31"/>
      <c r="J646" s="31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</row>
    <row r="647" ht="15.75" customHeight="1">
      <c r="C647" s="31"/>
      <c r="D647" s="32"/>
      <c r="E647" s="32"/>
      <c r="F647" s="31"/>
      <c r="G647" s="32"/>
      <c r="H647" s="31"/>
      <c r="I647" s="31"/>
      <c r="J647" s="31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</row>
    <row r="648" ht="15.75" customHeight="1">
      <c r="C648" s="31"/>
      <c r="D648" s="32"/>
      <c r="E648" s="32"/>
      <c r="F648" s="31"/>
      <c r="G648" s="32"/>
      <c r="H648" s="31"/>
      <c r="I648" s="31"/>
      <c r="J648" s="31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</row>
    <row r="649" ht="15.75" customHeight="1">
      <c r="C649" s="31"/>
      <c r="D649" s="32"/>
      <c r="E649" s="32"/>
      <c r="F649" s="31"/>
      <c r="G649" s="32"/>
      <c r="H649" s="31"/>
      <c r="I649" s="31"/>
      <c r="J649" s="31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</row>
    <row r="650" ht="15.75" customHeight="1">
      <c r="C650" s="31"/>
      <c r="D650" s="32"/>
      <c r="E650" s="32"/>
      <c r="F650" s="31"/>
      <c r="G650" s="32"/>
      <c r="H650" s="31"/>
      <c r="I650" s="31"/>
      <c r="J650" s="31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</row>
    <row r="651" ht="15.75" customHeight="1">
      <c r="C651" s="31"/>
      <c r="D651" s="32"/>
      <c r="E651" s="32"/>
      <c r="F651" s="31"/>
      <c r="G651" s="32"/>
      <c r="H651" s="31"/>
      <c r="I651" s="31"/>
      <c r="J651" s="31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</row>
    <row r="652" ht="15.75" customHeight="1">
      <c r="C652" s="31"/>
      <c r="D652" s="32"/>
      <c r="E652" s="32"/>
      <c r="F652" s="31"/>
      <c r="G652" s="32"/>
      <c r="H652" s="31"/>
      <c r="I652" s="31"/>
      <c r="J652" s="31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</row>
    <row r="653" ht="15.75" customHeight="1">
      <c r="C653" s="31"/>
      <c r="D653" s="32"/>
      <c r="E653" s="32"/>
      <c r="F653" s="31"/>
      <c r="G653" s="32"/>
      <c r="H653" s="31"/>
      <c r="I653" s="31"/>
      <c r="J653" s="31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</row>
    <row r="654" ht="15.75" customHeight="1">
      <c r="C654" s="31"/>
      <c r="D654" s="32"/>
      <c r="E654" s="32"/>
      <c r="F654" s="31"/>
      <c r="G654" s="32"/>
      <c r="H654" s="31"/>
      <c r="I654" s="31"/>
      <c r="J654" s="31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</row>
    <row r="655" ht="15.75" customHeight="1">
      <c r="C655" s="31"/>
      <c r="D655" s="32"/>
      <c r="E655" s="32"/>
      <c r="F655" s="31"/>
      <c r="G655" s="32"/>
      <c r="H655" s="31"/>
      <c r="I655" s="31"/>
      <c r="J655" s="31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</row>
    <row r="656" ht="15.75" customHeight="1">
      <c r="C656" s="31"/>
      <c r="D656" s="32"/>
      <c r="E656" s="32"/>
      <c r="F656" s="31"/>
      <c r="G656" s="32"/>
      <c r="H656" s="31"/>
      <c r="I656" s="31"/>
      <c r="J656" s="31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</row>
    <row r="657" ht="15.75" customHeight="1">
      <c r="C657" s="31"/>
      <c r="D657" s="32"/>
      <c r="E657" s="32"/>
      <c r="F657" s="31"/>
      <c r="G657" s="32"/>
      <c r="H657" s="31"/>
      <c r="I657" s="31"/>
      <c r="J657" s="31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</row>
    <row r="658" ht="15.75" customHeight="1">
      <c r="C658" s="31"/>
      <c r="D658" s="32"/>
      <c r="E658" s="32"/>
      <c r="F658" s="31"/>
      <c r="G658" s="32"/>
      <c r="H658" s="31"/>
      <c r="I658" s="31"/>
      <c r="J658" s="31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</row>
    <row r="659" ht="15.75" customHeight="1">
      <c r="C659" s="31"/>
      <c r="D659" s="32"/>
      <c r="E659" s="32"/>
      <c r="F659" s="31"/>
      <c r="G659" s="32"/>
      <c r="H659" s="31"/>
      <c r="I659" s="31"/>
      <c r="J659" s="31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</row>
    <row r="660" ht="15.75" customHeight="1">
      <c r="C660" s="31"/>
      <c r="D660" s="32"/>
      <c r="E660" s="32"/>
      <c r="F660" s="31"/>
      <c r="G660" s="32"/>
      <c r="H660" s="31"/>
      <c r="I660" s="31"/>
      <c r="J660" s="31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</row>
    <row r="661" ht="15.75" customHeight="1">
      <c r="C661" s="31"/>
      <c r="D661" s="32"/>
      <c r="E661" s="32"/>
      <c r="F661" s="31"/>
      <c r="G661" s="32"/>
      <c r="H661" s="31"/>
      <c r="I661" s="31"/>
      <c r="J661" s="31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</row>
    <row r="662" ht="15.75" customHeight="1">
      <c r="C662" s="31"/>
      <c r="D662" s="32"/>
      <c r="E662" s="32"/>
      <c r="F662" s="31"/>
      <c r="G662" s="32"/>
      <c r="H662" s="31"/>
      <c r="I662" s="31"/>
      <c r="J662" s="31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</row>
    <row r="663" ht="15.75" customHeight="1">
      <c r="C663" s="31"/>
      <c r="D663" s="32"/>
      <c r="E663" s="32"/>
      <c r="F663" s="31"/>
      <c r="G663" s="32"/>
      <c r="H663" s="31"/>
      <c r="I663" s="31"/>
      <c r="J663" s="31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</row>
    <row r="664" ht="15.75" customHeight="1">
      <c r="C664" s="31"/>
      <c r="D664" s="32"/>
      <c r="E664" s="32"/>
      <c r="F664" s="31"/>
      <c r="G664" s="32"/>
      <c r="H664" s="31"/>
      <c r="I664" s="31"/>
      <c r="J664" s="31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</row>
    <row r="665" ht="15.75" customHeight="1">
      <c r="C665" s="31"/>
      <c r="D665" s="32"/>
      <c r="E665" s="32"/>
      <c r="F665" s="31"/>
      <c r="G665" s="32"/>
      <c r="H665" s="31"/>
      <c r="I665" s="31"/>
      <c r="J665" s="31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</row>
    <row r="666" ht="15.75" customHeight="1">
      <c r="C666" s="31"/>
      <c r="D666" s="32"/>
      <c r="E666" s="32"/>
      <c r="F666" s="31"/>
      <c r="G666" s="32"/>
      <c r="H666" s="31"/>
      <c r="I666" s="31"/>
      <c r="J666" s="31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</row>
    <row r="667" ht="15.75" customHeight="1">
      <c r="C667" s="31"/>
      <c r="D667" s="32"/>
      <c r="E667" s="32"/>
      <c r="F667" s="31"/>
      <c r="G667" s="32"/>
      <c r="H667" s="31"/>
      <c r="I667" s="31"/>
      <c r="J667" s="31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</row>
    <row r="668" ht="15.75" customHeight="1">
      <c r="C668" s="31"/>
      <c r="D668" s="32"/>
      <c r="E668" s="32"/>
      <c r="F668" s="31"/>
      <c r="G668" s="32"/>
      <c r="H668" s="31"/>
      <c r="I668" s="31"/>
      <c r="J668" s="31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</row>
    <row r="669" ht="15.75" customHeight="1">
      <c r="C669" s="31"/>
      <c r="D669" s="32"/>
      <c r="E669" s="32"/>
      <c r="F669" s="31"/>
      <c r="G669" s="32"/>
      <c r="H669" s="31"/>
      <c r="I669" s="31"/>
      <c r="J669" s="31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</row>
    <row r="670" ht="15.75" customHeight="1">
      <c r="C670" s="31"/>
      <c r="D670" s="32"/>
      <c r="E670" s="32"/>
      <c r="F670" s="31"/>
      <c r="G670" s="32"/>
      <c r="H670" s="31"/>
      <c r="I670" s="31"/>
      <c r="J670" s="31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</row>
    <row r="671" ht="15.75" customHeight="1">
      <c r="C671" s="31"/>
      <c r="D671" s="32"/>
      <c r="E671" s="32"/>
      <c r="F671" s="31"/>
      <c r="G671" s="32"/>
      <c r="H671" s="31"/>
      <c r="I671" s="31"/>
      <c r="J671" s="31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</row>
    <row r="672" ht="15.75" customHeight="1">
      <c r="C672" s="31"/>
      <c r="D672" s="32"/>
      <c r="E672" s="32"/>
      <c r="F672" s="31"/>
      <c r="G672" s="32"/>
      <c r="H672" s="31"/>
      <c r="I672" s="31"/>
      <c r="J672" s="31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</row>
    <row r="673" ht="15.75" customHeight="1">
      <c r="C673" s="31"/>
      <c r="D673" s="32"/>
      <c r="E673" s="32"/>
      <c r="F673" s="31"/>
      <c r="G673" s="32"/>
      <c r="H673" s="31"/>
      <c r="I673" s="31"/>
      <c r="J673" s="31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</row>
    <row r="674" ht="15.75" customHeight="1">
      <c r="C674" s="31"/>
      <c r="D674" s="32"/>
      <c r="E674" s="32"/>
      <c r="F674" s="31"/>
      <c r="G674" s="32"/>
      <c r="H674" s="31"/>
      <c r="I674" s="31"/>
      <c r="J674" s="31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</row>
    <row r="675" ht="15.75" customHeight="1">
      <c r="C675" s="31"/>
      <c r="D675" s="32"/>
      <c r="E675" s="32"/>
      <c r="F675" s="31"/>
      <c r="G675" s="32"/>
      <c r="H675" s="31"/>
      <c r="I675" s="31"/>
      <c r="J675" s="31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</row>
    <row r="676" ht="15.75" customHeight="1">
      <c r="C676" s="31"/>
      <c r="D676" s="32"/>
      <c r="E676" s="32"/>
      <c r="F676" s="31"/>
      <c r="G676" s="32"/>
      <c r="H676" s="31"/>
      <c r="I676" s="31"/>
      <c r="J676" s="31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</row>
    <row r="677" ht="15.75" customHeight="1">
      <c r="C677" s="31"/>
      <c r="D677" s="32"/>
      <c r="E677" s="32"/>
      <c r="F677" s="31"/>
      <c r="G677" s="32"/>
      <c r="H677" s="31"/>
      <c r="I677" s="31"/>
      <c r="J677" s="31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</row>
    <row r="678" ht="15.75" customHeight="1">
      <c r="C678" s="31"/>
      <c r="D678" s="32"/>
      <c r="E678" s="32"/>
      <c r="F678" s="31"/>
      <c r="G678" s="32"/>
      <c r="H678" s="31"/>
      <c r="I678" s="31"/>
      <c r="J678" s="31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</row>
    <row r="679" ht="15.75" customHeight="1">
      <c r="C679" s="31"/>
      <c r="D679" s="32"/>
      <c r="E679" s="32"/>
      <c r="F679" s="31"/>
      <c r="G679" s="32"/>
      <c r="H679" s="31"/>
      <c r="I679" s="31"/>
      <c r="J679" s="31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</row>
    <row r="680" ht="15.75" customHeight="1">
      <c r="C680" s="31"/>
      <c r="D680" s="32"/>
      <c r="E680" s="32"/>
      <c r="F680" s="31"/>
      <c r="G680" s="32"/>
      <c r="H680" s="31"/>
      <c r="I680" s="31"/>
      <c r="J680" s="31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</row>
    <row r="681" ht="15.75" customHeight="1">
      <c r="C681" s="31"/>
      <c r="D681" s="32"/>
      <c r="E681" s="32"/>
      <c r="F681" s="31"/>
      <c r="G681" s="32"/>
      <c r="H681" s="31"/>
      <c r="I681" s="31"/>
      <c r="J681" s="31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</row>
    <row r="682" ht="15.75" customHeight="1">
      <c r="C682" s="31"/>
      <c r="D682" s="32"/>
      <c r="E682" s="32"/>
      <c r="F682" s="31"/>
      <c r="G682" s="32"/>
      <c r="H682" s="31"/>
      <c r="I682" s="31"/>
      <c r="J682" s="31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</row>
    <row r="683" ht="15.75" customHeight="1">
      <c r="C683" s="31"/>
      <c r="D683" s="32"/>
      <c r="E683" s="32"/>
      <c r="F683" s="31"/>
      <c r="G683" s="32"/>
      <c r="H683" s="31"/>
      <c r="I683" s="31"/>
      <c r="J683" s="31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</row>
    <row r="684" ht="15.75" customHeight="1">
      <c r="C684" s="31"/>
      <c r="D684" s="32"/>
      <c r="E684" s="32"/>
      <c r="F684" s="31"/>
      <c r="G684" s="32"/>
      <c r="H684" s="31"/>
      <c r="I684" s="31"/>
      <c r="J684" s="31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</row>
    <row r="685" ht="15.75" customHeight="1">
      <c r="C685" s="31"/>
      <c r="D685" s="32"/>
      <c r="E685" s="32"/>
      <c r="F685" s="31"/>
      <c r="G685" s="32"/>
      <c r="H685" s="31"/>
      <c r="I685" s="31"/>
      <c r="J685" s="31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</row>
    <row r="686" ht="15.75" customHeight="1">
      <c r="C686" s="31"/>
      <c r="D686" s="32"/>
      <c r="E686" s="32"/>
      <c r="F686" s="31"/>
      <c r="G686" s="32"/>
      <c r="H686" s="31"/>
      <c r="I686" s="31"/>
      <c r="J686" s="31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</row>
    <row r="687" ht="15.75" customHeight="1">
      <c r="C687" s="31"/>
      <c r="D687" s="32"/>
      <c r="E687" s="32"/>
      <c r="F687" s="31"/>
      <c r="G687" s="32"/>
      <c r="H687" s="31"/>
      <c r="I687" s="31"/>
      <c r="J687" s="31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</row>
    <row r="688" ht="15.75" customHeight="1">
      <c r="C688" s="31"/>
      <c r="D688" s="32"/>
      <c r="E688" s="32"/>
      <c r="F688" s="31"/>
      <c r="G688" s="32"/>
      <c r="H688" s="31"/>
      <c r="I688" s="31"/>
      <c r="J688" s="31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</row>
    <row r="689" ht="15.75" customHeight="1">
      <c r="C689" s="31"/>
      <c r="D689" s="32"/>
      <c r="E689" s="32"/>
      <c r="F689" s="31"/>
      <c r="G689" s="32"/>
      <c r="H689" s="31"/>
      <c r="I689" s="31"/>
      <c r="J689" s="31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</row>
    <row r="690" ht="15.75" customHeight="1">
      <c r="C690" s="31"/>
      <c r="D690" s="32"/>
      <c r="E690" s="32"/>
      <c r="F690" s="31"/>
      <c r="G690" s="32"/>
      <c r="H690" s="31"/>
      <c r="I690" s="31"/>
      <c r="J690" s="31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</row>
    <row r="691" ht="15.75" customHeight="1">
      <c r="C691" s="31"/>
      <c r="D691" s="32"/>
      <c r="E691" s="32"/>
      <c r="F691" s="31"/>
      <c r="G691" s="32"/>
      <c r="H691" s="31"/>
      <c r="I691" s="31"/>
      <c r="J691" s="31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</row>
    <row r="692" ht="15.75" customHeight="1">
      <c r="C692" s="31"/>
      <c r="D692" s="32"/>
      <c r="E692" s="32"/>
      <c r="F692" s="31"/>
      <c r="G692" s="32"/>
      <c r="H692" s="31"/>
      <c r="I692" s="31"/>
      <c r="J692" s="31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</row>
    <row r="693" ht="15.75" customHeight="1">
      <c r="C693" s="31"/>
      <c r="D693" s="32"/>
      <c r="E693" s="32"/>
      <c r="F693" s="31"/>
      <c r="G693" s="32"/>
      <c r="H693" s="31"/>
      <c r="I693" s="31"/>
      <c r="J693" s="31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</row>
    <row r="694" ht="15.75" customHeight="1">
      <c r="C694" s="31"/>
      <c r="D694" s="32"/>
      <c r="E694" s="32"/>
      <c r="F694" s="31"/>
      <c r="G694" s="32"/>
      <c r="H694" s="31"/>
      <c r="I694" s="31"/>
      <c r="J694" s="31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</row>
    <row r="695" ht="15.75" customHeight="1">
      <c r="C695" s="31"/>
      <c r="D695" s="32"/>
      <c r="E695" s="32"/>
      <c r="F695" s="31"/>
      <c r="G695" s="32"/>
      <c r="H695" s="31"/>
      <c r="I695" s="31"/>
      <c r="J695" s="31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</row>
    <row r="696" ht="15.75" customHeight="1">
      <c r="C696" s="31"/>
      <c r="D696" s="32"/>
      <c r="E696" s="32"/>
      <c r="F696" s="31"/>
      <c r="G696" s="32"/>
      <c r="H696" s="31"/>
      <c r="I696" s="31"/>
      <c r="J696" s="31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</row>
    <row r="697" ht="15.75" customHeight="1">
      <c r="C697" s="31"/>
      <c r="D697" s="32"/>
      <c r="E697" s="32"/>
      <c r="F697" s="31"/>
      <c r="G697" s="32"/>
      <c r="H697" s="31"/>
      <c r="I697" s="31"/>
      <c r="J697" s="31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</row>
    <row r="698" ht="15.75" customHeight="1">
      <c r="C698" s="31"/>
      <c r="D698" s="32"/>
      <c r="E698" s="32"/>
      <c r="F698" s="31"/>
      <c r="G698" s="32"/>
      <c r="H698" s="31"/>
      <c r="I698" s="31"/>
      <c r="J698" s="31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</row>
    <row r="699" ht="15.75" customHeight="1">
      <c r="C699" s="31"/>
      <c r="D699" s="32"/>
      <c r="E699" s="32"/>
      <c r="F699" s="31"/>
      <c r="G699" s="32"/>
      <c r="H699" s="31"/>
      <c r="I699" s="31"/>
      <c r="J699" s="31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</row>
    <row r="700" ht="15.75" customHeight="1">
      <c r="C700" s="31"/>
      <c r="D700" s="32"/>
      <c r="E700" s="32"/>
      <c r="F700" s="31"/>
      <c r="G700" s="32"/>
      <c r="H700" s="31"/>
      <c r="I700" s="31"/>
      <c r="J700" s="31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</row>
    <row r="701" ht="15.75" customHeight="1">
      <c r="C701" s="31"/>
      <c r="D701" s="32"/>
      <c r="E701" s="32"/>
      <c r="F701" s="31"/>
      <c r="G701" s="32"/>
      <c r="H701" s="31"/>
      <c r="I701" s="31"/>
      <c r="J701" s="31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</row>
    <row r="702" ht="15.75" customHeight="1">
      <c r="C702" s="31"/>
      <c r="D702" s="32"/>
      <c r="E702" s="32"/>
      <c r="F702" s="31"/>
      <c r="G702" s="32"/>
      <c r="H702" s="31"/>
      <c r="I702" s="31"/>
      <c r="J702" s="31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</row>
    <row r="703" ht="15.75" customHeight="1">
      <c r="C703" s="31"/>
      <c r="D703" s="32"/>
      <c r="E703" s="32"/>
      <c r="F703" s="31"/>
      <c r="G703" s="32"/>
      <c r="H703" s="31"/>
      <c r="I703" s="31"/>
      <c r="J703" s="31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</row>
    <row r="704" ht="15.75" customHeight="1">
      <c r="C704" s="31"/>
      <c r="D704" s="32"/>
      <c r="E704" s="32"/>
      <c r="F704" s="31"/>
      <c r="G704" s="32"/>
      <c r="H704" s="31"/>
      <c r="I704" s="31"/>
      <c r="J704" s="31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</row>
    <row r="705" ht="15.75" customHeight="1">
      <c r="C705" s="31"/>
      <c r="D705" s="32"/>
      <c r="E705" s="32"/>
      <c r="F705" s="31"/>
      <c r="G705" s="32"/>
      <c r="H705" s="31"/>
      <c r="I705" s="31"/>
      <c r="J705" s="31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</row>
    <row r="706" ht="15.75" customHeight="1">
      <c r="C706" s="31"/>
      <c r="D706" s="32"/>
      <c r="E706" s="32"/>
      <c r="F706" s="31"/>
      <c r="G706" s="32"/>
      <c r="H706" s="31"/>
      <c r="I706" s="31"/>
      <c r="J706" s="31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</row>
    <row r="707" ht="15.75" customHeight="1">
      <c r="C707" s="31"/>
      <c r="D707" s="32"/>
      <c r="E707" s="32"/>
      <c r="F707" s="31"/>
      <c r="G707" s="32"/>
      <c r="H707" s="31"/>
      <c r="I707" s="31"/>
      <c r="J707" s="31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</row>
    <row r="708" ht="15.75" customHeight="1">
      <c r="C708" s="31"/>
      <c r="D708" s="32"/>
      <c r="E708" s="32"/>
      <c r="F708" s="31"/>
      <c r="G708" s="32"/>
      <c r="H708" s="31"/>
      <c r="I708" s="31"/>
      <c r="J708" s="31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</row>
    <row r="709" ht="15.75" customHeight="1">
      <c r="C709" s="31"/>
      <c r="D709" s="32"/>
      <c r="E709" s="32"/>
      <c r="F709" s="31"/>
      <c r="G709" s="32"/>
      <c r="H709" s="31"/>
      <c r="I709" s="31"/>
      <c r="J709" s="31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</row>
    <row r="710" ht="15.75" customHeight="1">
      <c r="C710" s="31"/>
      <c r="D710" s="32"/>
      <c r="E710" s="32"/>
      <c r="F710" s="31"/>
      <c r="G710" s="32"/>
      <c r="H710" s="31"/>
      <c r="I710" s="31"/>
      <c r="J710" s="31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</row>
    <row r="711" ht="15.75" customHeight="1">
      <c r="C711" s="31"/>
      <c r="D711" s="32"/>
      <c r="E711" s="32"/>
      <c r="F711" s="31"/>
      <c r="G711" s="32"/>
      <c r="H711" s="31"/>
      <c r="I711" s="31"/>
      <c r="J711" s="31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</row>
    <row r="712" ht="15.75" customHeight="1">
      <c r="C712" s="31"/>
      <c r="D712" s="32"/>
      <c r="E712" s="32"/>
      <c r="F712" s="31"/>
      <c r="G712" s="32"/>
      <c r="H712" s="31"/>
      <c r="I712" s="31"/>
      <c r="J712" s="31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</row>
    <row r="713" ht="15.75" customHeight="1">
      <c r="C713" s="31"/>
      <c r="D713" s="32"/>
      <c r="E713" s="32"/>
      <c r="F713" s="31"/>
      <c r="G713" s="32"/>
      <c r="H713" s="31"/>
      <c r="I713" s="31"/>
      <c r="J713" s="31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</row>
    <row r="714" ht="15.75" customHeight="1">
      <c r="C714" s="31"/>
      <c r="D714" s="32"/>
      <c r="E714" s="32"/>
      <c r="F714" s="31"/>
      <c r="G714" s="32"/>
      <c r="H714" s="31"/>
      <c r="I714" s="31"/>
      <c r="J714" s="31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</row>
    <row r="715" ht="15.75" customHeight="1">
      <c r="C715" s="31"/>
      <c r="D715" s="32"/>
      <c r="E715" s="32"/>
      <c r="F715" s="31"/>
      <c r="G715" s="32"/>
      <c r="H715" s="31"/>
      <c r="I715" s="31"/>
      <c r="J715" s="31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</row>
    <row r="716" ht="15.75" customHeight="1">
      <c r="C716" s="31"/>
      <c r="D716" s="32"/>
      <c r="E716" s="32"/>
      <c r="F716" s="31"/>
      <c r="G716" s="32"/>
      <c r="H716" s="31"/>
      <c r="I716" s="31"/>
      <c r="J716" s="31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</row>
    <row r="717" ht="15.75" customHeight="1">
      <c r="C717" s="31"/>
      <c r="D717" s="32"/>
      <c r="E717" s="32"/>
      <c r="F717" s="31"/>
      <c r="G717" s="32"/>
      <c r="H717" s="31"/>
      <c r="I717" s="31"/>
      <c r="J717" s="31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</row>
    <row r="718" ht="15.75" customHeight="1">
      <c r="C718" s="31"/>
      <c r="D718" s="32"/>
      <c r="E718" s="32"/>
      <c r="F718" s="31"/>
      <c r="G718" s="32"/>
      <c r="H718" s="31"/>
      <c r="I718" s="31"/>
      <c r="J718" s="31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</row>
    <row r="719" ht="15.75" customHeight="1">
      <c r="C719" s="31"/>
      <c r="D719" s="32"/>
      <c r="E719" s="32"/>
      <c r="F719" s="31"/>
      <c r="G719" s="32"/>
      <c r="H719" s="31"/>
      <c r="I719" s="31"/>
      <c r="J719" s="31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</row>
    <row r="720" ht="15.75" customHeight="1">
      <c r="C720" s="31"/>
      <c r="D720" s="32"/>
      <c r="E720" s="32"/>
      <c r="F720" s="31"/>
      <c r="G720" s="32"/>
      <c r="H720" s="31"/>
      <c r="I720" s="31"/>
      <c r="J720" s="31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</row>
    <row r="721" ht="15.75" customHeight="1">
      <c r="C721" s="31"/>
      <c r="D721" s="32"/>
      <c r="E721" s="32"/>
      <c r="F721" s="31"/>
      <c r="G721" s="32"/>
      <c r="H721" s="31"/>
      <c r="I721" s="31"/>
      <c r="J721" s="31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</row>
    <row r="722" ht="15.75" customHeight="1">
      <c r="C722" s="31"/>
      <c r="D722" s="32"/>
      <c r="E722" s="32"/>
      <c r="F722" s="31"/>
      <c r="G722" s="32"/>
      <c r="H722" s="31"/>
      <c r="I722" s="31"/>
      <c r="J722" s="31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</row>
    <row r="723" ht="15.75" customHeight="1">
      <c r="C723" s="31"/>
      <c r="D723" s="32"/>
      <c r="E723" s="32"/>
      <c r="F723" s="31"/>
      <c r="G723" s="32"/>
      <c r="H723" s="31"/>
      <c r="I723" s="31"/>
      <c r="J723" s="31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</row>
    <row r="724" ht="15.75" customHeight="1">
      <c r="C724" s="31"/>
      <c r="D724" s="32"/>
      <c r="E724" s="32"/>
      <c r="F724" s="31"/>
      <c r="G724" s="32"/>
      <c r="H724" s="31"/>
      <c r="I724" s="31"/>
      <c r="J724" s="31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</row>
    <row r="725" ht="15.75" customHeight="1">
      <c r="C725" s="31"/>
      <c r="D725" s="32"/>
      <c r="E725" s="32"/>
      <c r="F725" s="31"/>
      <c r="G725" s="32"/>
      <c r="H725" s="31"/>
      <c r="I725" s="31"/>
      <c r="J725" s="31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</row>
    <row r="726" ht="15.75" customHeight="1">
      <c r="C726" s="31"/>
      <c r="D726" s="32"/>
      <c r="E726" s="32"/>
      <c r="F726" s="31"/>
      <c r="G726" s="32"/>
      <c r="H726" s="31"/>
      <c r="I726" s="31"/>
      <c r="J726" s="31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</row>
    <row r="727" ht="15.75" customHeight="1">
      <c r="C727" s="31"/>
      <c r="D727" s="32"/>
      <c r="E727" s="32"/>
      <c r="F727" s="31"/>
      <c r="G727" s="32"/>
      <c r="H727" s="31"/>
      <c r="I727" s="31"/>
      <c r="J727" s="31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</row>
    <row r="728" ht="15.75" customHeight="1">
      <c r="C728" s="31"/>
      <c r="D728" s="32"/>
      <c r="E728" s="32"/>
      <c r="F728" s="31"/>
      <c r="G728" s="32"/>
      <c r="H728" s="31"/>
      <c r="I728" s="31"/>
      <c r="J728" s="31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</row>
    <row r="729" ht="15.75" customHeight="1">
      <c r="C729" s="31"/>
      <c r="D729" s="32"/>
      <c r="E729" s="32"/>
      <c r="F729" s="31"/>
      <c r="G729" s="32"/>
      <c r="H729" s="31"/>
      <c r="I729" s="31"/>
      <c r="J729" s="31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</row>
    <row r="730" ht="15.75" customHeight="1">
      <c r="C730" s="31"/>
      <c r="D730" s="32"/>
      <c r="E730" s="32"/>
      <c r="F730" s="31"/>
      <c r="G730" s="32"/>
      <c r="H730" s="31"/>
      <c r="I730" s="31"/>
      <c r="J730" s="31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</row>
    <row r="731" ht="15.75" customHeight="1">
      <c r="C731" s="31"/>
      <c r="D731" s="32"/>
      <c r="E731" s="32"/>
      <c r="F731" s="31"/>
      <c r="G731" s="32"/>
      <c r="H731" s="31"/>
      <c r="I731" s="31"/>
      <c r="J731" s="31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</row>
    <row r="732" ht="15.75" customHeight="1">
      <c r="C732" s="31"/>
      <c r="D732" s="32"/>
      <c r="E732" s="32"/>
      <c r="F732" s="31"/>
      <c r="G732" s="32"/>
      <c r="H732" s="31"/>
      <c r="I732" s="31"/>
      <c r="J732" s="31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</row>
    <row r="733" ht="15.75" customHeight="1">
      <c r="C733" s="31"/>
      <c r="D733" s="32"/>
      <c r="E733" s="32"/>
      <c r="F733" s="31"/>
      <c r="G733" s="32"/>
      <c r="H733" s="31"/>
      <c r="I733" s="31"/>
      <c r="J733" s="31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</row>
    <row r="734" ht="15.75" customHeight="1">
      <c r="C734" s="31"/>
      <c r="D734" s="32"/>
      <c r="E734" s="32"/>
      <c r="F734" s="31"/>
      <c r="G734" s="32"/>
      <c r="H734" s="31"/>
      <c r="I734" s="31"/>
      <c r="J734" s="31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</row>
    <row r="735" ht="15.75" customHeight="1">
      <c r="C735" s="31"/>
      <c r="D735" s="32"/>
      <c r="E735" s="32"/>
      <c r="F735" s="31"/>
      <c r="G735" s="32"/>
      <c r="H735" s="31"/>
      <c r="I735" s="31"/>
      <c r="J735" s="31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</row>
    <row r="736" ht="15.75" customHeight="1">
      <c r="C736" s="31"/>
      <c r="D736" s="32"/>
      <c r="E736" s="32"/>
      <c r="F736" s="31"/>
      <c r="G736" s="32"/>
      <c r="H736" s="31"/>
      <c r="I736" s="31"/>
      <c r="J736" s="31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</row>
    <row r="737" ht="15.75" customHeight="1">
      <c r="C737" s="31"/>
      <c r="D737" s="32"/>
      <c r="E737" s="32"/>
      <c r="F737" s="31"/>
      <c r="G737" s="32"/>
      <c r="H737" s="31"/>
      <c r="I737" s="31"/>
      <c r="J737" s="31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</row>
    <row r="738" ht="15.75" customHeight="1">
      <c r="C738" s="31"/>
      <c r="D738" s="32"/>
      <c r="E738" s="32"/>
      <c r="F738" s="31"/>
      <c r="G738" s="32"/>
      <c r="H738" s="31"/>
      <c r="I738" s="31"/>
      <c r="J738" s="31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</row>
    <row r="739" ht="15.75" customHeight="1">
      <c r="C739" s="31"/>
      <c r="D739" s="32"/>
      <c r="E739" s="32"/>
      <c r="F739" s="31"/>
      <c r="G739" s="32"/>
      <c r="H739" s="31"/>
      <c r="I739" s="31"/>
      <c r="J739" s="31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</row>
    <row r="740" ht="15.75" customHeight="1">
      <c r="C740" s="31"/>
      <c r="D740" s="32"/>
      <c r="E740" s="32"/>
      <c r="F740" s="31"/>
      <c r="G740" s="32"/>
      <c r="H740" s="31"/>
      <c r="I740" s="31"/>
      <c r="J740" s="31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</row>
    <row r="741" ht="15.75" customHeight="1">
      <c r="C741" s="31"/>
      <c r="D741" s="32"/>
      <c r="E741" s="32"/>
      <c r="F741" s="31"/>
      <c r="G741" s="32"/>
      <c r="H741" s="31"/>
      <c r="I741" s="31"/>
      <c r="J741" s="31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</row>
    <row r="742" ht="15.75" customHeight="1">
      <c r="C742" s="31"/>
      <c r="D742" s="32"/>
      <c r="E742" s="32"/>
      <c r="F742" s="31"/>
      <c r="G742" s="32"/>
      <c r="H742" s="31"/>
      <c r="I742" s="31"/>
      <c r="J742" s="31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</row>
    <row r="743" ht="15.75" customHeight="1">
      <c r="C743" s="31"/>
      <c r="D743" s="32"/>
      <c r="E743" s="32"/>
      <c r="F743" s="31"/>
      <c r="G743" s="32"/>
      <c r="H743" s="31"/>
      <c r="I743" s="31"/>
      <c r="J743" s="31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</row>
    <row r="744" ht="15.75" customHeight="1">
      <c r="C744" s="31"/>
      <c r="D744" s="32"/>
      <c r="E744" s="32"/>
      <c r="F744" s="31"/>
      <c r="G744" s="32"/>
      <c r="H744" s="31"/>
      <c r="I744" s="31"/>
      <c r="J744" s="31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</row>
    <row r="745" ht="15.75" customHeight="1">
      <c r="C745" s="31"/>
      <c r="D745" s="32"/>
      <c r="E745" s="32"/>
      <c r="F745" s="31"/>
      <c r="G745" s="32"/>
      <c r="H745" s="31"/>
      <c r="I745" s="31"/>
      <c r="J745" s="31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</row>
    <row r="746" ht="15.75" customHeight="1">
      <c r="C746" s="31"/>
      <c r="D746" s="32"/>
      <c r="E746" s="32"/>
      <c r="F746" s="31"/>
      <c r="G746" s="32"/>
      <c r="H746" s="31"/>
      <c r="I746" s="31"/>
      <c r="J746" s="31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</row>
    <row r="747" ht="15.75" customHeight="1">
      <c r="C747" s="31"/>
      <c r="D747" s="32"/>
      <c r="E747" s="32"/>
      <c r="F747" s="31"/>
      <c r="G747" s="32"/>
      <c r="H747" s="31"/>
      <c r="I747" s="31"/>
      <c r="J747" s="31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</row>
    <row r="748" ht="15.75" customHeight="1">
      <c r="C748" s="31"/>
      <c r="D748" s="32"/>
      <c r="E748" s="32"/>
      <c r="F748" s="31"/>
      <c r="G748" s="32"/>
      <c r="H748" s="31"/>
      <c r="I748" s="31"/>
      <c r="J748" s="31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</row>
    <row r="749" ht="15.75" customHeight="1">
      <c r="C749" s="31"/>
      <c r="D749" s="32"/>
      <c r="E749" s="32"/>
      <c r="F749" s="31"/>
      <c r="G749" s="32"/>
      <c r="H749" s="31"/>
      <c r="I749" s="31"/>
      <c r="J749" s="31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</row>
    <row r="750" ht="15.75" customHeight="1">
      <c r="C750" s="31"/>
      <c r="D750" s="32"/>
      <c r="E750" s="32"/>
      <c r="F750" s="31"/>
      <c r="G750" s="32"/>
      <c r="H750" s="31"/>
      <c r="I750" s="31"/>
      <c r="J750" s="31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</row>
    <row r="751" ht="15.75" customHeight="1">
      <c r="C751" s="31"/>
      <c r="D751" s="32"/>
      <c r="E751" s="32"/>
      <c r="F751" s="31"/>
      <c r="G751" s="32"/>
      <c r="H751" s="31"/>
      <c r="I751" s="31"/>
      <c r="J751" s="31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</row>
    <row r="752" ht="15.75" customHeight="1">
      <c r="C752" s="31"/>
      <c r="D752" s="32"/>
      <c r="E752" s="32"/>
      <c r="F752" s="31"/>
      <c r="G752" s="32"/>
      <c r="H752" s="31"/>
      <c r="I752" s="31"/>
      <c r="J752" s="31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</row>
    <row r="753" ht="15.75" customHeight="1">
      <c r="C753" s="31"/>
      <c r="D753" s="32"/>
      <c r="E753" s="32"/>
      <c r="F753" s="31"/>
      <c r="G753" s="32"/>
      <c r="H753" s="31"/>
      <c r="I753" s="31"/>
      <c r="J753" s="31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</row>
    <row r="754" ht="15.75" customHeight="1">
      <c r="C754" s="31"/>
      <c r="D754" s="32"/>
      <c r="E754" s="32"/>
      <c r="F754" s="31"/>
      <c r="G754" s="32"/>
      <c r="H754" s="31"/>
      <c r="I754" s="31"/>
      <c r="J754" s="31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</row>
    <row r="755" ht="15.75" customHeight="1">
      <c r="C755" s="31"/>
      <c r="D755" s="32"/>
      <c r="E755" s="32"/>
      <c r="F755" s="31"/>
      <c r="G755" s="32"/>
      <c r="H755" s="31"/>
      <c r="I755" s="31"/>
      <c r="J755" s="31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</row>
    <row r="756" ht="15.75" customHeight="1">
      <c r="C756" s="31"/>
      <c r="D756" s="32"/>
      <c r="E756" s="32"/>
      <c r="F756" s="31"/>
      <c r="G756" s="32"/>
      <c r="H756" s="31"/>
      <c r="I756" s="31"/>
      <c r="J756" s="31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</row>
    <row r="757" ht="15.75" customHeight="1">
      <c r="C757" s="31"/>
      <c r="D757" s="32"/>
      <c r="E757" s="32"/>
      <c r="F757" s="31"/>
      <c r="G757" s="32"/>
      <c r="H757" s="31"/>
      <c r="I757" s="31"/>
      <c r="J757" s="31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</row>
    <row r="758" ht="15.75" customHeight="1">
      <c r="C758" s="31"/>
      <c r="D758" s="32"/>
      <c r="E758" s="32"/>
      <c r="F758" s="31"/>
      <c r="G758" s="32"/>
      <c r="H758" s="31"/>
      <c r="I758" s="31"/>
      <c r="J758" s="31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</row>
    <row r="759" ht="15.75" customHeight="1">
      <c r="C759" s="31"/>
      <c r="D759" s="32"/>
      <c r="E759" s="32"/>
      <c r="F759" s="31"/>
      <c r="G759" s="32"/>
      <c r="H759" s="31"/>
      <c r="I759" s="31"/>
      <c r="J759" s="31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</row>
    <row r="760" ht="15.75" customHeight="1">
      <c r="C760" s="31"/>
      <c r="D760" s="32"/>
      <c r="E760" s="32"/>
      <c r="F760" s="31"/>
      <c r="G760" s="32"/>
      <c r="H760" s="31"/>
      <c r="I760" s="31"/>
      <c r="J760" s="31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</row>
    <row r="761" ht="15.75" customHeight="1">
      <c r="C761" s="31"/>
      <c r="D761" s="32"/>
      <c r="E761" s="32"/>
      <c r="F761" s="31"/>
      <c r="G761" s="32"/>
      <c r="H761" s="31"/>
      <c r="I761" s="31"/>
      <c r="J761" s="31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</row>
    <row r="762" ht="15.75" customHeight="1">
      <c r="C762" s="31"/>
      <c r="D762" s="32"/>
      <c r="E762" s="32"/>
      <c r="F762" s="31"/>
      <c r="G762" s="32"/>
      <c r="H762" s="31"/>
      <c r="I762" s="31"/>
      <c r="J762" s="31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</row>
    <row r="763" ht="15.75" customHeight="1">
      <c r="C763" s="31"/>
      <c r="D763" s="32"/>
      <c r="E763" s="32"/>
      <c r="F763" s="31"/>
      <c r="G763" s="32"/>
      <c r="H763" s="31"/>
      <c r="I763" s="31"/>
      <c r="J763" s="31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</row>
    <row r="764" ht="15.75" customHeight="1">
      <c r="C764" s="31"/>
      <c r="D764" s="32"/>
      <c r="E764" s="32"/>
      <c r="F764" s="31"/>
      <c r="G764" s="32"/>
      <c r="H764" s="31"/>
      <c r="I764" s="31"/>
      <c r="J764" s="31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</row>
    <row r="765" ht="15.75" customHeight="1">
      <c r="C765" s="31"/>
      <c r="D765" s="32"/>
      <c r="E765" s="32"/>
      <c r="F765" s="31"/>
      <c r="G765" s="32"/>
      <c r="H765" s="31"/>
      <c r="I765" s="31"/>
      <c r="J765" s="31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</row>
    <row r="766" ht="15.75" customHeight="1">
      <c r="C766" s="31"/>
      <c r="D766" s="32"/>
      <c r="E766" s="32"/>
      <c r="F766" s="31"/>
      <c r="G766" s="32"/>
      <c r="H766" s="31"/>
      <c r="I766" s="31"/>
      <c r="J766" s="31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</row>
    <row r="767" ht="15.75" customHeight="1">
      <c r="C767" s="31"/>
      <c r="D767" s="32"/>
      <c r="E767" s="32"/>
      <c r="F767" s="31"/>
      <c r="G767" s="32"/>
      <c r="H767" s="31"/>
      <c r="I767" s="31"/>
      <c r="J767" s="31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</row>
    <row r="768" ht="15.75" customHeight="1">
      <c r="C768" s="31"/>
      <c r="D768" s="32"/>
      <c r="E768" s="32"/>
      <c r="F768" s="31"/>
      <c r="G768" s="32"/>
      <c r="H768" s="31"/>
      <c r="I768" s="31"/>
      <c r="J768" s="31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</row>
    <row r="769" ht="15.75" customHeight="1">
      <c r="C769" s="31"/>
      <c r="D769" s="32"/>
      <c r="E769" s="32"/>
      <c r="F769" s="31"/>
      <c r="G769" s="32"/>
      <c r="H769" s="31"/>
      <c r="I769" s="31"/>
      <c r="J769" s="31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</row>
    <row r="770" ht="15.75" customHeight="1">
      <c r="C770" s="31"/>
      <c r="D770" s="32"/>
      <c r="E770" s="32"/>
      <c r="F770" s="31"/>
      <c r="G770" s="32"/>
      <c r="H770" s="31"/>
      <c r="I770" s="31"/>
      <c r="J770" s="31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</row>
    <row r="771" ht="15.75" customHeight="1">
      <c r="C771" s="31"/>
      <c r="D771" s="32"/>
      <c r="E771" s="32"/>
      <c r="F771" s="31"/>
      <c r="G771" s="32"/>
      <c r="H771" s="31"/>
      <c r="I771" s="31"/>
      <c r="J771" s="31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</row>
    <row r="772" ht="15.75" customHeight="1">
      <c r="C772" s="31"/>
      <c r="D772" s="32"/>
      <c r="E772" s="32"/>
      <c r="F772" s="31"/>
      <c r="G772" s="32"/>
      <c r="H772" s="31"/>
      <c r="I772" s="31"/>
      <c r="J772" s="31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</row>
    <row r="773" ht="15.75" customHeight="1">
      <c r="C773" s="31"/>
      <c r="D773" s="32"/>
      <c r="E773" s="32"/>
      <c r="F773" s="31"/>
      <c r="G773" s="32"/>
      <c r="H773" s="31"/>
      <c r="I773" s="31"/>
      <c r="J773" s="31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</row>
    <row r="774" ht="15.75" customHeight="1">
      <c r="C774" s="31"/>
      <c r="D774" s="32"/>
      <c r="E774" s="32"/>
      <c r="F774" s="31"/>
      <c r="G774" s="32"/>
      <c r="H774" s="31"/>
      <c r="I774" s="31"/>
      <c r="J774" s="31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</row>
    <row r="775" ht="15.75" customHeight="1">
      <c r="C775" s="31"/>
      <c r="D775" s="32"/>
      <c r="E775" s="32"/>
      <c r="F775" s="31"/>
      <c r="G775" s="32"/>
      <c r="H775" s="31"/>
      <c r="I775" s="31"/>
      <c r="J775" s="31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</row>
    <row r="776" ht="15.75" customHeight="1">
      <c r="C776" s="31"/>
      <c r="D776" s="32"/>
      <c r="E776" s="32"/>
      <c r="F776" s="31"/>
      <c r="G776" s="32"/>
      <c r="H776" s="31"/>
      <c r="I776" s="31"/>
      <c r="J776" s="31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</row>
    <row r="777" ht="15.75" customHeight="1">
      <c r="C777" s="31"/>
      <c r="D777" s="32"/>
      <c r="E777" s="32"/>
      <c r="F777" s="31"/>
      <c r="G777" s="32"/>
      <c r="H777" s="31"/>
      <c r="I777" s="31"/>
      <c r="J777" s="31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</row>
    <row r="778" ht="15.75" customHeight="1">
      <c r="C778" s="31"/>
      <c r="D778" s="32"/>
      <c r="E778" s="32"/>
      <c r="F778" s="31"/>
      <c r="G778" s="32"/>
      <c r="H778" s="31"/>
      <c r="I778" s="31"/>
      <c r="J778" s="31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</row>
    <row r="779" ht="15.75" customHeight="1">
      <c r="C779" s="31"/>
      <c r="D779" s="32"/>
      <c r="E779" s="32"/>
      <c r="F779" s="31"/>
      <c r="G779" s="32"/>
      <c r="H779" s="31"/>
      <c r="I779" s="31"/>
      <c r="J779" s="31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</row>
    <row r="780" ht="15.75" customHeight="1">
      <c r="C780" s="31"/>
      <c r="D780" s="32"/>
      <c r="E780" s="32"/>
      <c r="F780" s="31"/>
      <c r="G780" s="32"/>
      <c r="H780" s="31"/>
      <c r="I780" s="31"/>
      <c r="J780" s="31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</row>
    <row r="781" ht="15.75" customHeight="1">
      <c r="C781" s="31"/>
      <c r="D781" s="32"/>
      <c r="E781" s="32"/>
      <c r="F781" s="31"/>
      <c r="G781" s="32"/>
      <c r="H781" s="31"/>
      <c r="I781" s="31"/>
      <c r="J781" s="31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</row>
    <row r="782" ht="15.75" customHeight="1">
      <c r="C782" s="31"/>
      <c r="D782" s="32"/>
      <c r="E782" s="32"/>
      <c r="F782" s="31"/>
      <c r="G782" s="32"/>
      <c r="H782" s="31"/>
      <c r="I782" s="31"/>
      <c r="J782" s="31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</row>
    <row r="783" ht="15.75" customHeight="1">
      <c r="C783" s="31"/>
      <c r="D783" s="32"/>
      <c r="E783" s="32"/>
      <c r="F783" s="31"/>
      <c r="G783" s="32"/>
      <c r="H783" s="31"/>
      <c r="I783" s="31"/>
      <c r="J783" s="31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</row>
    <row r="784" ht="15.75" customHeight="1">
      <c r="C784" s="31"/>
      <c r="D784" s="32"/>
      <c r="E784" s="32"/>
      <c r="F784" s="31"/>
      <c r="G784" s="32"/>
      <c r="H784" s="31"/>
      <c r="I784" s="31"/>
      <c r="J784" s="31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</row>
    <row r="785" ht="15.75" customHeight="1">
      <c r="C785" s="31"/>
      <c r="D785" s="32"/>
      <c r="E785" s="32"/>
      <c r="F785" s="31"/>
      <c r="G785" s="32"/>
      <c r="H785" s="31"/>
      <c r="I785" s="31"/>
      <c r="J785" s="31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</row>
    <row r="786" ht="15.75" customHeight="1">
      <c r="C786" s="31"/>
      <c r="D786" s="32"/>
      <c r="E786" s="32"/>
      <c r="F786" s="31"/>
      <c r="G786" s="32"/>
      <c r="H786" s="31"/>
      <c r="I786" s="31"/>
      <c r="J786" s="31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</row>
    <row r="787" ht="15.75" customHeight="1">
      <c r="C787" s="31"/>
      <c r="D787" s="32"/>
      <c r="E787" s="32"/>
      <c r="F787" s="31"/>
      <c r="G787" s="32"/>
      <c r="H787" s="31"/>
      <c r="I787" s="31"/>
      <c r="J787" s="31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</row>
    <row r="788" ht="15.75" customHeight="1">
      <c r="C788" s="31"/>
      <c r="D788" s="32"/>
      <c r="E788" s="32"/>
      <c r="F788" s="31"/>
      <c r="G788" s="32"/>
      <c r="H788" s="31"/>
      <c r="I788" s="31"/>
      <c r="J788" s="31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</row>
    <row r="789" ht="15.75" customHeight="1">
      <c r="C789" s="31"/>
      <c r="D789" s="32"/>
      <c r="E789" s="32"/>
      <c r="F789" s="31"/>
      <c r="G789" s="32"/>
      <c r="H789" s="31"/>
      <c r="I789" s="31"/>
      <c r="J789" s="31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</row>
    <row r="790" ht="15.75" customHeight="1">
      <c r="C790" s="31"/>
      <c r="D790" s="32"/>
      <c r="E790" s="32"/>
      <c r="F790" s="31"/>
      <c r="G790" s="32"/>
      <c r="H790" s="31"/>
      <c r="I790" s="31"/>
      <c r="J790" s="31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</row>
    <row r="791" ht="15.75" customHeight="1">
      <c r="C791" s="31"/>
      <c r="D791" s="32"/>
      <c r="E791" s="32"/>
      <c r="F791" s="31"/>
      <c r="G791" s="32"/>
      <c r="H791" s="31"/>
      <c r="I791" s="31"/>
      <c r="J791" s="31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</row>
    <row r="792" ht="15.75" customHeight="1">
      <c r="C792" s="31"/>
      <c r="D792" s="32"/>
      <c r="E792" s="32"/>
      <c r="F792" s="31"/>
      <c r="G792" s="32"/>
      <c r="H792" s="31"/>
      <c r="I792" s="31"/>
      <c r="J792" s="31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</row>
    <row r="793" ht="15.75" customHeight="1">
      <c r="C793" s="31"/>
      <c r="D793" s="32"/>
      <c r="E793" s="32"/>
      <c r="F793" s="31"/>
      <c r="G793" s="32"/>
      <c r="H793" s="31"/>
      <c r="I793" s="31"/>
      <c r="J793" s="31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</row>
    <row r="794" ht="15.75" customHeight="1">
      <c r="C794" s="31"/>
      <c r="D794" s="32"/>
      <c r="E794" s="32"/>
      <c r="F794" s="31"/>
      <c r="G794" s="32"/>
      <c r="H794" s="31"/>
      <c r="I794" s="31"/>
      <c r="J794" s="31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</row>
    <row r="795" ht="15.75" customHeight="1">
      <c r="C795" s="31"/>
      <c r="D795" s="32"/>
      <c r="E795" s="32"/>
      <c r="F795" s="31"/>
      <c r="G795" s="32"/>
      <c r="H795" s="31"/>
      <c r="I795" s="31"/>
      <c r="J795" s="31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</row>
    <row r="796" ht="15.75" customHeight="1">
      <c r="C796" s="31"/>
      <c r="D796" s="32"/>
      <c r="E796" s="32"/>
      <c r="F796" s="31"/>
      <c r="G796" s="32"/>
      <c r="H796" s="31"/>
      <c r="I796" s="31"/>
      <c r="J796" s="31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</row>
    <row r="797" ht="15.75" customHeight="1">
      <c r="C797" s="31"/>
      <c r="D797" s="32"/>
      <c r="E797" s="32"/>
      <c r="F797" s="31"/>
      <c r="G797" s="32"/>
      <c r="H797" s="31"/>
      <c r="I797" s="31"/>
      <c r="J797" s="31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</row>
    <row r="798" ht="15.75" customHeight="1">
      <c r="C798" s="31"/>
      <c r="D798" s="32"/>
      <c r="E798" s="32"/>
      <c r="F798" s="31"/>
      <c r="G798" s="32"/>
      <c r="H798" s="31"/>
      <c r="I798" s="31"/>
      <c r="J798" s="31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</row>
    <row r="799" ht="15.75" customHeight="1">
      <c r="C799" s="31"/>
      <c r="D799" s="32"/>
      <c r="E799" s="32"/>
      <c r="F799" s="31"/>
      <c r="G799" s="32"/>
      <c r="H799" s="31"/>
      <c r="I799" s="31"/>
      <c r="J799" s="31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</row>
    <row r="800" ht="15.75" customHeight="1">
      <c r="C800" s="31"/>
      <c r="D800" s="32"/>
      <c r="E800" s="32"/>
      <c r="F800" s="31"/>
      <c r="G800" s="32"/>
      <c r="H800" s="31"/>
      <c r="I800" s="31"/>
      <c r="J800" s="31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</row>
    <row r="801" ht="15.75" customHeight="1">
      <c r="C801" s="31"/>
      <c r="D801" s="32"/>
      <c r="E801" s="32"/>
      <c r="F801" s="31"/>
      <c r="G801" s="32"/>
      <c r="H801" s="31"/>
      <c r="I801" s="31"/>
      <c r="J801" s="31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</row>
    <row r="802" ht="15.75" customHeight="1">
      <c r="C802" s="31"/>
      <c r="D802" s="32"/>
      <c r="E802" s="32"/>
      <c r="F802" s="31"/>
      <c r="G802" s="32"/>
      <c r="H802" s="31"/>
      <c r="I802" s="31"/>
      <c r="J802" s="31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</row>
    <row r="803" ht="15.75" customHeight="1">
      <c r="C803" s="31"/>
      <c r="D803" s="32"/>
      <c r="E803" s="32"/>
      <c r="F803" s="31"/>
      <c r="G803" s="32"/>
      <c r="H803" s="31"/>
      <c r="I803" s="31"/>
      <c r="J803" s="31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</row>
    <row r="804" ht="15.75" customHeight="1">
      <c r="C804" s="31"/>
      <c r="D804" s="32"/>
      <c r="E804" s="32"/>
      <c r="F804" s="31"/>
      <c r="G804" s="32"/>
      <c r="H804" s="31"/>
      <c r="I804" s="31"/>
      <c r="J804" s="31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</row>
    <row r="805" ht="15.75" customHeight="1">
      <c r="C805" s="31"/>
      <c r="D805" s="32"/>
      <c r="E805" s="32"/>
      <c r="F805" s="31"/>
      <c r="G805" s="32"/>
      <c r="H805" s="31"/>
      <c r="I805" s="31"/>
      <c r="J805" s="31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</row>
    <row r="806" ht="15.75" customHeight="1">
      <c r="C806" s="31"/>
      <c r="D806" s="32"/>
      <c r="E806" s="32"/>
      <c r="F806" s="31"/>
      <c r="G806" s="32"/>
      <c r="H806" s="31"/>
      <c r="I806" s="31"/>
      <c r="J806" s="31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</row>
    <row r="807" ht="15.75" customHeight="1">
      <c r="C807" s="31"/>
      <c r="D807" s="32"/>
      <c r="E807" s="32"/>
      <c r="F807" s="31"/>
      <c r="G807" s="32"/>
      <c r="H807" s="31"/>
      <c r="I807" s="31"/>
      <c r="J807" s="31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</row>
    <row r="808" ht="15.75" customHeight="1">
      <c r="C808" s="31"/>
      <c r="D808" s="32"/>
      <c r="E808" s="32"/>
      <c r="F808" s="31"/>
      <c r="G808" s="32"/>
      <c r="H808" s="31"/>
      <c r="I808" s="31"/>
      <c r="J808" s="31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</row>
    <row r="809" ht="15.75" customHeight="1">
      <c r="C809" s="31"/>
      <c r="D809" s="32"/>
      <c r="E809" s="32"/>
      <c r="F809" s="31"/>
      <c r="G809" s="32"/>
      <c r="H809" s="31"/>
      <c r="I809" s="31"/>
      <c r="J809" s="31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</row>
    <row r="810" ht="15.75" customHeight="1">
      <c r="C810" s="31"/>
      <c r="D810" s="32"/>
      <c r="E810" s="32"/>
      <c r="F810" s="31"/>
      <c r="G810" s="32"/>
      <c r="H810" s="31"/>
      <c r="I810" s="31"/>
      <c r="J810" s="31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</row>
    <row r="811" ht="15.75" customHeight="1">
      <c r="C811" s="31"/>
      <c r="D811" s="32"/>
      <c r="E811" s="32"/>
      <c r="F811" s="31"/>
      <c r="G811" s="32"/>
      <c r="H811" s="31"/>
      <c r="I811" s="31"/>
      <c r="J811" s="31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</row>
    <row r="812" ht="15.75" customHeight="1">
      <c r="C812" s="31"/>
      <c r="D812" s="32"/>
      <c r="E812" s="32"/>
      <c r="F812" s="31"/>
      <c r="G812" s="32"/>
      <c r="H812" s="31"/>
      <c r="I812" s="31"/>
      <c r="J812" s="31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</row>
    <row r="813" ht="15.75" customHeight="1">
      <c r="C813" s="31"/>
      <c r="D813" s="32"/>
      <c r="E813" s="32"/>
      <c r="F813" s="31"/>
      <c r="G813" s="32"/>
      <c r="H813" s="31"/>
      <c r="I813" s="31"/>
      <c r="J813" s="31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</row>
    <row r="814" ht="15.75" customHeight="1">
      <c r="C814" s="31"/>
      <c r="D814" s="32"/>
      <c r="E814" s="32"/>
      <c r="F814" s="31"/>
      <c r="G814" s="32"/>
      <c r="H814" s="31"/>
      <c r="I814" s="31"/>
      <c r="J814" s="31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</row>
    <row r="815" ht="15.75" customHeight="1">
      <c r="C815" s="31"/>
      <c r="D815" s="32"/>
      <c r="E815" s="32"/>
      <c r="F815" s="31"/>
      <c r="G815" s="32"/>
      <c r="H815" s="31"/>
      <c r="I815" s="31"/>
      <c r="J815" s="31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</row>
    <row r="816" ht="15.75" customHeight="1">
      <c r="C816" s="31"/>
      <c r="D816" s="32"/>
      <c r="E816" s="32"/>
      <c r="F816" s="31"/>
      <c r="G816" s="32"/>
      <c r="H816" s="31"/>
      <c r="I816" s="31"/>
      <c r="J816" s="31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</row>
    <row r="817" ht="15.75" customHeight="1">
      <c r="C817" s="31"/>
      <c r="D817" s="32"/>
      <c r="E817" s="32"/>
      <c r="F817" s="31"/>
      <c r="G817" s="32"/>
      <c r="H817" s="31"/>
      <c r="I817" s="31"/>
      <c r="J817" s="31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</row>
    <row r="818" ht="15.75" customHeight="1">
      <c r="C818" s="31"/>
      <c r="D818" s="32"/>
      <c r="E818" s="32"/>
      <c r="F818" s="31"/>
      <c r="G818" s="32"/>
      <c r="H818" s="31"/>
      <c r="I818" s="31"/>
      <c r="J818" s="31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</row>
    <row r="819" ht="15.75" customHeight="1">
      <c r="C819" s="31"/>
      <c r="D819" s="32"/>
      <c r="E819" s="32"/>
      <c r="F819" s="31"/>
      <c r="G819" s="32"/>
      <c r="H819" s="31"/>
      <c r="I819" s="31"/>
      <c r="J819" s="31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</row>
    <row r="820" ht="15.75" customHeight="1">
      <c r="C820" s="31"/>
      <c r="D820" s="32"/>
      <c r="E820" s="32"/>
      <c r="F820" s="31"/>
      <c r="G820" s="32"/>
      <c r="H820" s="31"/>
      <c r="I820" s="31"/>
      <c r="J820" s="31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</row>
    <row r="821" ht="15.75" customHeight="1">
      <c r="C821" s="31"/>
      <c r="D821" s="32"/>
      <c r="E821" s="32"/>
      <c r="F821" s="31"/>
      <c r="G821" s="32"/>
      <c r="H821" s="31"/>
      <c r="I821" s="31"/>
      <c r="J821" s="31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</row>
    <row r="822" ht="15.75" customHeight="1">
      <c r="C822" s="31"/>
      <c r="D822" s="32"/>
      <c r="E822" s="32"/>
      <c r="F822" s="31"/>
      <c r="G822" s="32"/>
      <c r="H822" s="31"/>
      <c r="I822" s="31"/>
      <c r="J822" s="31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</row>
    <row r="823" ht="15.75" customHeight="1">
      <c r="C823" s="31"/>
      <c r="D823" s="32"/>
      <c r="E823" s="32"/>
      <c r="F823" s="31"/>
      <c r="G823" s="32"/>
      <c r="H823" s="31"/>
      <c r="I823" s="31"/>
      <c r="J823" s="31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</row>
    <row r="824" ht="15.75" customHeight="1">
      <c r="C824" s="31"/>
      <c r="D824" s="32"/>
      <c r="E824" s="32"/>
      <c r="F824" s="31"/>
      <c r="G824" s="32"/>
      <c r="H824" s="31"/>
      <c r="I824" s="31"/>
      <c r="J824" s="31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</row>
    <row r="825" ht="15.75" customHeight="1">
      <c r="C825" s="31"/>
      <c r="D825" s="32"/>
      <c r="E825" s="32"/>
      <c r="F825" s="31"/>
      <c r="G825" s="32"/>
      <c r="H825" s="31"/>
      <c r="I825" s="31"/>
      <c r="J825" s="31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</row>
    <row r="826" ht="15.75" customHeight="1">
      <c r="C826" s="31"/>
      <c r="D826" s="32"/>
      <c r="E826" s="32"/>
      <c r="F826" s="31"/>
      <c r="G826" s="32"/>
      <c r="H826" s="31"/>
      <c r="I826" s="31"/>
      <c r="J826" s="31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</row>
    <row r="827" ht="15.75" customHeight="1">
      <c r="C827" s="31"/>
      <c r="D827" s="32"/>
      <c r="E827" s="32"/>
      <c r="F827" s="31"/>
      <c r="G827" s="32"/>
      <c r="H827" s="31"/>
      <c r="I827" s="31"/>
      <c r="J827" s="31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</row>
    <row r="828" ht="15.75" customHeight="1">
      <c r="C828" s="31"/>
      <c r="D828" s="32"/>
      <c r="E828" s="32"/>
      <c r="F828" s="31"/>
      <c r="G828" s="32"/>
      <c r="H828" s="31"/>
      <c r="I828" s="31"/>
      <c r="J828" s="31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</row>
    <row r="829" ht="15.75" customHeight="1">
      <c r="C829" s="31"/>
      <c r="D829" s="32"/>
      <c r="E829" s="32"/>
      <c r="F829" s="31"/>
      <c r="G829" s="32"/>
      <c r="H829" s="31"/>
      <c r="I829" s="31"/>
      <c r="J829" s="31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</row>
    <row r="830" ht="15.75" customHeight="1">
      <c r="C830" s="31"/>
      <c r="D830" s="32"/>
      <c r="E830" s="32"/>
      <c r="F830" s="31"/>
      <c r="G830" s="32"/>
      <c r="H830" s="31"/>
      <c r="I830" s="31"/>
      <c r="J830" s="31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</row>
    <row r="831" ht="15.75" customHeight="1">
      <c r="C831" s="31"/>
      <c r="D831" s="32"/>
      <c r="E831" s="32"/>
      <c r="F831" s="31"/>
      <c r="G831" s="32"/>
      <c r="H831" s="31"/>
      <c r="I831" s="31"/>
      <c r="J831" s="31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</row>
    <row r="832" ht="15.75" customHeight="1">
      <c r="C832" s="31"/>
      <c r="D832" s="32"/>
      <c r="E832" s="32"/>
      <c r="F832" s="31"/>
      <c r="G832" s="32"/>
      <c r="H832" s="31"/>
      <c r="I832" s="31"/>
      <c r="J832" s="31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</row>
    <row r="833" ht="15.75" customHeight="1">
      <c r="C833" s="31"/>
      <c r="D833" s="32"/>
      <c r="E833" s="32"/>
      <c r="F833" s="31"/>
      <c r="G833" s="32"/>
      <c r="H833" s="31"/>
      <c r="I833" s="31"/>
      <c r="J833" s="31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</row>
    <row r="834" ht="15.75" customHeight="1">
      <c r="C834" s="31"/>
      <c r="D834" s="32"/>
      <c r="E834" s="32"/>
      <c r="F834" s="31"/>
      <c r="G834" s="32"/>
      <c r="H834" s="31"/>
      <c r="I834" s="31"/>
      <c r="J834" s="31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</row>
    <row r="835" ht="15.75" customHeight="1">
      <c r="C835" s="31"/>
      <c r="D835" s="32"/>
      <c r="E835" s="32"/>
      <c r="F835" s="31"/>
      <c r="G835" s="32"/>
      <c r="H835" s="31"/>
      <c r="I835" s="31"/>
      <c r="J835" s="31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</row>
    <row r="836" ht="15.75" customHeight="1">
      <c r="C836" s="31"/>
      <c r="D836" s="32"/>
      <c r="E836" s="32"/>
      <c r="F836" s="31"/>
      <c r="G836" s="32"/>
      <c r="H836" s="31"/>
      <c r="I836" s="31"/>
      <c r="J836" s="31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</row>
    <row r="837" ht="15.75" customHeight="1">
      <c r="C837" s="31"/>
      <c r="D837" s="32"/>
      <c r="E837" s="32"/>
      <c r="F837" s="31"/>
      <c r="G837" s="32"/>
      <c r="H837" s="31"/>
      <c r="I837" s="31"/>
      <c r="J837" s="31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</row>
    <row r="838" ht="15.75" customHeight="1">
      <c r="C838" s="31"/>
      <c r="D838" s="32"/>
      <c r="E838" s="32"/>
      <c r="F838" s="31"/>
      <c r="G838" s="32"/>
      <c r="H838" s="31"/>
      <c r="I838" s="31"/>
      <c r="J838" s="31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</row>
    <row r="839" ht="15.75" customHeight="1">
      <c r="C839" s="31"/>
      <c r="D839" s="32"/>
      <c r="E839" s="32"/>
      <c r="F839" s="31"/>
      <c r="G839" s="32"/>
      <c r="H839" s="31"/>
      <c r="I839" s="31"/>
      <c r="J839" s="31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</row>
    <row r="840" ht="15.75" customHeight="1">
      <c r="C840" s="31"/>
      <c r="D840" s="32"/>
      <c r="E840" s="32"/>
      <c r="F840" s="31"/>
      <c r="G840" s="32"/>
      <c r="H840" s="31"/>
      <c r="I840" s="31"/>
      <c r="J840" s="31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</row>
    <row r="841" ht="15.75" customHeight="1">
      <c r="C841" s="31"/>
      <c r="D841" s="32"/>
      <c r="E841" s="32"/>
      <c r="F841" s="31"/>
      <c r="G841" s="32"/>
      <c r="H841" s="31"/>
      <c r="I841" s="31"/>
      <c r="J841" s="31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</row>
    <row r="842" ht="15.75" customHeight="1">
      <c r="C842" s="31"/>
      <c r="D842" s="32"/>
      <c r="E842" s="32"/>
      <c r="F842" s="31"/>
      <c r="G842" s="32"/>
      <c r="H842" s="31"/>
      <c r="I842" s="31"/>
      <c r="J842" s="31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</row>
    <row r="843" ht="15.75" customHeight="1">
      <c r="C843" s="31"/>
      <c r="D843" s="32"/>
      <c r="E843" s="32"/>
      <c r="F843" s="31"/>
      <c r="G843" s="32"/>
      <c r="H843" s="31"/>
      <c r="I843" s="31"/>
      <c r="J843" s="31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</row>
    <row r="844" ht="15.75" customHeight="1">
      <c r="C844" s="31"/>
      <c r="D844" s="32"/>
      <c r="E844" s="32"/>
      <c r="F844" s="31"/>
      <c r="G844" s="32"/>
      <c r="H844" s="31"/>
      <c r="I844" s="31"/>
      <c r="J844" s="31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</row>
    <row r="845" ht="15.75" customHeight="1">
      <c r="C845" s="31"/>
      <c r="D845" s="32"/>
      <c r="E845" s="32"/>
      <c r="F845" s="31"/>
      <c r="G845" s="32"/>
      <c r="H845" s="31"/>
      <c r="I845" s="31"/>
      <c r="J845" s="31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</row>
    <row r="846" ht="15.75" customHeight="1">
      <c r="C846" s="31"/>
      <c r="D846" s="32"/>
      <c r="E846" s="32"/>
      <c r="F846" s="31"/>
      <c r="G846" s="32"/>
      <c r="H846" s="31"/>
      <c r="I846" s="31"/>
      <c r="J846" s="31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</row>
    <row r="847" ht="15.75" customHeight="1">
      <c r="C847" s="31"/>
      <c r="D847" s="32"/>
      <c r="E847" s="32"/>
      <c r="F847" s="31"/>
      <c r="G847" s="32"/>
      <c r="H847" s="31"/>
      <c r="I847" s="31"/>
      <c r="J847" s="31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</row>
    <row r="848" ht="15.75" customHeight="1">
      <c r="C848" s="31"/>
      <c r="D848" s="32"/>
      <c r="E848" s="32"/>
      <c r="F848" s="31"/>
      <c r="G848" s="32"/>
      <c r="H848" s="31"/>
      <c r="I848" s="31"/>
      <c r="J848" s="31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</row>
    <row r="849" ht="15.75" customHeight="1">
      <c r="C849" s="31"/>
      <c r="D849" s="32"/>
      <c r="E849" s="32"/>
      <c r="F849" s="31"/>
      <c r="G849" s="32"/>
      <c r="H849" s="31"/>
      <c r="I849" s="31"/>
      <c r="J849" s="31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</row>
    <row r="850" ht="15.75" customHeight="1">
      <c r="C850" s="31"/>
      <c r="D850" s="32"/>
      <c r="E850" s="32"/>
      <c r="F850" s="31"/>
      <c r="G850" s="32"/>
      <c r="H850" s="31"/>
      <c r="I850" s="31"/>
      <c r="J850" s="31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</row>
    <row r="851" ht="15.75" customHeight="1">
      <c r="C851" s="31"/>
      <c r="D851" s="32"/>
      <c r="E851" s="32"/>
      <c r="F851" s="31"/>
      <c r="G851" s="32"/>
      <c r="H851" s="31"/>
      <c r="I851" s="31"/>
      <c r="J851" s="31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</row>
    <row r="852" ht="15.75" customHeight="1">
      <c r="C852" s="31"/>
      <c r="D852" s="32"/>
      <c r="E852" s="32"/>
      <c r="F852" s="31"/>
      <c r="G852" s="32"/>
      <c r="H852" s="31"/>
      <c r="I852" s="31"/>
      <c r="J852" s="31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</row>
    <row r="853" ht="15.75" customHeight="1">
      <c r="C853" s="31"/>
      <c r="D853" s="32"/>
      <c r="E853" s="32"/>
      <c r="F853" s="31"/>
      <c r="G853" s="32"/>
      <c r="H853" s="31"/>
      <c r="I853" s="31"/>
      <c r="J853" s="31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</row>
    <row r="854" ht="15.75" customHeight="1">
      <c r="C854" s="31"/>
      <c r="D854" s="32"/>
      <c r="E854" s="32"/>
      <c r="F854" s="31"/>
      <c r="G854" s="32"/>
      <c r="H854" s="31"/>
      <c r="I854" s="31"/>
      <c r="J854" s="31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</row>
    <row r="855" ht="15.75" customHeight="1">
      <c r="C855" s="31"/>
      <c r="D855" s="32"/>
      <c r="E855" s="32"/>
      <c r="F855" s="31"/>
      <c r="G855" s="32"/>
      <c r="H855" s="31"/>
      <c r="I855" s="31"/>
      <c r="J855" s="31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</row>
    <row r="856" ht="15.75" customHeight="1">
      <c r="C856" s="31"/>
      <c r="D856" s="32"/>
      <c r="E856" s="32"/>
      <c r="F856" s="31"/>
      <c r="G856" s="32"/>
      <c r="H856" s="31"/>
      <c r="I856" s="31"/>
      <c r="J856" s="31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</row>
    <row r="857" ht="15.75" customHeight="1">
      <c r="C857" s="31"/>
      <c r="D857" s="32"/>
      <c r="E857" s="32"/>
      <c r="F857" s="31"/>
      <c r="G857" s="32"/>
      <c r="H857" s="31"/>
      <c r="I857" s="31"/>
      <c r="J857" s="31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</row>
    <row r="858" ht="15.75" customHeight="1">
      <c r="C858" s="31"/>
      <c r="D858" s="32"/>
      <c r="E858" s="32"/>
      <c r="F858" s="31"/>
      <c r="G858" s="32"/>
      <c r="H858" s="31"/>
      <c r="I858" s="31"/>
      <c r="J858" s="31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</row>
    <row r="859" ht="15.75" customHeight="1">
      <c r="C859" s="31"/>
      <c r="D859" s="32"/>
      <c r="E859" s="32"/>
      <c r="F859" s="31"/>
      <c r="G859" s="32"/>
      <c r="H859" s="31"/>
      <c r="I859" s="31"/>
      <c r="J859" s="31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</row>
    <row r="860" ht="15.75" customHeight="1">
      <c r="C860" s="31"/>
      <c r="D860" s="32"/>
      <c r="E860" s="32"/>
      <c r="F860" s="31"/>
      <c r="G860" s="32"/>
      <c r="H860" s="31"/>
      <c r="I860" s="31"/>
      <c r="J860" s="31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</row>
    <row r="861" ht="15.75" customHeight="1">
      <c r="C861" s="31"/>
      <c r="D861" s="32"/>
      <c r="E861" s="32"/>
      <c r="F861" s="31"/>
      <c r="G861" s="32"/>
      <c r="H861" s="31"/>
      <c r="I861" s="31"/>
      <c r="J861" s="31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</row>
    <row r="862" ht="15.75" customHeight="1">
      <c r="C862" s="31"/>
      <c r="D862" s="32"/>
      <c r="E862" s="32"/>
      <c r="F862" s="31"/>
      <c r="G862" s="32"/>
      <c r="H862" s="31"/>
      <c r="I862" s="31"/>
      <c r="J862" s="31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</row>
    <row r="863" ht="15.75" customHeight="1">
      <c r="C863" s="31"/>
      <c r="D863" s="32"/>
      <c r="E863" s="32"/>
      <c r="F863" s="31"/>
      <c r="G863" s="32"/>
      <c r="H863" s="31"/>
      <c r="I863" s="31"/>
      <c r="J863" s="31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</row>
    <row r="864" ht="15.75" customHeight="1">
      <c r="C864" s="31"/>
      <c r="D864" s="32"/>
      <c r="E864" s="32"/>
      <c r="F864" s="31"/>
      <c r="G864" s="32"/>
      <c r="H864" s="31"/>
      <c r="I864" s="31"/>
      <c r="J864" s="31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</row>
    <row r="865" ht="15.75" customHeight="1">
      <c r="C865" s="31"/>
      <c r="D865" s="32"/>
      <c r="E865" s="32"/>
      <c r="F865" s="31"/>
      <c r="G865" s="32"/>
      <c r="H865" s="31"/>
      <c r="I865" s="31"/>
      <c r="J865" s="31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</row>
    <row r="866" ht="15.75" customHeight="1">
      <c r="C866" s="31"/>
      <c r="D866" s="32"/>
      <c r="E866" s="32"/>
      <c r="F866" s="31"/>
      <c r="G866" s="32"/>
      <c r="H866" s="31"/>
      <c r="I866" s="31"/>
      <c r="J866" s="31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</row>
    <row r="867" ht="15.75" customHeight="1">
      <c r="C867" s="31"/>
      <c r="D867" s="32"/>
      <c r="E867" s="32"/>
      <c r="F867" s="31"/>
      <c r="G867" s="32"/>
      <c r="H867" s="31"/>
      <c r="I867" s="31"/>
      <c r="J867" s="31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</row>
    <row r="868" ht="15.75" customHeight="1">
      <c r="C868" s="31"/>
      <c r="D868" s="32"/>
      <c r="E868" s="32"/>
      <c r="F868" s="31"/>
      <c r="G868" s="32"/>
      <c r="H868" s="31"/>
      <c r="I868" s="31"/>
      <c r="J868" s="31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</row>
    <row r="869" ht="15.75" customHeight="1">
      <c r="C869" s="31"/>
      <c r="D869" s="32"/>
      <c r="E869" s="32"/>
      <c r="F869" s="31"/>
      <c r="G869" s="32"/>
      <c r="H869" s="31"/>
      <c r="I869" s="31"/>
      <c r="J869" s="31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</row>
    <row r="870" ht="15.75" customHeight="1">
      <c r="C870" s="31"/>
      <c r="D870" s="32"/>
      <c r="E870" s="32"/>
      <c r="F870" s="31"/>
      <c r="G870" s="32"/>
      <c r="H870" s="31"/>
      <c r="I870" s="31"/>
      <c r="J870" s="31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</row>
    <row r="871" ht="15.75" customHeight="1">
      <c r="C871" s="31"/>
      <c r="D871" s="32"/>
      <c r="E871" s="32"/>
      <c r="F871" s="31"/>
      <c r="G871" s="32"/>
      <c r="H871" s="31"/>
      <c r="I871" s="31"/>
      <c r="J871" s="31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</row>
    <row r="872" ht="15.75" customHeight="1">
      <c r="C872" s="31"/>
      <c r="D872" s="32"/>
      <c r="E872" s="32"/>
      <c r="F872" s="31"/>
      <c r="G872" s="32"/>
      <c r="H872" s="31"/>
      <c r="I872" s="31"/>
      <c r="J872" s="31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</row>
    <row r="873" ht="15.75" customHeight="1">
      <c r="C873" s="31"/>
      <c r="D873" s="32"/>
      <c r="E873" s="32"/>
      <c r="F873" s="31"/>
      <c r="G873" s="32"/>
      <c r="H873" s="31"/>
      <c r="I873" s="31"/>
      <c r="J873" s="31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</row>
    <row r="874" ht="15.75" customHeight="1">
      <c r="C874" s="31"/>
      <c r="D874" s="32"/>
      <c r="E874" s="32"/>
      <c r="F874" s="31"/>
      <c r="G874" s="32"/>
      <c r="H874" s="31"/>
      <c r="I874" s="31"/>
      <c r="J874" s="31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</row>
    <row r="875" ht="15.75" customHeight="1">
      <c r="C875" s="31"/>
      <c r="D875" s="32"/>
      <c r="E875" s="32"/>
      <c r="F875" s="31"/>
      <c r="G875" s="32"/>
      <c r="H875" s="31"/>
      <c r="I875" s="31"/>
      <c r="J875" s="31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</row>
    <row r="876" ht="15.75" customHeight="1">
      <c r="C876" s="31"/>
      <c r="D876" s="32"/>
      <c r="E876" s="32"/>
      <c r="F876" s="31"/>
      <c r="G876" s="32"/>
      <c r="H876" s="31"/>
      <c r="I876" s="31"/>
      <c r="J876" s="31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</row>
    <row r="877" ht="15.75" customHeight="1">
      <c r="C877" s="31"/>
      <c r="D877" s="32"/>
      <c r="E877" s="32"/>
      <c r="F877" s="31"/>
      <c r="G877" s="32"/>
      <c r="H877" s="31"/>
      <c r="I877" s="31"/>
      <c r="J877" s="31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</row>
    <row r="878" ht="15.75" customHeight="1">
      <c r="C878" s="31"/>
      <c r="D878" s="32"/>
      <c r="E878" s="32"/>
      <c r="F878" s="31"/>
      <c r="G878" s="32"/>
      <c r="H878" s="31"/>
      <c r="I878" s="31"/>
      <c r="J878" s="31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</row>
    <row r="879" ht="15.75" customHeight="1">
      <c r="C879" s="31"/>
      <c r="D879" s="32"/>
      <c r="E879" s="32"/>
      <c r="F879" s="31"/>
      <c r="G879" s="32"/>
      <c r="H879" s="31"/>
      <c r="I879" s="31"/>
      <c r="J879" s="31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</row>
    <row r="880" ht="15.75" customHeight="1">
      <c r="C880" s="31"/>
      <c r="D880" s="32"/>
      <c r="E880" s="32"/>
      <c r="F880" s="31"/>
      <c r="G880" s="32"/>
      <c r="H880" s="31"/>
      <c r="I880" s="31"/>
      <c r="J880" s="31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</row>
    <row r="881" ht="15.75" customHeight="1">
      <c r="C881" s="31"/>
      <c r="D881" s="32"/>
      <c r="E881" s="32"/>
      <c r="F881" s="31"/>
      <c r="G881" s="32"/>
      <c r="H881" s="31"/>
      <c r="I881" s="31"/>
      <c r="J881" s="31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</row>
    <row r="882" ht="15.75" customHeight="1">
      <c r="C882" s="31"/>
      <c r="D882" s="32"/>
      <c r="E882" s="32"/>
      <c r="F882" s="31"/>
      <c r="G882" s="32"/>
      <c r="H882" s="31"/>
      <c r="I882" s="31"/>
      <c r="J882" s="31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</row>
    <row r="883" ht="15.75" customHeight="1">
      <c r="C883" s="31"/>
      <c r="D883" s="32"/>
      <c r="E883" s="32"/>
      <c r="F883" s="31"/>
      <c r="G883" s="32"/>
      <c r="H883" s="31"/>
      <c r="I883" s="31"/>
      <c r="J883" s="31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</row>
    <row r="884" ht="15.75" customHeight="1">
      <c r="C884" s="31"/>
      <c r="D884" s="32"/>
      <c r="E884" s="32"/>
      <c r="F884" s="31"/>
      <c r="G884" s="32"/>
      <c r="H884" s="31"/>
      <c r="I884" s="31"/>
      <c r="J884" s="31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</row>
    <row r="885" ht="15.75" customHeight="1">
      <c r="C885" s="31"/>
      <c r="D885" s="32"/>
      <c r="E885" s="32"/>
      <c r="F885" s="31"/>
      <c r="G885" s="32"/>
      <c r="H885" s="31"/>
      <c r="I885" s="31"/>
      <c r="J885" s="31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</row>
    <row r="886" ht="15.75" customHeight="1">
      <c r="C886" s="31"/>
      <c r="D886" s="32"/>
      <c r="E886" s="32"/>
      <c r="F886" s="31"/>
      <c r="G886" s="32"/>
      <c r="H886" s="31"/>
      <c r="I886" s="31"/>
      <c r="J886" s="31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</row>
    <row r="887" ht="15.75" customHeight="1">
      <c r="C887" s="31"/>
      <c r="D887" s="32"/>
      <c r="E887" s="32"/>
      <c r="F887" s="31"/>
      <c r="G887" s="32"/>
      <c r="H887" s="31"/>
      <c r="I887" s="31"/>
      <c r="J887" s="31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</row>
    <row r="888" ht="15.75" customHeight="1">
      <c r="C888" s="31"/>
      <c r="D888" s="32"/>
      <c r="E888" s="32"/>
      <c r="F888" s="31"/>
      <c r="G888" s="32"/>
      <c r="H888" s="31"/>
      <c r="I888" s="31"/>
      <c r="J888" s="31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</row>
    <row r="889" ht="15.75" customHeight="1">
      <c r="C889" s="31"/>
      <c r="D889" s="32"/>
      <c r="E889" s="32"/>
      <c r="F889" s="31"/>
      <c r="G889" s="32"/>
      <c r="H889" s="31"/>
      <c r="I889" s="31"/>
      <c r="J889" s="31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</row>
    <row r="890" ht="15.75" customHeight="1">
      <c r="C890" s="31"/>
      <c r="D890" s="32"/>
      <c r="E890" s="32"/>
      <c r="F890" s="31"/>
      <c r="G890" s="32"/>
      <c r="H890" s="31"/>
      <c r="I890" s="31"/>
      <c r="J890" s="31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</row>
    <row r="891" ht="15.75" customHeight="1">
      <c r="C891" s="31"/>
      <c r="D891" s="32"/>
      <c r="E891" s="32"/>
      <c r="F891" s="31"/>
      <c r="G891" s="32"/>
      <c r="H891" s="31"/>
      <c r="I891" s="31"/>
      <c r="J891" s="31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</row>
    <row r="892" ht="15.75" customHeight="1">
      <c r="C892" s="31"/>
      <c r="D892" s="32"/>
      <c r="E892" s="32"/>
      <c r="F892" s="31"/>
      <c r="G892" s="32"/>
      <c r="H892" s="31"/>
      <c r="I892" s="31"/>
      <c r="J892" s="31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</row>
    <row r="893" ht="15.75" customHeight="1">
      <c r="C893" s="31"/>
      <c r="D893" s="32"/>
      <c r="E893" s="32"/>
      <c r="F893" s="31"/>
      <c r="G893" s="32"/>
      <c r="H893" s="31"/>
      <c r="I893" s="31"/>
      <c r="J893" s="31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</row>
    <row r="894" ht="15.75" customHeight="1">
      <c r="C894" s="31"/>
      <c r="D894" s="32"/>
      <c r="E894" s="32"/>
      <c r="F894" s="31"/>
      <c r="G894" s="32"/>
      <c r="H894" s="31"/>
      <c r="I894" s="31"/>
      <c r="J894" s="31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</row>
    <row r="895" ht="15.75" customHeight="1">
      <c r="C895" s="31"/>
      <c r="D895" s="32"/>
      <c r="E895" s="32"/>
      <c r="F895" s="31"/>
      <c r="G895" s="32"/>
      <c r="H895" s="31"/>
      <c r="I895" s="31"/>
      <c r="J895" s="31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</row>
    <row r="896" ht="15.75" customHeight="1">
      <c r="C896" s="31"/>
      <c r="D896" s="32"/>
      <c r="E896" s="32"/>
      <c r="F896" s="31"/>
      <c r="G896" s="32"/>
      <c r="H896" s="31"/>
      <c r="I896" s="31"/>
      <c r="J896" s="31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</row>
    <row r="897" ht="15.75" customHeight="1">
      <c r="C897" s="31"/>
      <c r="D897" s="32"/>
      <c r="E897" s="32"/>
      <c r="F897" s="31"/>
      <c r="G897" s="32"/>
      <c r="H897" s="31"/>
      <c r="I897" s="31"/>
      <c r="J897" s="31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</row>
    <row r="898" ht="15.75" customHeight="1">
      <c r="C898" s="31"/>
      <c r="D898" s="32"/>
      <c r="E898" s="32"/>
      <c r="F898" s="31"/>
      <c r="G898" s="32"/>
      <c r="H898" s="31"/>
      <c r="I898" s="31"/>
      <c r="J898" s="31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</row>
    <row r="899" ht="15.75" customHeight="1">
      <c r="C899" s="31"/>
      <c r="D899" s="32"/>
      <c r="E899" s="32"/>
      <c r="F899" s="31"/>
      <c r="G899" s="32"/>
      <c r="H899" s="31"/>
      <c r="I899" s="31"/>
      <c r="J899" s="31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</row>
    <row r="900" ht="15.75" customHeight="1">
      <c r="C900" s="31"/>
      <c r="D900" s="32"/>
      <c r="E900" s="32"/>
      <c r="F900" s="31"/>
      <c r="G900" s="32"/>
      <c r="H900" s="31"/>
      <c r="I900" s="31"/>
      <c r="J900" s="31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</row>
    <row r="901" ht="15.75" customHeight="1">
      <c r="C901" s="31"/>
      <c r="D901" s="32"/>
      <c r="E901" s="32"/>
      <c r="F901" s="31"/>
      <c r="G901" s="32"/>
      <c r="H901" s="31"/>
      <c r="I901" s="31"/>
      <c r="J901" s="31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</row>
    <row r="902" ht="15.75" customHeight="1">
      <c r="C902" s="31"/>
      <c r="D902" s="32"/>
      <c r="E902" s="32"/>
      <c r="F902" s="31"/>
      <c r="G902" s="32"/>
      <c r="H902" s="31"/>
      <c r="I902" s="31"/>
      <c r="J902" s="31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</row>
    <row r="903" ht="15.75" customHeight="1">
      <c r="C903" s="31"/>
      <c r="D903" s="32"/>
      <c r="E903" s="32"/>
      <c r="F903" s="31"/>
      <c r="G903" s="32"/>
      <c r="H903" s="31"/>
      <c r="I903" s="31"/>
      <c r="J903" s="31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</row>
    <row r="904" ht="15.75" customHeight="1">
      <c r="C904" s="31"/>
      <c r="D904" s="32"/>
      <c r="E904" s="32"/>
      <c r="F904" s="31"/>
      <c r="G904" s="32"/>
      <c r="H904" s="31"/>
      <c r="I904" s="31"/>
      <c r="J904" s="31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</row>
    <row r="905" ht="15.75" customHeight="1">
      <c r="C905" s="31"/>
      <c r="D905" s="32"/>
      <c r="E905" s="32"/>
      <c r="F905" s="31"/>
      <c r="G905" s="32"/>
      <c r="H905" s="31"/>
      <c r="I905" s="31"/>
      <c r="J905" s="31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</row>
    <row r="906" ht="15.75" customHeight="1">
      <c r="C906" s="31"/>
      <c r="D906" s="32"/>
      <c r="E906" s="32"/>
      <c r="F906" s="31"/>
      <c r="G906" s="32"/>
      <c r="H906" s="31"/>
      <c r="I906" s="31"/>
      <c r="J906" s="31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</row>
    <row r="907" ht="15.75" customHeight="1">
      <c r="C907" s="31"/>
      <c r="D907" s="32"/>
      <c r="E907" s="32"/>
      <c r="F907" s="31"/>
      <c r="G907" s="32"/>
      <c r="H907" s="31"/>
      <c r="I907" s="31"/>
      <c r="J907" s="31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</row>
    <row r="908" ht="15.75" customHeight="1">
      <c r="C908" s="31"/>
      <c r="D908" s="32"/>
      <c r="E908" s="32"/>
      <c r="F908" s="31"/>
      <c r="G908" s="32"/>
      <c r="H908" s="31"/>
      <c r="I908" s="31"/>
      <c r="J908" s="31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</row>
    <row r="909" ht="15.75" customHeight="1">
      <c r="C909" s="31"/>
      <c r="D909" s="32"/>
      <c r="E909" s="32"/>
      <c r="F909" s="31"/>
      <c r="G909" s="32"/>
      <c r="H909" s="31"/>
      <c r="I909" s="31"/>
      <c r="J909" s="31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</row>
    <row r="910" ht="15.75" customHeight="1">
      <c r="C910" s="31"/>
      <c r="D910" s="32"/>
      <c r="E910" s="32"/>
      <c r="F910" s="31"/>
      <c r="G910" s="32"/>
      <c r="H910" s="31"/>
      <c r="I910" s="31"/>
      <c r="J910" s="31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</row>
    <row r="911" ht="15.75" customHeight="1">
      <c r="C911" s="31"/>
      <c r="D911" s="32"/>
      <c r="E911" s="32"/>
      <c r="F911" s="31"/>
      <c r="G911" s="32"/>
      <c r="H911" s="31"/>
      <c r="I911" s="31"/>
      <c r="J911" s="31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</row>
    <row r="912" ht="15.75" customHeight="1">
      <c r="C912" s="31"/>
      <c r="D912" s="32"/>
      <c r="E912" s="32"/>
      <c r="F912" s="31"/>
      <c r="G912" s="32"/>
      <c r="H912" s="31"/>
      <c r="I912" s="31"/>
      <c r="J912" s="31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</row>
    <row r="913" ht="15.75" customHeight="1">
      <c r="C913" s="31"/>
      <c r="D913" s="32"/>
      <c r="E913" s="32"/>
      <c r="F913" s="31"/>
      <c r="G913" s="32"/>
      <c r="H913" s="31"/>
      <c r="I913" s="31"/>
      <c r="J913" s="31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</row>
    <row r="914" ht="15.75" customHeight="1">
      <c r="C914" s="31"/>
      <c r="D914" s="32"/>
      <c r="E914" s="32"/>
      <c r="F914" s="31"/>
      <c r="G914" s="32"/>
      <c r="H914" s="31"/>
      <c r="I914" s="31"/>
      <c r="J914" s="31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</row>
    <row r="915" ht="15.75" customHeight="1">
      <c r="C915" s="31"/>
      <c r="D915" s="32"/>
      <c r="E915" s="32"/>
      <c r="F915" s="31"/>
      <c r="G915" s="32"/>
      <c r="H915" s="31"/>
      <c r="I915" s="31"/>
      <c r="J915" s="31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</row>
    <row r="916" ht="15.75" customHeight="1">
      <c r="C916" s="31"/>
      <c r="D916" s="32"/>
      <c r="E916" s="32"/>
      <c r="F916" s="31"/>
      <c r="G916" s="32"/>
      <c r="H916" s="31"/>
      <c r="I916" s="31"/>
      <c r="J916" s="31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</row>
    <row r="917" ht="15.75" customHeight="1">
      <c r="C917" s="31"/>
      <c r="D917" s="32"/>
      <c r="E917" s="32"/>
      <c r="F917" s="31"/>
      <c r="G917" s="32"/>
      <c r="H917" s="31"/>
      <c r="I917" s="31"/>
      <c r="J917" s="31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</row>
    <row r="918" ht="15.75" customHeight="1">
      <c r="C918" s="31"/>
      <c r="D918" s="32"/>
      <c r="E918" s="32"/>
      <c r="F918" s="31"/>
      <c r="G918" s="32"/>
      <c r="H918" s="31"/>
      <c r="I918" s="31"/>
      <c r="J918" s="31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</row>
    <row r="919" ht="15.75" customHeight="1">
      <c r="C919" s="31"/>
      <c r="D919" s="32"/>
      <c r="E919" s="32"/>
      <c r="F919" s="31"/>
      <c r="G919" s="32"/>
      <c r="H919" s="31"/>
      <c r="I919" s="31"/>
      <c r="J919" s="31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</row>
    <row r="920" ht="15.75" customHeight="1">
      <c r="C920" s="31"/>
      <c r="D920" s="32"/>
      <c r="E920" s="32"/>
      <c r="F920" s="31"/>
      <c r="G920" s="32"/>
      <c r="H920" s="31"/>
      <c r="I920" s="31"/>
      <c r="J920" s="31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</row>
    <row r="921" ht="15.75" customHeight="1">
      <c r="C921" s="31"/>
      <c r="D921" s="32"/>
      <c r="E921" s="32"/>
      <c r="F921" s="31"/>
      <c r="G921" s="32"/>
      <c r="H921" s="31"/>
      <c r="I921" s="31"/>
      <c r="J921" s="31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</row>
    <row r="922" ht="15.75" customHeight="1">
      <c r="C922" s="31"/>
      <c r="D922" s="32"/>
      <c r="E922" s="32"/>
      <c r="F922" s="31"/>
      <c r="G922" s="32"/>
      <c r="H922" s="31"/>
      <c r="I922" s="31"/>
      <c r="J922" s="31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</row>
    <row r="923" ht="15.75" customHeight="1">
      <c r="C923" s="31"/>
      <c r="D923" s="32"/>
      <c r="E923" s="32"/>
      <c r="F923" s="31"/>
      <c r="G923" s="32"/>
      <c r="H923" s="31"/>
      <c r="I923" s="31"/>
      <c r="J923" s="31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</row>
    <row r="924" ht="15.75" customHeight="1">
      <c r="C924" s="31"/>
      <c r="D924" s="32"/>
      <c r="E924" s="32"/>
      <c r="F924" s="31"/>
      <c r="G924" s="32"/>
      <c r="H924" s="31"/>
      <c r="I924" s="31"/>
      <c r="J924" s="31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</row>
    <row r="925" ht="15.75" customHeight="1">
      <c r="C925" s="31"/>
      <c r="D925" s="32"/>
      <c r="E925" s="32"/>
      <c r="F925" s="31"/>
      <c r="G925" s="32"/>
      <c r="H925" s="31"/>
      <c r="I925" s="31"/>
      <c r="J925" s="31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</row>
    <row r="926" ht="15.75" customHeight="1">
      <c r="C926" s="31"/>
      <c r="D926" s="32"/>
      <c r="E926" s="32"/>
      <c r="F926" s="31"/>
      <c r="G926" s="32"/>
      <c r="H926" s="31"/>
      <c r="I926" s="31"/>
      <c r="J926" s="31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</row>
    <row r="927" ht="15.75" customHeight="1">
      <c r="C927" s="31"/>
      <c r="D927" s="32"/>
      <c r="E927" s="32"/>
      <c r="F927" s="31"/>
      <c r="G927" s="32"/>
      <c r="H927" s="31"/>
      <c r="I927" s="31"/>
      <c r="J927" s="31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</row>
    <row r="928" ht="15.75" customHeight="1">
      <c r="C928" s="31"/>
      <c r="D928" s="32"/>
      <c r="E928" s="32"/>
      <c r="F928" s="31"/>
      <c r="G928" s="32"/>
      <c r="H928" s="31"/>
      <c r="I928" s="31"/>
      <c r="J928" s="31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</row>
    <row r="929" ht="15.75" customHeight="1">
      <c r="C929" s="31"/>
      <c r="D929" s="32"/>
      <c r="E929" s="32"/>
      <c r="F929" s="31"/>
      <c r="G929" s="32"/>
      <c r="H929" s="31"/>
      <c r="I929" s="31"/>
      <c r="J929" s="31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</row>
    <row r="930" ht="15.75" customHeight="1">
      <c r="C930" s="31"/>
      <c r="D930" s="32"/>
      <c r="E930" s="32"/>
      <c r="F930" s="31"/>
      <c r="G930" s="32"/>
      <c r="H930" s="31"/>
      <c r="I930" s="31"/>
      <c r="J930" s="31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</row>
    <row r="931" ht="15.75" customHeight="1">
      <c r="C931" s="31"/>
      <c r="D931" s="32"/>
      <c r="E931" s="32"/>
      <c r="F931" s="31"/>
      <c r="G931" s="32"/>
      <c r="H931" s="31"/>
      <c r="I931" s="31"/>
      <c r="J931" s="31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</row>
    <row r="932" ht="15.75" customHeight="1">
      <c r="C932" s="31"/>
      <c r="D932" s="32"/>
      <c r="E932" s="32"/>
      <c r="F932" s="31"/>
      <c r="G932" s="32"/>
      <c r="H932" s="31"/>
      <c r="I932" s="31"/>
      <c r="J932" s="31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</row>
    <row r="933" ht="15.75" customHeight="1">
      <c r="C933" s="31"/>
      <c r="D933" s="32"/>
      <c r="E933" s="32"/>
      <c r="F933" s="31"/>
      <c r="G933" s="32"/>
      <c r="H933" s="31"/>
      <c r="I933" s="31"/>
      <c r="J933" s="31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</row>
    <row r="934" ht="15.75" customHeight="1">
      <c r="C934" s="31"/>
      <c r="D934" s="32"/>
      <c r="E934" s="32"/>
      <c r="F934" s="31"/>
      <c r="G934" s="32"/>
      <c r="H934" s="31"/>
      <c r="I934" s="31"/>
      <c r="J934" s="31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</row>
    <row r="935" ht="15.75" customHeight="1">
      <c r="C935" s="31"/>
      <c r="D935" s="32"/>
      <c r="E935" s="32"/>
      <c r="F935" s="31"/>
      <c r="G935" s="32"/>
      <c r="H935" s="31"/>
      <c r="I935" s="31"/>
      <c r="J935" s="31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</row>
    <row r="936" ht="15.75" customHeight="1">
      <c r="C936" s="31"/>
      <c r="D936" s="32"/>
      <c r="E936" s="32"/>
      <c r="F936" s="31"/>
      <c r="G936" s="32"/>
      <c r="H936" s="31"/>
      <c r="I936" s="31"/>
      <c r="J936" s="31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</row>
    <row r="937" ht="15.75" customHeight="1">
      <c r="C937" s="31"/>
      <c r="D937" s="32"/>
      <c r="E937" s="32"/>
      <c r="F937" s="31"/>
      <c r="G937" s="32"/>
      <c r="H937" s="31"/>
      <c r="I937" s="31"/>
      <c r="J937" s="31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</row>
    <row r="938" ht="15.75" customHeight="1">
      <c r="C938" s="31"/>
      <c r="D938" s="32"/>
      <c r="E938" s="32"/>
      <c r="F938" s="31"/>
      <c r="G938" s="32"/>
      <c r="H938" s="31"/>
      <c r="I938" s="31"/>
      <c r="J938" s="31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</row>
    <row r="939" ht="15.75" customHeight="1">
      <c r="C939" s="31"/>
      <c r="D939" s="32"/>
      <c r="E939" s="32"/>
      <c r="F939" s="31"/>
      <c r="G939" s="32"/>
      <c r="H939" s="31"/>
      <c r="I939" s="31"/>
      <c r="J939" s="31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</row>
    <row r="940" ht="15.75" customHeight="1">
      <c r="C940" s="31"/>
      <c r="D940" s="32"/>
      <c r="E940" s="32"/>
      <c r="F940" s="31"/>
      <c r="G940" s="32"/>
      <c r="H940" s="31"/>
      <c r="I940" s="31"/>
      <c r="J940" s="31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</row>
    <row r="941" ht="15.75" customHeight="1">
      <c r="C941" s="31"/>
      <c r="D941" s="32"/>
      <c r="E941" s="32"/>
      <c r="F941" s="31"/>
      <c r="G941" s="32"/>
      <c r="H941" s="31"/>
      <c r="I941" s="31"/>
      <c r="J941" s="31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</row>
    <row r="942" ht="15.75" customHeight="1">
      <c r="C942" s="31"/>
      <c r="D942" s="32"/>
      <c r="E942" s="32"/>
      <c r="F942" s="31"/>
      <c r="G942" s="32"/>
      <c r="H942" s="31"/>
      <c r="I942" s="31"/>
      <c r="J942" s="31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</row>
    <row r="943" ht="15.75" customHeight="1">
      <c r="C943" s="31"/>
      <c r="D943" s="32"/>
      <c r="E943" s="32"/>
      <c r="F943" s="31"/>
      <c r="G943" s="32"/>
      <c r="H943" s="31"/>
      <c r="I943" s="31"/>
      <c r="J943" s="31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</row>
    <row r="944" ht="15.75" customHeight="1">
      <c r="C944" s="31"/>
      <c r="D944" s="32"/>
      <c r="E944" s="32"/>
      <c r="F944" s="31"/>
      <c r="G944" s="32"/>
      <c r="H944" s="31"/>
      <c r="I944" s="31"/>
      <c r="J944" s="31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</row>
    <row r="945" ht="15.75" customHeight="1">
      <c r="C945" s="31"/>
      <c r="D945" s="32"/>
      <c r="E945" s="32"/>
      <c r="F945" s="31"/>
      <c r="G945" s="32"/>
      <c r="H945" s="31"/>
      <c r="I945" s="31"/>
      <c r="J945" s="31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</row>
    <row r="946" ht="15.75" customHeight="1">
      <c r="C946" s="31"/>
      <c r="D946" s="32"/>
      <c r="E946" s="32"/>
      <c r="F946" s="31"/>
      <c r="G946" s="32"/>
      <c r="H946" s="31"/>
      <c r="I946" s="31"/>
      <c r="J946" s="31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</row>
    <row r="947" ht="15.75" customHeight="1">
      <c r="C947" s="31"/>
      <c r="D947" s="32"/>
      <c r="E947" s="32"/>
      <c r="F947" s="31"/>
      <c r="G947" s="32"/>
      <c r="H947" s="31"/>
      <c r="I947" s="31"/>
      <c r="J947" s="31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</row>
    <row r="948" ht="15.75" customHeight="1">
      <c r="C948" s="31"/>
      <c r="D948" s="32"/>
      <c r="E948" s="32"/>
      <c r="F948" s="31"/>
      <c r="G948" s="32"/>
      <c r="H948" s="31"/>
      <c r="I948" s="31"/>
      <c r="J948" s="31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</row>
    <row r="949" ht="15.75" customHeight="1">
      <c r="C949" s="31"/>
      <c r="D949" s="32"/>
      <c r="E949" s="32"/>
      <c r="F949" s="31"/>
      <c r="G949" s="32"/>
      <c r="H949" s="31"/>
      <c r="I949" s="31"/>
      <c r="J949" s="31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</row>
    <row r="950" ht="15.75" customHeight="1">
      <c r="C950" s="31"/>
      <c r="D950" s="32"/>
      <c r="E950" s="32"/>
      <c r="F950" s="31"/>
      <c r="G950" s="32"/>
      <c r="H950" s="31"/>
      <c r="I950" s="31"/>
      <c r="J950" s="31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</row>
    <row r="951" ht="15.75" customHeight="1">
      <c r="C951" s="31"/>
      <c r="D951" s="32"/>
      <c r="E951" s="32"/>
      <c r="F951" s="31"/>
      <c r="G951" s="32"/>
      <c r="H951" s="31"/>
      <c r="I951" s="31"/>
      <c r="J951" s="31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</row>
    <row r="952" ht="15.75" customHeight="1">
      <c r="C952" s="31"/>
      <c r="D952" s="32"/>
      <c r="E952" s="32"/>
      <c r="F952" s="31"/>
      <c r="G952" s="32"/>
      <c r="H952" s="31"/>
      <c r="I952" s="31"/>
      <c r="J952" s="31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</row>
    <row r="953" ht="15.75" customHeight="1">
      <c r="C953" s="31"/>
      <c r="D953" s="32"/>
      <c r="E953" s="32"/>
      <c r="F953" s="31"/>
      <c r="G953" s="32"/>
      <c r="H953" s="31"/>
      <c r="I953" s="31"/>
      <c r="J953" s="31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</row>
    <row r="954" ht="15.75" customHeight="1">
      <c r="C954" s="31"/>
      <c r="D954" s="32"/>
      <c r="E954" s="32"/>
      <c r="F954" s="31"/>
      <c r="G954" s="32"/>
      <c r="H954" s="31"/>
      <c r="I954" s="31"/>
      <c r="J954" s="31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</row>
    <row r="955" ht="15.75" customHeight="1">
      <c r="C955" s="31"/>
      <c r="D955" s="32"/>
      <c r="E955" s="32"/>
      <c r="F955" s="31"/>
      <c r="G955" s="32"/>
      <c r="H955" s="31"/>
      <c r="I955" s="31"/>
      <c r="J955" s="31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</row>
    <row r="956" ht="15.75" customHeight="1">
      <c r="C956" s="31"/>
      <c r="D956" s="32"/>
      <c r="E956" s="32"/>
      <c r="F956" s="31"/>
      <c r="G956" s="32"/>
      <c r="H956" s="31"/>
      <c r="I956" s="31"/>
      <c r="J956" s="31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</row>
    <row r="957" ht="15.75" customHeight="1">
      <c r="C957" s="31"/>
      <c r="D957" s="32"/>
      <c r="E957" s="32"/>
      <c r="F957" s="31"/>
      <c r="G957" s="32"/>
      <c r="H957" s="31"/>
      <c r="I957" s="31"/>
      <c r="J957" s="31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</row>
    <row r="958" ht="15.75" customHeight="1">
      <c r="C958" s="31"/>
      <c r="D958" s="32"/>
      <c r="E958" s="32"/>
      <c r="F958" s="31"/>
      <c r="G958" s="32"/>
      <c r="H958" s="31"/>
      <c r="I958" s="31"/>
      <c r="J958" s="31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</row>
    <row r="959" ht="15.75" customHeight="1">
      <c r="C959" s="31"/>
      <c r="D959" s="32"/>
      <c r="E959" s="32"/>
      <c r="F959" s="31"/>
      <c r="G959" s="32"/>
      <c r="H959" s="31"/>
      <c r="I959" s="31"/>
      <c r="J959" s="31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</row>
    <row r="960" ht="15.75" customHeight="1">
      <c r="C960" s="31"/>
      <c r="D960" s="32"/>
      <c r="E960" s="32"/>
      <c r="F960" s="31"/>
      <c r="G960" s="32"/>
      <c r="H960" s="31"/>
      <c r="I960" s="31"/>
      <c r="J960" s="31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</row>
    <row r="961" ht="15.75" customHeight="1">
      <c r="C961" s="31"/>
      <c r="D961" s="32"/>
      <c r="E961" s="32"/>
      <c r="F961" s="31"/>
      <c r="G961" s="32"/>
      <c r="H961" s="31"/>
      <c r="I961" s="31"/>
      <c r="J961" s="31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</row>
    <row r="962" ht="15.75" customHeight="1">
      <c r="C962" s="31"/>
      <c r="D962" s="32"/>
      <c r="E962" s="32"/>
      <c r="F962" s="31"/>
      <c r="G962" s="32"/>
      <c r="H962" s="31"/>
      <c r="I962" s="31"/>
      <c r="J962" s="31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</row>
    <row r="963" ht="15.75" customHeight="1">
      <c r="C963" s="31"/>
      <c r="D963" s="32"/>
      <c r="E963" s="32"/>
      <c r="F963" s="31"/>
      <c r="G963" s="32"/>
      <c r="H963" s="31"/>
      <c r="I963" s="31"/>
      <c r="J963" s="31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</row>
    <row r="964" ht="15.75" customHeight="1">
      <c r="C964" s="31"/>
      <c r="D964" s="32"/>
      <c r="E964" s="32"/>
      <c r="F964" s="31"/>
      <c r="G964" s="32"/>
      <c r="H964" s="31"/>
      <c r="I964" s="31"/>
      <c r="J964" s="31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</row>
    <row r="965" ht="15.75" customHeight="1">
      <c r="C965" s="31"/>
      <c r="D965" s="32"/>
      <c r="E965" s="32"/>
      <c r="F965" s="31"/>
      <c r="G965" s="32"/>
      <c r="H965" s="31"/>
      <c r="I965" s="31"/>
      <c r="J965" s="31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</row>
    <row r="966" ht="15.75" customHeight="1">
      <c r="C966" s="31"/>
      <c r="D966" s="32"/>
      <c r="E966" s="32"/>
      <c r="F966" s="31"/>
      <c r="G966" s="32"/>
      <c r="H966" s="31"/>
      <c r="I966" s="31"/>
      <c r="J966" s="31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</row>
    <row r="967" ht="15.75" customHeight="1">
      <c r="C967" s="31"/>
      <c r="D967" s="32"/>
      <c r="E967" s="32"/>
      <c r="F967" s="31"/>
      <c r="G967" s="32"/>
      <c r="H967" s="31"/>
      <c r="I967" s="31"/>
      <c r="J967" s="31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</row>
    <row r="968" ht="15.75" customHeight="1">
      <c r="C968" s="31"/>
      <c r="D968" s="32"/>
      <c r="E968" s="32"/>
      <c r="F968" s="31"/>
      <c r="G968" s="32"/>
      <c r="H968" s="31"/>
      <c r="I968" s="31"/>
      <c r="J968" s="31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</row>
    <row r="969" ht="15.75" customHeight="1">
      <c r="C969" s="31"/>
      <c r="D969" s="32"/>
      <c r="E969" s="32"/>
      <c r="F969" s="31"/>
      <c r="G969" s="32"/>
      <c r="H969" s="31"/>
      <c r="I969" s="31"/>
      <c r="J969" s="31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</row>
    <row r="970" ht="15.75" customHeight="1">
      <c r="C970" s="31"/>
      <c r="D970" s="32"/>
      <c r="E970" s="32"/>
      <c r="F970" s="31"/>
      <c r="G970" s="32"/>
      <c r="H970" s="31"/>
      <c r="I970" s="31"/>
      <c r="J970" s="31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</row>
    <row r="971" ht="15.75" customHeight="1">
      <c r="C971" s="31"/>
      <c r="D971" s="32"/>
      <c r="E971" s="32"/>
      <c r="F971" s="31"/>
      <c r="G971" s="32"/>
      <c r="H971" s="31"/>
      <c r="I971" s="31"/>
      <c r="J971" s="31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</row>
    <row r="972" ht="15.75" customHeight="1">
      <c r="C972" s="31"/>
      <c r="D972" s="32"/>
      <c r="E972" s="32"/>
      <c r="F972" s="31"/>
      <c r="G972" s="32"/>
      <c r="H972" s="31"/>
      <c r="I972" s="31"/>
      <c r="J972" s="31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</row>
    <row r="973" ht="15.75" customHeight="1">
      <c r="C973" s="31"/>
      <c r="D973" s="32"/>
      <c r="E973" s="32"/>
      <c r="F973" s="31"/>
      <c r="G973" s="32"/>
      <c r="H973" s="31"/>
      <c r="I973" s="31"/>
      <c r="J973" s="31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</row>
    <row r="974" ht="15.75" customHeight="1">
      <c r="C974" s="31"/>
      <c r="D974" s="32"/>
      <c r="E974" s="32"/>
      <c r="F974" s="31"/>
      <c r="G974" s="32"/>
      <c r="H974" s="31"/>
      <c r="I974" s="31"/>
      <c r="J974" s="31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</row>
    <row r="975" ht="15.75" customHeight="1">
      <c r="C975" s="31"/>
      <c r="D975" s="32"/>
      <c r="E975" s="32"/>
      <c r="F975" s="31"/>
      <c r="G975" s="32"/>
      <c r="H975" s="31"/>
      <c r="I975" s="31"/>
      <c r="J975" s="31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</row>
    <row r="976" ht="15.75" customHeight="1">
      <c r="C976" s="31"/>
      <c r="D976" s="32"/>
      <c r="E976" s="32"/>
      <c r="F976" s="31"/>
      <c r="G976" s="32"/>
      <c r="H976" s="31"/>
      <c r="I976" s="31"/>
      <c r="J976" s="31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</row>
    <row r="977" ht="15.75" customHeight="1">
      <c r="C977" s="31"/>
      <c r="D977" s="32"/>
      <c r="E977" s="32"/>
      <c r="F977" s="31"/>
      <c r="G977" s="32"/>
      <c r="H977" s="31"/>
      <c r="I977" s="31"/>
      <c r="J977" s="31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</row>
    <row r="978" ht="15.75" customHeight="1">
      <c r="C978" s="31"/>
      <c r="D978" s="32"/>
      <c r="E978" s="32"/>
      <c r="F978" s="31"/>
      <c r="G978" s="32"/>
      <c r="H978" s="31"/>
      <c r="I978" s="31"/>
      <c r="J978" s="31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</row>
    <row r="979" ht="15.75" customHeight="1">
      <c r="C979" s="31"/>
      <c r="D979" s="32"/>
      <c r="E979" s="32"/>
      <c r="F979" s="31"/>
      <c r="G979" s="32"/>
      <c r="H979" s="31"/>
      <c r="I979" s="31"/>
      <c r="J979" s="31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</row>
    <row r="980" ht="15.75" customHeight="1">
      <c r="C980" s="31"/>
      <c r="D980" s="32"/>
      <c r="E980" s="32"/>
      <c r="F980" s="31"/>
      <c r="G980" s="32"/>
      <c r="H980" s="31"/>
      <c r="I980" s="31"/>
      <c r="J980" s="31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</row>
    <row r="981" ht="15.75" customHeight="1">
      <c r="C981" s="31"/>
      <c r="D981" s="32"/>
      <c r="E981" s="32"/>
      <c r="F981" s="31"/>
      <c r="G981" s="32"/>
      <c r="H981" s="31"/>
      <c r="I981" s="31"/>
      <c r="J981" s="31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</row>
    <row r="982" ht="15.75" customHeight="1">
      <c r="C982" s="31"/>
      <c r="D982" s="32"/>
      <c r="E982" s="32"/>
      <c r="F982" s="31"/>
      <c r="G982" s="32"/>
      <c r="H982" s="31"/>
      <c r="I982" s="31"/>
      <c r="J982" s="31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</row>
    <row r="983" ht="15.75" customHeight="1">
      <c r="C983" s="31"/>
      <c r="D983" s="32"/>
      <c r="E983" s="32"/>
      <c r="F983" s="31"/>
      <c r="G983" s="32"/>
      <c r="H983" s="31"/>
      <c r="I983" s="31"/>
      <c r="J983" s="31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</row>
    <row r="984" ht="15.75" customHeight="1">
      <c r="C984" s="31"/>
      <c r="D984" s="32"/>
      <c r="E984" s="32"/>
      <c r="F984" s="31"/>
      <c r="G984" s="32"/>
      <c r="H984" s="31"/>
      <c r="I984" s="31"/>
      <c r="J984" s="31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</row>
    <row r="985" ht="15.75" customHeight="1">
      <c r="C985" s="31"/>
      <c r="D985" s="32"/>
      <c r="E985" s="32"/>
      <c r="F985" s="31"/>
      <c r="G985" s="32"/>
      <c r="H985" s="31"/>
      <c r="I985" s="31"/>
      <c r="J985" s="31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</row>
    <row r="986" ht="15.75" customHeight="1">
      <c r="C986" s="31"/>
      <c r="D986" s="32"/>
      <c r="E986" s="32"/>
      <c r="F986" s="31"/>
      <c r="G986" s="32"/>
      <c r="H986" s="31"/>
      <c r="I986" s="31"/>
      <c r="J986" s="31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</row>
    <row r="987" ht="15.75" customHeight="1">
      <c r="C987" s="31"/>
      <c r="D987" s="32"/>
      <c r="E987" s="32"/>
      <c r="F987" s="31"/>
      <c r="G987" s="32"/>
      <c r="H987" s="31"/>
      <c r="I987" s="31"/>
      <c r="J987" s="31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</row>
    <row r="988" ht="15.75" customHeight="1">
      <c r="C988" s="31"/>
      <c r="D988" s="32"/>
      <c r="E988" s="32"/>
      <c r="F988" s="31"/>
      <c r="G988" s="32"/>
      <c r="H988" s="31"/>
      <c r="I988" s="31"/>
      <c r="J988" s="31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</row>
    <row r="989" ht="15.75" customHeight="1">
      <c r="C989" s="31"/>
      <c r="D989" s="32"/>
      <c r="E989" s="32"/>
      <c r="F989" s="31"/>
      <c r="G989" s="32"/>
      <c r="H989" s="31"/>
      <c r="I989" s="31"/>
      <c r="J989" s="31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</row>
    <row r="990" ht="15.75" customHeight="1">
      <c r="C990" s="31"/>
      <c r="D990" s="32"/>
      <c r="E990" s="32"/>
      <c r="F990" s="31"/>
      <c r="G990" s="32"/>
      <c r="H990" s="31"/>
      <c r="I990" s="31"/>
      <c r="J990" s="31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</row>
    <row r="991" ht="15.75" customHeight="1">
      <c r="C991" s="31"/>
      <c r="D991" s="32"/>
      <c r="E991" s="32"/>
      <c r="F991" s="31"/>
      <c r="G991" s="32"/>
      <c r="H991" s="31"/>
      <c r="I991" s="31"/>
      <c r="J991" s="31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</row>
    <row r="992" ht="15.75" customHeight="1">
      <c r="C992" s="31"/>
      <c r="D992" s="32"/>
      <c r="E992" s="32"/>
      <c r="F992" s="31"/>
      <c r="G992" s="32"/>
      <c r="H992" s="31"/>
      <c r="I992" s="31"/>
      <c r="J992" s="31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</row>
    <row r="993" ht="15.75" customHeight="1">
      <c r="C993" s="31"/>
      <c r="D993" s="32"/>
      <c r="E993" s="32"/>
      <c r="F993" s="31"/>
      <c r="G993" s="32"/>
      <c r="H993" s="31"/>
      <c r="I993" s="31"/>
      <c r="J993" s="31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40.63"/>
    <col customWidth="1" min="3" max="3" width="16.63"/>
    <col customWidth="1" min="4" max="5" width="5.88"/>
    <col customWidth="1" min="6" max="6" width="8.38"/>
    <col customWidth="1" min="7" max="7" width="16.13"/>
  </cols>
  <sheetData>
    <row r="1">
      <c r="A1" s="29" t="s">
        <v>567</v>
      </c>
      <c r="B1" s="23" t="s">
        <v>8</v>
      </c>
      <c r="C1" s="33" t="s">
        <v>782</v>
      </c>
      <c r="D1" s="24" t="s">
        <v>7</v>
      </c>
      <c r="E1" s="34" t="s">
        <v>783</v>
      </c>
      <c r="F1" s="35" t="s">
        <v>565</v>
      </c>
      <c r="G1" s="31" t="s">
        <v>13</v>
      </c>
      <c r="H1" s="36">
        <v>45992.0</v>
      </c>
      <c r="I1" s="13">
        <v>46235.0</v>
      </c>
      <c r="J1" s="37">
        <v>46327.0</v>
      </c>
    </row>
    <row r="2">
      <c r="A2" s="23" t="s">
        <v>569</v>
      </c>
      <c r="B2" s="23" t="s">
        <v>570</v>
      </c>
      <c r="C2" s="38">
        <f>F2-'RUNNING STOCKS'!AJ2</f>
        <v>34</v>
      </c>
      <c r="D2" s="39" t="s">
        <v>571</v>
      </c>
      <c r="E2" s="40">
        <v>225.0</v>
      </c>
      <c r="F2" s="38">
        <f t="shared" ref="F2:F106" si="1">SUM(H2:HI2)</f>
        <v>48</v>
      </c>
      <c r="G2" s="31" t="str">
        <f t="shared" ref="G2:G106" si="2">IF(C2&lt;&gt;0, "AVAILABLE", "OUT OF STOCKS")</f>
        <v>AVAILABLE</v>
      </c>
      <c r="H2" s="2">
        <v>33.0</v>
      </c>
      <c r="I2" s="2">
        <v>15.0</v>
      </c>
    </row>
    <row r="3">
      <c r="A3" s="23" t="s">
        <v>572</v>
      </c>
      <c r="B3" s="23" t="s">
        <v>573</v>
      </c>
      <c r="C3" s="38">
        <f>F3-'RUNNING STOCKS'!AJ3</f>
        <v>11</v>
      </c>
      <c r="D3" s="39" t="s">
        <v>571</v>
      </c>
      <c r="E3" s="40">
        <v>195.0</v>
      </c>
      <c r="F3" s="38">
        <f t="shared" si="1"/>
        <v>35</v>
      </c>
      <c r="G3" s="31" t="str">
        <f t="shared" si="2"/>
        <v>AVAILABLE</v>
      </c>
      <c r="H3" s="2">
        <v>5.0</v>
      </c>
      <c r="I3" s="2">
        <v>30.0</v>
      </c>
      <c r="N3" s="41"/>
    </row>
    <row r="4">
      <c r="A4" s="23" t="s">
        <v>574</v>
      </c>
      <c r="B4" s="23" t="s">
        <v>575</v>
      </c>
      <c r="C4" s="38">
        <f>F4-'RUNNING STOCKS'!AJ4</f>
        <v>13</v>
      </c>
      <c r="D4" s="39" t="s">
        <v>571</v>
      </c>
      <c r="E4" s="40">
        <v>205.0</v>
      </c>
      <c r="F4" s="38">
        <f t="shared" si="1"/>
        <v>23</v>
      </c>
      <c r="G4" s="31" t="str">
        <f t="shared" si="2"/>
        <v>AVAILABLE</v>
      </c>
      <c r="H4" s="2">
        <v>18.0</v>
      </c>
      <c r="I4" s="2">
        <v>5.0</v>
      </c>
      <c r="N4" s="41"/>
    </row>
    <row r="5">
      <c r="A5" s="23" t="s">
        <v>576</v>
      </c>
      <c r="B5" s="23" t="s">
        <v>577</v>
      </c>
      <c r="C5" s="38">
        <f>F5-'RUNNING STOCKS'!AJ5</f>
        <v>6</v>
      </c>
      <c r="D5" s="39" t="s">
        <v>571</v>
      </c>
      <c r="E5" s="40">
        <v>118.0</v>
      </c>
      <c r="F5" s="38">
        <f t="shared" si="1"/>
        <v>13</v>
      </c>
      <c r="G5" s="31" t="str">
        <f t="shared" si="2"/>
        <v>AVAILABLE</v>
      </c>
      <c r="H5" s="2">
        <v>8.0</v>
      </c>
      <c r="I5" s="2">
        <v>5.0</v>
      </c>
      <c r="N5" s="41"/>
    </row>
    <row r="6">
      <c r="A6" s="23" t="s">
        <v>578</v>
      </c>
      <c r="B6" s="23" t="s">
        <v>579</v>
      </c>
      <c r="C6" s="38">
        <f>F6-'RUNNING STOCKS'!AJ6</f>
        <v>11</v>
      </c>
      <c r="D6" s="39" t="s">
        <v>571</v>
      </c>
      <c r="E6" s="40">
        <v>140.0</v>
      </c>
      <c r="F6" s="38">
        <f t="shared" si="1"/>
        <v>15</v>
      </c>
      <c r="G6" s="31" t="str">
        <f t="shared" si="2"/>
        <v>AVAILABLE</v>
      </c>
      <c r="H6" s="2">
        <v>15.0</v>
      </c>
    </row>
    <row r="7">
      <c r="A7" s="23" t="s">
        <v>580</v>
      </c>
      <c r="B7" s="29" t="s">
        <v>581</v>
      </c>
      <c r="C7" s="38">
        <f>F7-'RUNNING STOCKS'!AJ7</f>
        <v>574</v>
      </c>
      <c r="D7" s="39" t="s">
        <v>21</v>
      </c>
      <c r="E7" s="40">
        <v>250.0</v>
      </c>
      <c r="F7" s="38">
        <f t="shared" si="1"/>
        <v>1114</v>
      </c>
      <c r="G7" s="31" t="str">
        <f t="shared" si="2"/>
        <v>AVAILABLE</v>
      </c>
      <c r="H7" s="2">
        <v>314.0</v>
      </c>
      <c r="I7" s="2">
        <v>800.0</v>
      </c>
    </row>
    <row r="8">
      <c r="A8" s="23" t="s">
        <v>582</v>
      </c>
      <c r="B8" s="23" t="s">
        <v>583</v>
      </c>
      <c r="C8" s="38">
        <f>F8-'RUNNING STOCKS'!AJ8</f>
        <v>2</v>
      </c>
      <c r="D8" s="39" t="s">
        <v>21</v>
      </c>
      <c r="E8" s="40">
        <v>68.0</v>
      </c>
      <c r="F8" s="38">
        <f t="shared" si="1"/>
        <v>5</v>
      </c>
      <c r="G8" s="31" t="str">
        <f t="shared" si="2"/>
        <v>AVAILABLE</v>
      </c>
      <c r="H8" s="2">
        <v>0.0</v>
      </c>
      <c r="I8" s="2">
        <v>5.0</v>
      </c>
    </row>
    <row r="9">
      <c r="A9" s="23" t="s">
        <v>584</v>
      </c>
      <c r="B9" s="23" t="s">
        <v>585</v>
      </c>
      <c r="C9" s="38">
        <f>F9-'RUNNING STOCKS'!AJ9</f>
        <v>8</v>
      </c>
      <c r="D9" s="39" t="s">
        <v>21</v>
      </c>
      <c r="E9" s="40"/>
      <c r="F9" s="38">
        <f t="shared" si="1"/>
        <v>10</v>
      </c>
      <c r="G9" s="31" t="str">
        <f t="shared" si="2"/>
        <v>AVAILABLE</v>
      </c>
      <c r="H9" s="2">
        <v>0.0</v>
      </c>
      <c r="I9" s="2">
        <v>10.0</v>
      </c>
    </row>
    <row r="10">
      <c r="A10" s="23" t="s">
        <v>586</v>
      </c>
      <c r="B10" s="23" t="s">
        <v>587</v>
      </c>
      <c r="C10" s="38">
        <f>F10-'RUNNING STOCKS'!AJ10</f>
        <v>156</v>
      </c>
      <c r="D10" s="39" t="s">
        <v>21</v>
      </c>
      <c r="E10" s="40">
        <v>725.0</v>
      </c>
      <c r="F10" s="38">
        <f t="shared" si="1"/>
        <v>267</v>
      </c>
      <c r="G10" s="31" t="str">
        <f t="shared" si="2"/>
        <v>AVAILABLE</v>
      </c>
      <c r="H10" s="2">
        <v>67.0</v>
      </c>
      <c r="I10" s="2">
        <v>200.0</v>
      </c>
    </row>
    <row r="11">
      <c r="A11" s="23" t="s">
        <v>588</v>
      </c>
      <c r="B11" s="23" t="s">
        <v>589</v>
      </c>
      <c r="C11" s="38">
        <f>F11-'RUNNING STOCKS'!AJ11</f>
        <v>65</v>
      </c>
      <c r="D11" s="39" t="s">
        <v>21</v>
      </c>
      <c r="E11" s="40">
        <v>300.0</v>
      </c>
      <c r="F11" s="38">
        <f t="shared" si="1"/>
        <v>150</v>
      </c>
      <c r="G11" s="31" t="str">
        <f t="shared" si="2"/>
        <v>AVAILABLE</v>
      </c>
      <c r="H11" s="2">
        <v>0.0</v>
      </c>
      <c r="I11" s="2">
        <v>150.0</v>
      </c>
    </row>
    <row r="12">
      <c r="A12" s="23" t="s">
        <v>590</v>
      </c>
      <c r="B12" s="23" t="s">
        <v>591</v>
      </c>
      <c r="C12" s="38">
        <f>F12-'RUNNING STOCKS'!AJ12</f>
        <v>150</v>
      </c>
      <c r="D12" s="39" t="s">
        <v>21</v>
      </c>
      <c r="E12" s="40">
        <v>300.0</v>
      </c>
      <c r="F12" s="38">
        <f t="shared" si="1"/>
        <v>265</v>
      </c>
      <c r="G12" s="31" t="str">
        <f t="shared" si="2"/>
        <v>AVAILABLE</v>
      </c>
      <c r="H12" s="2">
        <v>115.0</v>
      </c>
      <c r="I12" s="2">
        <v>150.0</v>
      </c>
    </row>
    <row r="13">
      <c r="A13" s="23" t="s">
        <v>592</v>
      </c>
      <c r="B13" s="23" t="s">
        <v>593</v>
      </c>
      <c r="C13" s="38">
        <f>F13-'RUNNING STOCKS'!AJ13</f>
        <v>114</v>
      </c>
      <c r="D13" s="39" t="s">
        <v>21</v>
      </c>
      <c r="E13" s="40">
        <v>600.0</v>
      </c>
      <c r="F13" s="38">
        <f t="shared" si="1"/>
        <v>844</v>
      </c>
      <c r="G13" s="31" t="str">
        <f t="shared" si="2"/>
        <v>AVAILABLE</v>
      </c>
      <c r="H13" s="2">
        <v>244.0</v>
      </c>
      <c r="I13" s="2">
        <v>600.0</v>
      </c>
    </row>
    <row r="14">
      <c r="A14" s="23" t="s">
        <v>594</v>
      </c>
      <c r="B14" s="23" t="s">
        <v>595</v>
      </c>
      <c r="C14" s="38">
        <f>F14-'RUNNING STOCKS'!AJ14</f>
        <v>0</v>
      </c>
      <c r="D14" s="39" t="s">
        <v>21</v>
      </c>
      <c r="E14" s="40"/>
      <c r="F14" s="38">
        <f t="shared" si="1"/>
        <v>0</v>
      </c>
      <c r="G14" s="31" t="str">
        <f t="shared" si="2"/>
        <v>OUT OF STOCKS</v>
      </c>
      <c r="H14" s="2">
        <v>0.0</v>
      </c>
    </row>
    <row r="15">
      <c r="A15" s="23" t="s">
        <v>596</v>
      </c>
      <c r="B15" s="23" t="s">
        <v>597</v>
      </c>
      <c r="C15" s="38">
        <f>F15-'RUNNING STOCKS'!AJ15</f>
        <v>130</v>
      </c>
      <c r="D15" s="39" t="s">
        <v>21</v>
      </c>
      <c r="E15" s="40"/>
      <c r="F15" s="38">
        <f t="shared" si="1"/>
        <v>170</v>
      </c>
      <c r="G15" s="31" t="str">
        <f t="shared" si="2"/>
        <v>AVAILABLE</v>
      </c>
      <c r="H15" s="2">
        <v>20.0</v>
      </c>
      <c r="I15" s="2">
        <v>150.0</v>
      </c>
    </row>
    <row r="16">
      <c r="A16" s="23" t="s">
        <v>598</v>
      </c>
      <c r="B16" s="23" t="s">
        <v>599</v>
      </c>
      <c r="C16" s="38">
        <f>F16-'RUNNING STOCKS'!AJ16</f>
        <v>105</v>
      </c>
      <c r="D16" s="39" t="s">
        <v>21</v>
      </c>
      <c r="E16" s="40"/>
      <c r="F16" s="38">
        <f t="shared" si="1"/>
        <v>150</v>
      </c>
      <c r="G16" s="31" t="str">
        <f t="shared" si="2"/>
        <v>AVAILABLE</v>
      </c>
      <c r="H16" s="2">
        <v>0.0</v>
      </c>
      <c r="I16" s="2">
        <v>150.0</v>
      </c>
    </row>
    <row r="17">
      <c r="A17" s="23" t="s">
        <v>600</v>
      </c>
      <c r="B17" s="29" t="s">
        <v>601</v>
      </c>
      <c r="C17" s="38">
        <f>F17-'RUNNING STOCKS'!AJ17</f>
        <v>490</v>
      </c>
      <c r="D17" s="39" t="s">
        <v>21</v>
      </c>
      <c r="E17" s="40"/>
      <c r="F17" s="38">
        <f t="shared" si="1"/>
        <v>500</v>
      </c>
      <c r="G17" s="31" t="str">
        <f t="shared" si="2"/>
        <v>AVAILABLE</v>
      </c>
      <c r="H17" s="2">
        <v>0.0</v>
      </c>
      <c r="I17" s="2">
        <v>500.0</v>
      </c>
    </row>
    <row r="18">
      <c r="A18" s="23" t="s">
        <v>602</v>
      </c>
      <c r="B18" s="29" t="s">
        <v>603</v>
      </c>
      <c r="C18" s="38">
        <f>F18-'RUNNING STOCKS'!AJ18</f>
        <v>630</v>
      </c>
      <c r="D18" s="39" t="s">
        <v>21</v>
      </c>
      <c r="E18" s="40"/>
      <c r="F18" s="38">
        <f t="shared" si="1"/>
        <v>650</v>
      </c>
      <c r="G18" s="31" t="str">
        <f t="shared" si="2"/>
        <v>AVAILABLE</v>
      </c>
      <c r="H18" s="2">
        <v>150.0</v>
      </c>
      <c r="I18" s="2">
        <v>500.0</v>
      </c>
    </row>
    <row r="19">
      <c r="A19" s="23" t="s">
        <v>604</v>
      </c>
      <c r="B19" s="29" t="s">
        <v>605</v>
      </c>
      <c r="C19" s="38">
        <f>F19-'RUNNING STOCKS'!AJ19</f>
        <v>3</v>
      </c>
      <c r="D19" s="39" t="s">
        <v>21</v>
      </c>
      <c r="E19" s="40">
        <v>30.0</v>
      </c>
      <c r="F19" s="38">
        <f t="shared" si="1"/>
        <v>3</v>
      </c>
      <c r="G19" s="31" t="str">
        <f t="shared" si="2"/>
        <v>AVAILABLE</v>
      </c>
      <c r="H19" s="2">
        <v>3.0</v>
      </c>
    </row>
    <row r="20">
      <c r="A20" s="23" t="s">
        <v>606</v>
      </c>
      <c r="B20" s="23" t="s">
        <v>607</v>
      </c>
      <c r="C20" s="38">
        <f>F20-'RUNNING STOCKS'!AJ20</f>
        <v>137</v>
      </c>
      <c r="D20" s="39" t="s">
        <v>21</v>
      </c>
      <c r="E20" s="40">
        <v>76.0</v>
      </c>
      <c r="F20" s="38">
        <f t="shared" si="1"/>
        <v>302</v>
      </c>
      <c r="G20" s="31" t="str">
        <f t="shared" si="2"/>
        <v>AVAILABLE</v>
      </c>
      <c r="H20" s="2">
        <v>2.0</v>
      </c>
      <c r="I20" s="2">
        <v>300.0</v>
      </c>
    </row>
    <row r="21">
      <c r="A21" s="23" t="s">
        <v>608</v>
      </c>
      <c r="B21" s="23" t="s">
        <v>609</v>
      </c>
      <c r="C21" s="38">
        <f>F21-'RUNNING STOCKS'!AJ21</f>
        <v>78</v>
      </c>
      <c r="D21" s="39" t="s">
        <v>21</v>
      </c>
      <c r="E21" s="40">
        <v>76.0</v>
      </c>
      <c r="F21" s="38">
        <f t="shared" si="1"/>
        <v>108</v>
      </c>
      <c r="G21" s="31" t="str">
        <f t="shared" si="2"/>
        <v>AVAILABLE</v>
      </c>
      <c r="H21" s="2">
        <v>108.0</v>
      </c>
    </row>
    <row r="22">
      <c r="A22" s="23" t="s">
        <v>610</v>
      </c>
      <c r="B22" s="23" t="s">
        <v>611</v>
      </c>
      <c r="C22" s="38">
        <f>F22-'RUNNING STOCKS'!AJ22</f>
        <v>1</v>
      </c>
      <c r="D22" s="39" t="s">
        <v>21</v>
      </c>
      <c r="E22" s="40">
        <v>165.0</v>
      </c>
      <c r="F22" s="38">
        <f t="shared" si="1"/>
        <v>6</v>
      </c>
      <c r="G22" s="31" t="str">
        <f t="shared" si="2"/>
        <v>AVAILABLE</v>
      </c>
      <c r="H22" s="2">
        <v>1.0</v>
      </c>
      <c r="I22" s="2">
        <v>5.0</v>
      </c>
    </row>
    <row r="23">
      <c r="A23" s="23" t="s">
        <v>612</v>
      </c>
      <c r="B23" s="23" t="s">
        <v>613</v>
      </c>
      <c r="C23" s="38">
        <f>F23-'RUNNING STOCKS'!AJ23</f>
        <v>2</v>
      </c>
      <c r="D23" s="39" t="s">
        <v>21</v>
      </c>
      <c r="E23" s="40">
        <v>165.0</v>
      </c>
      <c r="F23" s="38">
        <f t="shared" si="1"/>
        <v>3</v>
      </c>
      <c r="G23" s="31" t="str">
        <f t="shared" si="2"/>
        <v>AVAILABLE</v>
      </c>
      <c r="H23" s="2">
        <v>3.0</v>
      </c>
    </row>
    <row r="24">
      <c r="A24" s="23" t="s">
        <v>614</v>
      </c>
      <c r="B24" s="23" t="s">
        <v>615</v>
      </c>
      <c r="C24" s="38">
        <f>F24-'RUNNING STOCKS'!AJ24</f>
        <v>8</v>
      </c>
      <c r="D24" s="39" t="s">
        <v>21</v>
      </c>
      <c r="E24" s="40">
        <v>35.0</v>
      </c>
      <c r="F24" s="38">
        <f t="shared" si="1"/>
        <v>40</v>
      </c>
      <c r="G24" s="31" t="str">
        <f t="shared" si="2"/>
        <v>AVAILABLE</v>
      </c>
      <c r="H24" s="2">
        <v>20.0</v>
      </c>
      <c r="I24" s="2">
        <v>20.0</v>
      </c>
    </row>
    <row r="25">
      <c r="A25" s="23" t="s">
        <v>616</v>
      </c>
      <c r="B25" s="23" t="s">
        <v>617</v>
      </c>
      <c r="C25" s="38">
        <f>F25-'RUNNING STOCKS'!AJ25</f>
        <v>7</v>
      </c>
      <c r="D25" s="39" t="s">
        <v>21</v>
      </c>
      <c r="E25" s="40">
        <v>7.0</v>
      </c>
      <c r="F25" s="38">
        <f t="shared" si="1"/>
        <v>11</v>
      </c>
      <c r="G25" s="31" t="str">
        <f t="shared" si="2"/>
        <v>AVAILABLE</v>
      </c>
      <c r="H25" s="2">
        <v>11.0</v>
      </c>
    </row>
    <row r="26">
      <c r="A26" s="23" t="s">
        <v>618</v>
      </c>
      <c r="B26" s="23" t="s">
        <v>619</v>
      </c>
      <c r="C26" s="38">
        <f>F26-'RUNNING STOCKS'!AJ26</f>
        <v>19</v>
      </c>
      <c r="D26" s="39" t="s">
        <v>21</v>
      </c>
      <c r="E26" s="40"/>
      <c r="F26" s="38">
        <f t="shared" si="1"/>
        <v>21</v>
      </c>
      <c r="G26" s="31" t="str">
        <f t="shared" si="2"/>
        <v>AVAILABLE</v>
      </c>
      <c r="H26" s="2">
        <v>21.0</v>
      </c>
    </row>
    <row r="27">
      <c r="A27" s="23" t="s">
        <v>620</v>
      </c>
      <c r="B27" s="23" t="s">
        <v>621</v>
      </c>
      <c r="C27" s="38">
        <f>F27-'RUNNING STOCKS'!AJ27</f>
        <v>0</v>
      </c>
      <c r="D27" s="39" t="s">
        <v>21</v>
      </c>
      <c r="E27" s="40"/>
      <c r="F27" s="38">
        <f t="shared" si="1"/>
        <v>0</v>
      </c>
      <c r="G27" s="31" t="str">
        <f t="shared" si="2"/>
        <v>OUT OF STOCKS</v>
      </c>
      <c r="H27" s="2">
        <v>0.0</v>
      </c>
    </row>
    <row r="28">
      <c r="A28" s="23" t="s">
        <v>622</v>
      </c>
      <c r="B28" s="23" t="s">
        <v>623</v>
      </c>
      <c r="C28" s="38">
        <f>F28-'RUNNING STOCKS'!AJ28</f>
        <v>3</v>
      </c>
      <c r="D28" s="39" t="s">
        <v>21</v>
      </c>
      <c r="E28" s="40">
        <v>18.0</v>
      </c>
      <c r="F28" s="38">
        <f t="shared" si="1"/>
        <v>39</v>
      </c>
      <c r="G28" s="31" t="str">
        <f t="shared" si="2"/>
        <v>AVAILABLE</v>
      </c>
      <c r="H28" s="2">
        <v>24.0</v>
      </c>
      <c r="I28" s="2">
        <v>15.0</v>
      </c>
    </row>
    <row r="29">
      <c r="A29" s="23" t="s">
        <v>624</v>
      </c>
      <c r="B29" s="23" t="s">
        <v>625</v>
      </c>
      <c r="C29" s="38">
        <f>F29-'RUNNING STOCKS'!AJ29</f>
        <v>40</v>
      </c>
      <c r="D29" s="39" t="s">
        <v>21</v>
      </c>
      <c r="E29" s="40">
        <v>41.0</v>
      </c>
      <c r="F29" s="38">
        <f t="shared" si="1"/>
        <v>200</v>
      </c>
      <c r="G29" s="31" t="str">
        <f t="shared" si="2"/>
        <v>AVAILABLE</v>
      </c>
      <c r="H29" s="2">
        <v>100.0</v>
      </c>
      <c r="J29" s="2">
        <v>100.0</v>
      </c>
    </row>
    <row r="30">
      <c r="A30" s="23" t="s">
        <v>626</v>
      </c>
      <c r="B30" s="23" t="s">
        <v>627</v>
      </c>
      <c r="C30" s="38">
        <f>F30-'RUNNING STOCKS'!AJ30</f>
        <v>4</v>
      </c>
      <c r="D30" s="39" t="s">
        <v>21</v>
      </c>
      <c r="E30" s="40">
        <v>175.0</v>
      </c>
      <c r="F30" s="38">
        <f t="shared" si="1"/>
        <v>4</v>
      </c>
      <c r="G30" s="31" t="str">
        <f t="shared" si="2"/>
        <v>AVAILABLE</v>
      </c>
      <c r="H30" s="2">
        <v>4.0</v>
      </c>
    </row>
    <row r="31">
      <c r="A31" s="23" t="s">
        <v>628</v>
      </c>
      <c r="B31" s="23" t="s">
        <v>629</v>
      </c>
      <c r="C31" s="38">
        <f>F31-'RUNNING STOCKS'!AJ31</f>
        <v>8</v>
      </c>
      <c r="D31" s="39" t="s">
        <v>21</v>
      </c>
      <c r="E31" s="40">
        <v>120.0</v>
      </c>
      <c r="F31" s="38">
        <f t="shared" si="1"/>
        <v>9</v>
      </c>
      <c r="G31" s="31" t="str">
        <f t="shared" si="2"/>
        <v>AVAILABLE</v>
      </c>
      <c r="H31" s="2">
        <v>9.0</v>
      </c>
    </row>
    <row r="32">
      <c r="A32" s="23" t="s">
        <v>630</v>
      </c>
      <c r="B32" s="23" t="s">
        <v>631</v>
      </c>
      <c r="C32" s="38">
        <f>F32-'RUNNING STOCKS'!AJ32</f>
        <v>1</v>
      </c>
      <c r="D32" s="39" t="s">
        <v>21</v>
      </c>
      <c r="E32" s="40">
        <v>45.0</v>
      </c>
      <c r="F32" s="38">
        <f t="shared" si="1"/>
        <v>4</v>
      </c>
      <c r="G32" s="31" t="str">
        <f t="shared" si="2"/>
        <v>AVAILABLE</v>
      </c>
      <c r="H32" s="2">
        <v>0.0</v>
      </c>
      <c r="I32" s="2">
        <v>4.0</v>
      </c>
    </row>
    <row r="33">
      <c r="A33" s="23" t="s">
        <v>632</v>
      </c>
      <c r="B33" s="23" t="s">
        <v>633</v>
      </c>
      <c r="C33" s="38">
        <f>F33-'RUNNING STOCKS'!AJ33</f>
        <v>6</v>
      </c>
      <c r="D33" s="39" t="s">
        <v>21</v>
      </c>
      <c r="E33" s="40"/>
      <c r="F33" s="38">
        <f t="shared" si="1"/>
        <v>9</v>
      </c>
      <c r="G33" s="31" t="str">
        <f t="shared" si="2"/>
        <v>AVAILABLE</v>
      </c>
      <c r="H33" s="2">
        <v>1.0</v>
      </c>
      <c r="I33" s="2">
        <v>8.0</v>
      </c>
    </row>
    <row r="34">
      <c r="A34" s="23" t="s">
        <v>634</v>
      </c>
      <c r="B34" s="23" t="s">
        <v>635</v>
      </c>
      <c r="C34" s="38">
        <f>F34-'RUNNING STOCKS'!AJ34</f>
        <v>7</v>
      </c>
      <c r="D34" s="39" t="s">
        <v>21</v>
      </c>
      <c r="E34" s="40">
        <v>6.0</v>
      </c>
      <c r="F34" s="38">
        <f t="shared" si="1"/>
        <v>8</v>
      </c>
      <c r="G34" s="31" t="str">
        <f t="shared" si="2"/>
        <v>AVAILABLE</v>
      </c>
      <c r="H34" s="2">
        <v>8.0</v>
      </c>
    </row>
    <row r="35">
      <c r="A35" s="23" t="s">
        <v>636</v>
      </c>
      <c r="B35" s="23" t="s">
        <v>637</v>
      </c>
      <c r="C35" s="38">
        <f>F35-'RUNNING STOCKS'!AJ35</f>
        <v>4</v>
      </c>
      <c r="D35" s="39" t="s">
        <v>21</v>
      </c>
      <c r="E35" s="40"/>
      <c r="F35" s="38">
        <f t="shared" si="1"/>
        <v>5</v>
      </c>
      <c r="G35" s="31" t="str">
        <f t="shared" si="2"/>
        <v>AVAILABLE</v>
      </c>
      <c r="H35" s="2">
        <v>0.0</v>
      </c>
      <c r="I35" s="2">
        <v>5.0</v>
      </c>
    </row>
    <row r="36">
      <c r="A36" s="23" t="s">
        <v>638</v>
      </c>
      <c r="B36" s="23" t="s">
        <v>639</v>
      </c>
      <c r="C36" s="38">
        <f>F36-'RUNNING STOCKS'!AJ36</f>
        <v>0</v>
      </c>
      <c r="D36" s="39" t="s">
        <v>21</v>
      </c>
      <c r="E36" s="40">
        <v>120.0</v>
      </c>
      <c r="F36" s="38">
        <f t="shared" si="1"/>
        <v>4</v>
      </c>
      <c r="G36" s="31" t="str">
        <f t="shared" si="2"/>
        <v>OUT OF STOCKS</v>
      </c>
      <c r="H36" s="2">
        <v>0.0</v>
      </c>
      <c r="I36" s="2">
        <v>4.0</v>
      </c>
    </row>
    <row r="37">
      <c r="A37" s="23" t="s">
        <v>640</v>
      </c>
      <c r="B37" s="23" t="s">
        <v>641</v>
      </c>
      <c r="C37" s="38">
        <f>F37-'RUNNING STOCKS'!AJ37</f>
        <v>6</v>
      </c>
      <c r="D37" s="39" t="s">
        <v>21</v>
      </c>
      <c r="E37" s="40"/>
      <c r="F37" s="38">
        <f t="shared" si="1"/>
        <v>30</v>
      </c>
      <c r="G37" s="31" t="str">
        <f t="shared" si="2"/>
        <v>AVAILABLE</v>
      </c>
      <c r="H37" s="2">
        <v>0.0</v>
      </c>
      <c r="I37" s="2">
        <v>30.0</v>
      </c>
    </row>
    <row r="38">
      <c r="A38" s="23" t="s">
        <v>642</v>
      </c>
      <c r="B38" s="23" t="s">
        <v>643</v>
      </c>
      <c r="C38" s="38">
        <f>F38-'RUNNING STOCKS'!AJ38</f>
        <v>0</v>
      </c>
      <c r="D38" s="39" t="s">
        <v>21</v>
      </c>
      <c r="E38" s="40"/>
      <c r="F38" s="38">
        <f t="shared" si="1"/>
        <v>0</v>
      </c>
      <c r="G38" s="31" t="str">
        <f t="shared" si="2"/>
        <v>OUT OF STOCKS</v>
      </c>
      <c r="H38" s="2">
        <v>0.0</v>
      </c>
    </row>
    <row r="39">
      <c r="A39" s="23" t="s">
        <v>644</v>
      </c>
      <c r="B39" s="23" t="s">
        <v>645</v>
      </c>
      <c r="C39" s="38">
        <f>F39-'RUNNING STOCKS'!AJ39</f>
        <v>15</v>
      </c>
      <c r="D39" s="39" t="s">
        <v>21</v>
      </c>
      <c r="E39" s="40">
        <v>35.0</v>
      </c>
      <c r="F39" s="38">
        <f t="shared" si="1"/>
        <v>37</v>
      </c>
      <c r="G39" s="31" t="str">
        <f t="shared" si="2"/>
        <v>AVAILABLE</v>
      </c>
      <c r="H39" s="2">
        <v>7.0</v>
      </c>
      <c r="I39" s="2">
        <v>30.0</v>
      </c>
    </row>
    <row r="40">
      <c r="A40" s="23" t="s">
        <v>646</v>
      </c>
      <c r="B40" s="23" t="s">
        <v>647</v>
      </c>
      <c r="C40" s="38">
        <f>F40-'RUNNING STOCKS'!AJ40</f>
        <v>0</v>
      </c>
      <c r="D40" s="39" t="s">
        <v>21</v>
      </c>
      <c r="E40" s="40">
        <v>49.0</v>
      </c>
      <c r="F40" s="38">
        <f t="shared" si="1"/>
        <v>5</v>
      </c>
      <c r="G40" s="31" t="str">
        <f t="shared" si="2"/>
        <v>OUT OF STOCKS</v>
      </c>
      <c r="H40" s="2">
        <v>0.0</v>
      </c>
      <c r="I40" s="2">
        <v>5.0</v>
      </c>
    </row>
    <row r="41">
      <c r="A41" s="23" t="s">
        <v>648</v>
      </c>
      <c r="B41" s="23" t="s">
        <v>649</v>
      </c>
      <c r="C41" s="38">
        <f>F41-'RUNNING STOCKS'!AJ41</f>
        <v>4</v>
      </c>
      <c r="D41" s="39" t="s">
        <v>21</v>
      </c>
      <c r="E41" s="40">
        <v>25.0</v>
      </c>
      <c r="F41" s="38">
        <f t="shared" si="1"/>
        <v>20</v>
      </c>
      <c r="G41" s="31" t="str">
        <f t="shared" si="2"/>
        <v>AVAILABLE</v>
      </c>
      <c r="H41" s="2">
        <v>20.0</v>
      </c>
    </row>
    <row r="42">
      <c r="A42" s="23" t="s">
        <v>650</v>
      </c>
      <c r="B42" s="23" t="s">
        <v>651</v>
      </c>
      <c r="C42" s="38">
        <f>F42-'RUNNING STOCKS'!AJ42</f>
        <v>0</v>
      </c>
      <c r="D42" s="39" t="s">
        <v>21</v>
      </c>
      <c r="E42" s="40">
        <v>108.0</v>
      </c>
      <c r="F42" s="38">
        <f t="shared" si="1"/>
        <v>3</v>
      </c>
      <c r="G42" s="31" t="str">
        <f t="shared" si="2"/>
        <v>OUT OF STOCKS</v>
      </c>
      <c r="H42" s="2">
        <v>3.0</v>
      </c>
    </row>
    <row r="43">
      <c r="A43" s="23" t="s">
        <v>652</v>
      </c>
      <c r="B43" s="23" t="s">
        <v>653</v>
      </c>
      <c r="C43" s="38">
        <f>F43-'RUNNING STOCKS'!AJ43</f>
        <v>7</v>
      </c>
      <c r="D43" s="39" t="s">
        <v>21</v>
      </c>
      <c r="E43" s="40"/>
      <c r="F43" s="38">
        <f t="shared" si="1"/>
        <v>10</v>
      </c>
      <c r="G43" s="31" t="str">
        <f t="shared" si="2"/>
        <v>AVAILABLE</v>
      </c>
      <c r="H43" s="2">
        <v>0.0</v>
      </c>
      <c r="I43" s="2">
        <v>10.0</v>
      </c>
    </row>
    <row r="44">
      <c r="A44" s="23" t="s">
        <v>654</v>
      </c>
      <c r="B44" s="29" t="s">
        <v>655</v>
      </c>
      <c r="C44" s="38">
        <f>F44-'RUNNING STOCKS'!AJ44</f>
        <v>5</v>
      </c>
      <c r="D44" s="39" t="s">
        <v>21</v>
      </c>
      <c r="E44" s="40"/>
      <c r="F44" s="38">
        <f t="shared" si="1"/>
        <v>5</v>
      </c>
      <c r="G44" s="31" t="str">
        <f t="shared" si="2"/>
        <v>AVAILABLE</v>
      </c>
      <c r="H44" s="2">
        <v>5.0</v>
      </c>
    </row>
    <row r="45">
      <c r="A45" s="23" t="s">
        <v>656</v>
      </c>
      <c r="B45" s="29" t="s">
        <v>657</v>
      </c>
      <c r="C45" s="38">
        <f>F45-'RUNNING STOCKS'!AJ45</f>
        <v>3</v>
      </c>
      <c r="D45" s="39" t="s">
        <v>21</v>
      </c>
      <c r="E45" s="40"/>
      <c r="F45" s="38">
        <f t="shared" si="1"/>
        <v>3</v>
      </c>
      <c r="G45" s="31" t="str">
        <f t="shared" si="2"/>
        <v>AVAILABLE</v>
      </c>
      <c r="H45" s="2">
        <v>3.0</v>
      </c>
    </row>
    <row r="46">
      <c r="A46" s="23" t="s">
        <v>658</v>
      </c>
      <c r="B46" s="23" t="s">
        <v>659</v>
      </c>
      <c r="C46" s="38">
        <f>F46-'RUNNING STOCKS'!AJ46</f>
        <v>5</v>
      </c>
      <c r="D46" s="39" t="s">
        <v>21</v>
      </c>
      <c r="E46" s="40"/>
      <c r="F46" s="38">
        <f t="shared" si="1"/>
        <v>5</v>
      </c>
      <c r="G46" s="31" t="str">
        <f t="shared" si="2"/>
        <v>AVAILABLE</v>
      </c>
      <c r="H46" s="2">
        <v>5.0</v>
      </c>
    </row>
    <row r="47">
      <c r="A47" s="23" t="s">
        <v>660</v>
      </c>
      <c r="B47" s="23" t="s">
        <v>661</v>
      </c>
      <c r="C47" s="38">
        <f>F47-'RUNNING STOCKS'!AJ47</f>
        <v>2</v>
      </c>
      <c r="D47" s="39" t="s">
        <v>21</v>
      </c>
      <c r="E47" s="40"/>
      <c r="F47" s="38">
        <f t="shared" si="1"/>
        <v>3</v>
      </c>
      <c r="G47" s="31" t="str">
        <f t="shared" si="2"/>
        <v>AVAILABLE</v>
      </c>
      <c r="H47" s="2">
        <v>3.0</v>
      </c>
    </row>
    <row r="48">
      <c r="A48" s="23" t="s">
        <v>662</v>
      </c>
      <c r="B48" s="23" t="s">
        <v>663</v>
      </c>
      <c r="C48" s="38">
        <f>F48-'RUNNING STOCKS'!AJ48</f>
        <v>0</v>
      </c>
      <c r="D48" s="39" t="s">
        <v>21</v>
      </c>
      <c r="E48" s="40"/>
      <c r="F48" s="38">
        <f t="shared" si="1"/>
        <v>0</v>
      </c>
      <c r="G48" s="31" t="str">
        <f t="shared" si="2"/>
        <v>OUT OF STOCKS</v>
      </c>
    </row>
    <row r="49">
      <c r="A49" s="23" t="s">
        <v>664</v>
      </c>
      <c r="B49" s="23" t="s">
        <v>665</v>
      </c>
      <c r="C49" s="38">
        <f>F49-'RUNNING STOCKS'!AJ49</f>
        <v>0</v>
      </c>
      <c r="D49" s="39" t="s">
        <v>21</v>
      </c>
      <c r="E49" s="42"/>
      <c r="F49" s="38">
        <f t="shared" si="1"/>
        <v>0</v>
      </c>
      <c r="G49" s="31" t="str">
        <f t="shared" si="2"/>
        <v>OUT OF STOCKS</v>
      </c>
    </row>
    <row r="50">
      <c r="A50" s="23" t="s">
        <v>666</v>
      </c>
      <c r="B50" s="23" t="s">
        <v>667</v>
      </c>
      <c r="C50" s="38">
        <f>F50-'RUNNING STOCKS'!AJ50</f>
        <v>0</v>
      </c>
      <c r="D50" s="39" t="s">
        <v>21</v>
      </c>
      <c r="E50" s="42"/>
      <c r="F50" s="38">
        <f t="shared" si="1"/>
        <v>0</v>
      </c>
      <c r="G50" s="31" t="str">
        <f t="shared" si="2"/>
        <v>OUT OF STOCKS</v>
      </c>
    </row>
    <row r="51">
      <c r="A51" s="23" t="s">
        <v>668</v>
      </c>
      <c r="B51" s="23" t="s">
        <v>669</v>
      </c>
      <c r="C51" s="38">
        <f>F51-'RUNNING STOCKS'!AJ51</f>
        <v>0</v>
      </c>
      <c r="D51" s="39" t="s">
        <v>21</v>
      </c>
      <c r="E51" s="42"/>
      <c r="F51" s="38">
        <f t="shared" si="1"/>
        <v>0</v>
      </c>
      <c r="G51" s="31" t="str">
        <f t="shared" si="2"/>
        <v>OUT OF STOCKS</v>
      </c>
    </row>
    <row r="52">
      <c r="A52" s="23" t="s">
        <v>670</v>
      </c>
      <c r="B52" s="23" t="s">
        <v>671</v>
      </c>
      <c r="C52" s="38">
        <f>F52-'RUNNING STOCKS'!AJ52</f>
        <v>0</v>
      </c>
      <c r="D52" s="39" t="s">
        <v>21</v>
      </c>
      <c r="E52" s="42"/>
      <c r="F52" s="38">
        <f t="shared" si="1"/>
        <v>0</v>
      </c>
      <c r="G52" s="31" t="str">
        <f t="shared" si="2"/>
        <v>OUT OF STOCKS</v>
      </c>
    </row>
    <row r="53">
      <c r="A53" s="23" t="s">
        <v>672</v>
      </c>
      <c r="B53" s="23" t="s">
        <v>673</v>
      </c>
      <c r="C53" s="38">
        <f>F53-'RUNNING STOCKS'!AJ53</f>
        <v>0</v>
      </c>
      <c r="D53" s="39" t="s">
        <v>21</v>
      </c>
      <c r="E53" s="42"/>
      <c r="F53" s="38">
        <f t="shared" si="1"/>
        <v>0</v>
      </c>
      <c r="G53" s="31" t="str">
        <f t="shared" si="2"/>
        <v>OUT OF STOCKS</v>
      </c>
    </row>
    <row r="54">
      <c r="A54" s="23" t="s">
        <v>674</v>
      </c>
      <c r="B54" s="23" t="s">
        <v>675</v>
      </c>
      <c r="C54" s="38">
        <f>F54-'RUNNING STOCKS'!AJ54</f>
        <v>0</v>
      </c>
      <c r="D54" s="39" t="s">
        <v>21</v>
      </c>
      <c r="E54" s="42"/>
      <c r="F54" s="38">
        <f t="shared" si="1"/>
        <v>0</v>
      </c>
      <c r="G54" s="31" t="str">
        <f t="shared" si="2"/>
        <v>OUT OF STOCKS</v>
      </c>
    </row>
    <row r="55">
      <c r="A55" s="23" t="s">
        <v>676</v>
      </c>
      <c r="B55" s="23" t="s">
        <v>677</v>
      </c>
      <c r="C55" s="38">
        <f>F55-'RUNNING STOCKS'!AJ55</f>
        <v>0</v>
      </c>
      <c r="D55" s="39" t="s">
        <v>21</v>
      </c>
      <c r="E55" s="42"/>
      <c r="F55" s="38">
        <f t="shared" si="1"/>
        <v>0</v>
      </c>
      <c r="G55" s="31" t="str">
        <f t="shared" si="2"/>
        <v>OUT OF STOCKS</v>
      </c>
    </row>
    <row r="56">
      <c r="A56" s="23" t="s">
        <v>678</v>
      </c>
      <c r="B56" s="23" t="s">
        <v>679</v>
      </c>
      <c r="C56" s="38">
        <f>F56-'RUNNING STOCKS'!AJ56</f>
        <v>165</v>
      </c>
      <c r="D56" s="39" t="s">
        <v>21</v>
      </c>
      <c r="E56" s="40">
        <v>27.0</v>
      </c>
      <c r="F56" s="38">
        <f t="shared" si="1"/>
        <v>366</v>
      </c>
      <c r="G56" s="31" t="str">
        <f t="shared" si="2"/>
        <v>AVAILABLE</v>
      </c>
      <c r="H56" s="2">
        <v>126.0</v>
      </c>
      <c r="J56" s="2">
        <v>240.0</v>
      </c>
    </row>
    <row r="57">
      <c r="A57" s="23" t="s">
        <v>680</v>
      </c>
      <c r="B57" s="23" t="s">
        <v>681</v>
      </c>
      <c r="C57" s="38">
        <f>F57-'RUNNING STOCKS'!AJ57</f>
        <v>0</v>
      </c>
      <c r="D57" s="39" t="s">
        <v>21</v>
      </c>
      <c r="E57" s="42"/>
      <c r="F57" s="38">
        <f t="shared" si="1"/>
        <v>1</v>
      </c>
      <c r="G57" s="31" t="str">
        <f t="shared" si="2"/>
        <v>OUT OF STOCKS</v>
      </c>
      <c r="H57" s="2">
        <v>1.0</v>
      </c>
    </row>
    <row r="58">
      <c r="A58" s="23" t="s">
        <v>682</v>
      </c>
      <c r="B58" s="23" t="s">
        <v>683</v>
      </c>
      <c r="C58" s="38">
        <f>F58-'RUNNING STOCKS'!AJ58</f>
        <v>0</v>
      </c>
      <c r="D58" s="39" t="s">
        <v>21</v>
      </c>
      <c r="E58" s="42"/>
      <c r="F58" s="38">
        <f t="shared" si="1"/>
        <v>2</v>
      </c>
      <c r="G58" s="31" t="str">
        <f t="shared" si="2"/>
        <v>OUT OF STOCKS</v>
      </c>
      <c r="H58" s="2">
        <v>2.0</v>
      </c>
    </row>
    <row r="59">
      <c r="A59" s="23" t="s">
        <v>684</v>
      </c>
      <c r="B59" s="23" t="s">
        <v>685</v>
      </c>
      <c r="C59" s="38">
        <f>F59-'RUNNING STOCKS'!AJ59</f>
        <v>3</v>
      </c>
      <c r="D59" s="39" t="s">
        <v>21</v>
      </c>
      <c r="E59" s="42"/>
      <c r="F59" s="38">
        <f t="shared" si="1"/>
        <v>3</v>
      </c>
      <c r="G59" s="31" t="str">
        <f t="shared" si="2"/>
        <v>AVAILABLE</v>
      </c>
      <c r="H59" s="2">
        <v>3.0</v>
      </c>
    </row>
    <row r="60">
      <c r="A60" s="23" t="s">
        <v>686</v>
      </c>
      <c r="B60" s="23" t="s">
        <v>687</v>
      </c>
      <c r="C60" s="38">
        <f>F60-'RUNNING STOCKS'!AJ60</f>
        <v>6</v>
      </c>
      <c r="D60" s="39" t="s">
        <v>21</v>
      </c>
      <c r="E60" s="40">
        <v>165.0</v>
      </c>
      <c r="F60" s="38">
        <f t="shared" si="1"/>
        <v>10</v>
      </c>
      <c r="G60" s="31" t="str">
        <f t="shared" si="2"/>
        <v>AVAILABLE</v>
      </c>
      <c r="H60" s="2">
        <v>5.0</v>
      </c>
      <c r="I60" s="2">
        <v>5.0</v>
      </c>
    </row>
    <row r="61">
      <c r="A61" s="23" t="s">
        <v>688</v>
      </c>
      <c r="B61" s="23" t="s">
        <v>689</v>
      </c>
      <c r="C61" s="38">
        <f>F61-'RUNNING STOCKS'!AJ61</f>
        <v>39</v>
      </c>
      <c r="D61" s="39" t="s">
        <v>21</v>
      </c>
      <c r="E61" s="40">
        <v>12.0</v>
      </c>
      <c r="F61" s="38">
        <f t="shared" si="1"/>
        <v>95</v>
      </c>
      <c r="G61" s="31" t="str">
        <f t="shared" si="2"/>
        <v>AVAILABLE</v>
      </c>
      <c r="H61" s="2">
        <v>23.0</v>
      </c>
      <c r="J61" s="2">
        <v>72.0</v>
      </c>
    </row>
    <row r="62">
      <c r="A62" s="23" t="s">
        <v>690</v>
      </c>
      <c r="B62" s="23" t="s">
        <v>691</v>
      </c>
      <c r="C62" s="38">
        <f>F62-'RUNNING STOCKS'!AJ62</f>
        <v>9</v>
      </c>
      <c r="D62" s="39" t="s">
        <v>21</v>
      </c>
      <c r="E62" s="40">
        <v>38.0</v>
      </c>
      <c r="F62" s="38">
        <f t="shared" si="1"/>
        <v>54</v>
      </c>
      <c r="G62" s="31" t="str">
        <f t="shared" si="2"/>
        <v>AVAILABLE</v>
      </c>
      <c r="H62" s="2">
        <v>36.0</v>
      </c>
      <c r="J62" s="2">
        <v>18.0</v>
      </c>
    </row>
    <row r="63">
      <c r="A63" s="23" t="s">
        <v>692</v>
      </c>
      <c r="B63" s="23" t="s">
        <v>693</v>
      </c>
      <c r="C63" s="38">
        <f>F63-'RUNNING STOCKS'!AJ63</f>
        <v>8</v>
      </c>
      <c r="D63" s="39" t="s">
        <v>21</v>
      </c>
      <c r="E63" s="42"/>
      <c r="F63" s="38">
        <f t="shared" si="1"/>
        <v>18</v>
      </c>
      <c r="G63" s="31" t="str">
        <f t="shared" si="2"/>
        <v>AVAILABLE</v>
      </c>
      <c r="H63" s="2">
        <v>4.0</v>
      </c>
      <c r="J63" s="2">
        <v>14.0</v>
      </c>
    </row>
    <row r="64">
      <c r="A64" s="23" t="s">
        <v>694</v>
      </c>
      <c r="B64" s="23" t="s">
        <v>695</v>
      </c>
      <c r="C64" s="38">
        <f>F64-'RUNNING STOCKS'!AJ64</f>
        <v>4</v>
      </c>
      <c r="D64" s="39" t="s">
        <v>696</v>
      </c>
      <c r="E64" s="40">
        <v>47.0</v>
      </c>
      <c r="F64" s="38">
        <f t="shared" si="1"/>
        <v>23</v>
      </c>
      <c r="G64" s="31" t="str">
        <f t="shared" si="2"/>
        <v>AVAILABLE</v>
      </c>
      <c r="H64" s="2">
        <v>3.0</v>
      </c>
      <c r="I64" s="2">
        <v>20.0</v>
      </c>
    </row>
    <row r="65">
      <c r="A65" s="23" t="s">
        <v>697</v>
      </c>
      <c r="B65" s="23" t="s">
        <v>698</v>
      </c>
      <c r="C65" s="38">
        <f>F65-'RUNNING STOCKS'!AJ65</f>
        <v>0</v>
      </c>
      <c r="D65" s="39" t="s">
        <v>696</v>
      </c>
      <c r="E65" s="42"/>
      <c r="F65" s="38">
        <f t="shared" si="1"/>
        <v>0</v>
      </c>
      <c r="G65" s="31" t="str">
        <f t="shared" si="2"/>
        <v>OUT OF STOCKS</v>
      </c>
    </row>
    <row r="66">
      <c r="A66" s="23" t="s">
        <v>699</v>
      </c>
      <c r="B66" s="23" t="s">
        <v>700</v>
      </c>
      <c r="C66" s="38">
        <f>F66-'RUNNING STOCKS'!AJ66</f>
        <v>0</v>
      </c>
      <c r="D66" s="39" t="s">
        <v>696</v>
      </c>
      <c r="E66" s="42"/>
      <c r="F66" s="38">
        <f t="shared" si="1"/>
        <v>0</v>
      </c>
      <c r="G66" s="31" t="str">
        <f t="shared" si="2"/>
        <v>OUT OF STOCKS</v>
      </c>
    </row>
    <row r="67">
      <c r="A67" s="23" t="s">
        <v>701</v>
      </c>
      <c r="B67" s="23" t="s">
        <v>702</v>
      </c>
      <c r="C67" s="38">
        <f>F67-'RUNNING STOCKS'!AJ67</f>
        <v>16</v>
      </c>
      <c r="D67" s="39" t="s">
        <v>703</v>
      </c>
      <c r="E67" s="42"/>
      <c r="F67" s="38">
        <f t="shared" si="1"/>
        <v>27</v>
      </c>
      <c r="G67" s="31" t="str">
        <f t="shared" si="2"/>
        <v>AVAILABLE</v>
      </c>
      <c r="H67" s="2">
        <v>7.0</v>
      </c>
      <c r="I67" s="2">
        <v>20.0</v>
      </c>
    </row>
    <row r="68">
      <c r="A68" s="23" t="s">
        <v>704</v>
      </c>
      <c r="B68" s="23" t="s">
        <v>705</v>
      </c>
      <c r="C68" s="38">
        <f>F68-'RUNNING STOCKS'!AJ68</f>
        <v>10</v>
      </c>
      <c r="D68" s="39" t="s">
        <v>703</v>
      </c>
      <c r="E68" s="42"/>
      <c r="F68" s="38">
        <f t="shared" si="1"/>
        <v>15</v>
      </c>
      <c r="G68" s="31" t="str">
        <f t="shared" si="2"/>
        <v>AVAILABLE</v>
      </c>
      <c r="H68" s="2">
        <v>15.0</v>
      </c>
    </row>
    <row r="69">
      <c r="A69" s="23" t="s">
        <v>706</v>
      </c>
      <c r="B69" s="29" t="s">
        <v>707</v>
      </c>
      <c r="C69" s="38">
        <f>F69-'RUNNING STOCKS'!AJ69</f>
        <v>0</v>
      </c>
      <c r="D69" s="39" t="s">
        <v>703</v>
      </c>
      <c r="E69" s="42"/>
      <c r="F69" s="38">
        <f t="shared" si="1"/>
        <v>0</v>
      </c>
      <c r="G69" s="31" t="str">
        <f t="shared" si="2"/>
        <v>OUT OF STOCKS</v>
      </c>
    </row>
    <row r="70">
      <c r="A70" s="23" t="s">
        <v>708</v>
      </c>
      <c r="B70" s="29" t="s">
        <v>784</v>
      </c>
      <c r="C70" s="38">
        <f>F70-'RUNNING STOCKS'!AJ70</f>
        <v>8</v>
      </c>
      <c r="D70" s="39" t="s">
        <v>703</v>
      </c>
      <c r="E70" s="42"/>
      <c r="F70" s="38">
        <f t="shared" si="1"/>
        <v>9</v>
      </c>
      <c r="G70" s="31" t="str">
        <f t="shared" si="2"/>
        <v>AVAILABLE</v>
      </c>
      <c r="H70" s="2">
        <v>6.0</v>
      </c>
      <c r="I70" s="2">
        <v>3.0</v>
      </c>
    </row>
    <row r="71">
      <c r="A71" s="23" t="s">
        <v>710</v>
      </c>
      <c r="B71" s="29" t="s">
        <v>785</v>
      </c>
      <c r="C71" s="38">
        <f>F71-'RUNNING STOCKS'!AJ71</f>
        <v>7</v>
      </c>
      <c r="D71" s="39" t="s">
        <v>703</v>
      </c>
      <c r="E71" s="42"/>
      <c r="F71" s="38">
        <f t="shared" si="1"/>
        <v>8</v>
      </c>
      <c r="G71" s="31" t="str">
        <f t="shared" si="2"/>
        <v>AVAILABLE</v>
      </c>
      <c r="H71" s="2">
        <v>5.0</v>
      </c>
      <c r="I71" s="2">
        <v>3.0</v>
      </c>
    </row>
    <row r="72">
      <c r="A72" s="23" t="s">
        <v>712</v>
      </c>
      <c r="B72" s="29" t="s">
        <v>713</v>
      </c>
      <c r="C72" s="38">
        <f>F72-'RUNNING STOCKS'!AJ72</f>
        <v>9</v>
      </c>
      <c r="D72" s="39" t="s">
        <v>703</v>
      </c>
      <c r="E72" s="40">
        <v>28.0</v>
      </c>
      <c r="F72" s="38">
        <f t="shared" si="1"/>
        <v>10</v>
      </c>
      <c r="G72" s="31" t="str">
        <f t="shared" si="2"/>
        <v>AVAILABLE</v>
      </c>
      <c r="H72" s="2">
        <v>7.0</v>
      </c>
      <c r="I72" s="2">
        <v>3.0</v>
      </c>
    </row>
    <row r="73">
      <c r="A73" s="23" t="s">
        <v>714</v>
      </c>
      <c r="B73" s="29" t="s">
        <v>715</v>
      </c>
      <c r="C73" s="38">
        <f>F73-'RUNNING STOCKS'!AJ73</f>
        <v>10</v>
      </c>
      <c r="D73" s="39" t="s">
        <v>703</v>
      </c>
      <c r="E73" s="42"/>
      <c r="F73" s="38">
        <f t="shared" si="1"/>
        <v>12</v>
      </c>
      <c r="G73" s="31" t="str">
        <f t="shared" si="2"/>
        <v>AVAILABLE</v>
      </c>
      <c r="H73" s="2">
        <v>7.0</v>
      </c>
      <c r="I73" s="2">
        <v>5.0</v>
      </c>
    </row>
    <row r="74">
      <c r="A74" s="23" t="s">
        <v>716</v>
      </c>
      <c r="B74" s="29" t="s">
        <v>717</v>
      </c>
      <c r="C74" s="38">
        <f>F74-'RUNNING STOCKS'!AJ74</f>
        <v>5</v>
      </c>
      <c r="D74" s="39" t="s">
        <v>703</v>
      </c>
      <c r="E74" s="40">
        <v>45.0</v>
      </c>
      <c r="F74" s="38">
        <f t="shared" si="1"/>
        <v>11</v>
      </c>
      <c r="G74" s="31" t="str">
        <f t="shared" si="2"/>
        <v>AVAILABLE</v>
      </c>
      <c r="H74" s="2">
        <v>6.0</v>
      </c>
      <c r="I74" s="2">
        <v>5.0</v>
      </c>
    </row>
    <row r="75">
      <c r="A75" s="23" t="s">
        <v>718</v>
      </c>
      <c r="B75" s="29" t="s">
        <v>719</v>
      </c>
      <c r="C75" s="38">
        <f>F75-'RUNNING STOCKS'!AJ75</f>
        <v>0</v>
      </c>
      <c r="D75" s="39" t="s">
        <v>703</v>
      </c>
      <c r="E75" s="42"/>
      <c r="F75" s="38">
        <f t="shared" si="1"/>
        <v>0</v>
      </c>
      <c r="G75" s="31" t="str">
        <f t="shared" si="2"/>
        <v>OUT OF STOCKS</v>
      </c>
      <c r="H75" s="2">
        <v>0.0</v>
      </c>
    </row>
    <row r="76">
      <c r="A76" s="23" t="s">
        <v>720</v>
      </c>
      <c r="B76" s="23" t="s">
        <v>721</v>
      </c>
      <c r="C76" s="38">
        <f>F76-'RUNNING STOCKS'!AJ76</f>
        <v>0</v>
      </c>
      <c r="D76" s="39" t="s">
        <v>722</v>
      </c>
      <c r="E76" s="42"/>
      <c r="F76" s="38">
        <f t="shared" si="1"/>
        <v>4</v>
      </c>
      <c r="G76" s="31" t="str">
        <f t="shared" si="2"/>
        <v>OUT OF STOCKS</v>
      </c>
      <c r="H76" s="2">
        <v>4.0</v>
      </c>
    </row>
    <row r="77">
      <c r="A77" s="23" t="s">
        <v>367</v>
      </c>
      <c r="B77" s="23" t="s">
        <v>723</v>
      </c>
      <c r="C77" s="38">
        <f>F77-'RUNNING STOCKS'!AJ77</f>
        <v>0</v>
      </c>
      <c r="D77" s="39" t="s">
        <v>722</v>
      </c>
      <c r="E77" s="40">
        <v>45.0</v>
      </c>
      <c r="F77" s="38">
        <f t="shared" si="1"/>
        <v>3</v>
      </c>
      <c r="G77" s="31" t="str">
        <f t="shared" si="2"/>
        <v>OUT OF STOCKS</v>
      </c>
      <c r="H77" s="2">
        <v>3.0</v>
      </c>
    </row>
    <row r="78">
      <c r="A78" s="23" t="s">
        <v>724</v>
      </c>
      <c r="B78" s="23" t="s">
        <v>725</v>
      </c>
      <c r="C78" s="38">
        <f>F78-'RUNNING STOCKS'!AJ78</f>
        <v>5</v>
      </c>
      <c r="D78" s="39" t="s">
        <v>722</v>
      </c>
      <c r="E78" s="40">
        <v>34.0</v>
      </c>
      <c r="F78" s="38">
        <f t="shared" si="1"/>
        <v>12</v>
      </c>
      <c r="G78" s="31" t="str">
        <f t="shared" si="2"/>
        <v>AVAILABLE</v>
      </c>
      <c r="H78" s="2">
        <v>12.0</v>
      </c>
    </row>
    <row r="79">
      <c r="A79" s="23" t="s">
        <v>726</v>
      </c>
      <c r="B79" s="23" t="s">
        <v>727</v>
      </c>
      <c r="C79" s="38">
        <f>F79-'RUNNING STOCKS'!AJ79</f>
        <v>5</v>
      </c>
      <c r="D79" s="39" t="s">
        <v>722</v>
      </c>
      <c r="E79" s="40">
        <v>19.0</v>
      </c>
      <c r="F79" s="38">
        <f t="shared" si="1"/>
        <v>14</v>
      </c>
      <c r="G79" s="31" t="str">
        <f t="shared" si="2"/>
        <v>AVAILABLE</v>
      </c>
      <c r="H79" s="2">
        <v>14.0</v>
      </c>
    </row>
    <row r="80">
      <c r="A80" s="23" t="s">
        <v>728</v>
      </c>
      <c r="B80" s="23" t="s">
        <v>729</v>
      </c>
      <c r="C80" s="38">
        <f>F80-'RUNNING STOCKS'!AJ80</f>
        <v>2</v>
      </c>
      <c r="D80" s="39" t="s">
        <v>722</v>
      </c>
      <c r="E80" s="40">
        <v>33.25</v>
      </c>
      <c r="F80" s="38">
        <f t="shared" si="1"/>
        <v>8</v>
      </c>
      <c r="G80" s="31" t="str">
        <f t="shared" si="2"/>
        <v>AVAILABLE</v>
      </c>
      <c r="H80" s="2">
        <v>3.0</v>
      </c>
      <c r="J80" s="2">
        <v>5.0</v>
      </c>
    </row>
    <row r="81">
      <c r="A81" s="23" t="s">
        <v>730</v>
      </c>
      <c r="B81" s="23" t="s">
        <v>731</v>
      </c>
      <c r="C81" s="38">
        <f>F81-'RUNNING STOCKS'!AJ81</f>
        <v>4</v>
      </c>
      <c r="D81" s="39" t="s">
        <v>722</v>
      </c>
      <c r="E81" s="40">
        <v>51.0</v>
      </c>
      <c r="F81" s="38">
        <f t="shared" si="1"/>
        <v>9</v>
      </c>
      <c r="G81" s="31" t="str">
        <f t="shared" si="2"/>
        <v>AVAILABLE</v>
      </c>
      <c r="H81" s="2">
        <v>4.0</v>
      </c>
      <c r="J81" s="2">
        <v>5.0</v>
      </c>
    </row>
    <row r="82">
      <c r="A82" s="23" t="s">
        <v>732</v>
      </c>
      <c r="B82" s="23" t="s">
        <v>733</v>
      </c>
      <c r="C82" s="38">
        <f>F82-'RUNNING STOCKS'!AJ82</f>
        <v>3</v>
      </c>
      <c r="D82" s="39" t="s">
        <v>722</v>
      </c>
      <c r="E82" s="40">
        <v>67.0</v>
      </c>
      <c r="F82" s="38">
        <f t="shared" si="1"/>
        <v>9</v>
      </c>
      <c r="G82" s="31" t="str">
        <f t="shared" si="2"/>
        <v>AVAILABLE</v>
      </c>
      <c r="H82" s="2">
        <v>4.0</v>
      </c>
      <c r="J82" s="2">
        <v>5.0</v>
      </c>
    </row>
    <row r="83">
      <c r="A83" s="23" t="s">
        <v>734</v>
      </c>
      <c r="B83" s="23" t="s">
        <v>735</v>
      </c>
      <c r="C83" s="38">
        <f>F83-'RUNNING STOCKS'!AJ83</f>
        <v>370</v>
      </c>
      <c r="D83" s="39" t="s">
        <v>21</v>
      </c>
      <c r="E83" s="42"/>
      <c r="F83" s="38">
        <f t="shared" si="1"/>
        <v>600</v>
      </c>
      <c r="G83" s="31" t="str">
        <f t="shared" si="2"/>
        <v>AVAILABLE</v>
      </c>
      <c r="H83" s="2">
        <v>600.0</v>
      </c>
    </row>
    <row r="84">
      <c r="A84" s="23" t="s">
        <v>736</v>
      </c>
      <c r="B84" s="23" t="s">
        <v>737</v>
      </c>
      <c r="C84" s="38">
        <f>F84-'RUNNING STOCKS'!AJ84</f>
        <v>7</v>
      </c>
      <c r="D84" s="39" t="s">
        <v>48</v>
      </c>
      <c r="E84" s="42"/>
      <c r="F84" s="38">
        <f t="shared" si="1"/>
        <v>8</v>
      </c>
      <c r="G84" s="31" t="str">
        <f t="shared" si="2"/>
        <v>AVAILABLE</v>
      </c>
      <c r="H84" s="2">
        <v>8.0</v>
      </c>
    </row>
    <row r="85">
      <c r="A85" s="23" t="s">
        <v>738</v>
      </c>
      <c r="B85" s="23" t="s">
        <v>739</v>
      </c>
      <c r="C85" s="38">
        <f>F85-'RUNNING STOCKS'!AJ85</f>
        <v>9</v>
      </c>
      <c r="D85" s="39" t="s">
        <v>48</v>
      </c>
      <c r="E85" s="42"/>
      <c r="F85" s="38">
        <f t="shared" si="1"/>
        <v>11</v>
      </c>
      <c r="G85" s="31" t="str">
        <f t="shared" si="2"/>
        <v>AVAILABLE</v>
      </c>
      <c r="H85" s="2">
        <v>11.0</v>
      </c>
    </row>
    <row r="86">
      <c r="A86" s="23" t="s">
        <v>337</v>
      </c>
      <c r="B86" s="23" t="s">
        <v>338</v>
      </c>
      <c r="C86" s="38">
        <f>F86-'RUNNING STOCKS'!AJ86</f>
        <v>0</v>
      </c>
      <c r="D86" s="39" t="s">
        <v>48</v>
      </c>
      <c r="E86" s="42"/>
      <c r="F86" s="38">
        <f t="shared" si="1"/>
        <v>0</v>
      </c>
      <c r="G86" s="31" t="str">
        <f t="shared" si="2"/>
        <v>OUT OF STOCKS</v>
      </c>
    </row>
    <row r="87">
      <c r="A87" s="23" t="s">
        <v>740</v>
      </c>
      <c r="B87" s="23" t="s">
        <v>741</v>
      </c>
      <c r="C87" s="38">
        <f>F87-'RUNNING STOCKS'!AJ87</f>
        <v>3</v>
      </c>
      <c r="D87" s="39" t="s">
        <v>21</v>
      </c>
      <c r="E87" s="42"/>
      <c r="F87" s="38">
        <f t="shared" si="1"/>
        <v>10</v>
      </c>
      <c r="G87" s="31" t="str">
        <f t="shared" si="2"/>
        <v>AVAILABLE</v>
      </c>
      <c r="H87" s="2">
        <v>5.0</v>
      </c>
      <c r="J87" s="2">
        <v>5.0</v>
      </c>
    </row>
    <row r="88">
      <c r="A88" s="23" t="s">
        <v>742</v>
      </c>
      <c r="B88" s="23" t="s">
        <v>743</v>
      </c>
      <c r="C88" s="38">
        <f>F88-'RUNNING STOCKS'!AJ88</f>
        <v>22</v>
      </c>
      <c r="D88" s="39" t="s">
        <v>48</v>
      </c>
      <c r="E88" s="40">
        <v>16.15</v>
      </c>
      <c r="F88" s="38">
        <f t="shared" si="1"/>
        <v>34</v>
      </c>
      <c r="G88" s="31" t="str">
        <f t="shared" si="2"/>
        <v>AVAILABLE</v>
      </c>
      <c r="H88" s="2">
        <v>9.0</v>
      </c>
      <c r="J88" s="2">
        <v>25.0</v>
      </c>
    </row>
    <row r="89">
      <c r="A89" s="23" t="s">
        <v>744</v>
      </c>
      <c r="B89" s="23" t="s">
        <v>745</v>
      </c>
      <c r="C89" s="38">
        <f>F89-'RUNNING STOCKS'!AJ89</f>
        <v>22</v>
      </c>
      <c r="D89" s="39" t="s">
        <v>48</v>
      </c>
      <c r="E89" s="40">
        <v>26.55</v>
      </c>
      <c r="F89" s="38">
        <f t="shared" si="1"/>
        <v>31</v>
      </c>
      <c r="G89" s="31" t="str">
        <f t="shared" si="2"/>
        <v>AVAILABLE</v>
      </c>
      <c r="H89" s="2">
        <v>6.0</v>
      </c>
      <c r="J89" s="2">
        <v>25.0</v>
      </c>
    </row>
    <row r="90">
      <c r="A90" s="23" t="s">
        <v>746</v>
      </c>
      <c r="B90" s="23" t="s">
        <v>747</v>
      </c>
      <c r="C90" s="38">
        <f>F90-'RUNNING STOCKS'!AJ90</f>
        <v>1</v>
      </c>
      <c r="D90" s="39" t="s">
        <v>48</v>
      </c>
      <c r="E90" s="40">
        <v>68.0</v>
      </c>
      <c r="F90" s="38">
        <f t="shared" si="1"/>
        <v>5</v>
      </c>
      <c r="G90" s="31" t="str">
        <f t="shared" si="2"/>
        <v>AVAILABLE</v>
      </c>
      <c r="H90" s="2">
        <v>0.0</v>
      </c>
      <c r="J90" s="2">
        <v>5.0</v>
      </c>
    </row>
    <row r="91">
      <c r="A91" s="23" t="s">
        <v>748</v>
      </c>
      <c r="B91" s="23" t="s">
        <v>749</v>
      </c>
      <c r="C91" s="38">
        <f>F91-'RUNNING STOCKS'!AJ91</f>
        <v>0</v>
      </c>
      <c r="D91" s="39" t="s">
        <v>48</v>
      </c>
      <c r="E91" s="42"/>
      <c r="F91" s="38">
        <f t="shared" si="1"/>
        <v>2</v>
      </c>
      <c r="G91" s="31" t="str">
        <f t="shared" si="2"/>
        <v>OUT OF STOCKS</v>
      </c>
      <c r="H91" s="2">
        <v>2.0</v>
      </c>
    </row>
    <row r="92">
      <c r="A92" s="23" t="s">
        <v>750</v>
      </c>
      <c r="B92" s="23" t="s">
        <v>751</v>
      </c>
      <c r="C92" s="38">
        <f>F92-'RUNNING STOCKS'!AJ92</f>
        <v>-1</v>
      </c>
      <c r="D92" s="39" t="s">
        <v>752</v>
      </c>
      <c r="E92" s="42"/>
      <c r="F92" s="38">
        <f t="shared" si="1"/>
        <v>17</v>
      </c>
      <c r="G92" s="31" t="str">
        <f t="shared" si="2"/>
        <v>AVAILABLE</v>
      </c>
      <c r="H92" s="2">
        <v>8.0</v>
      </c>
      <c r="J92" s="2">
        <v>9.0</v>
      </c>
    </row>
    <row r="93">
      <c r="A93" s="23" t="s">
        <v>753</v>
      </c>
      <c r="B93" s="23" t="s">
        <v>754</v>
      </c>
      <c r="C93" s="38">
        <f>F93-'RUNNING STOCKS'!AJ93</f>
        <v>4</v>
      </c>
      <c r="D93" s="39" t="s">
        <v>755</v>
      </c>
      <c r="E93" s="40">
        <v>62.0</v>
      </c>
      <c r="F93" s="38">
        <f t="shared" si="1"/>
        <v>12</v>
      </c>
      <c r="G93" s="31" t="str">
        <f t="shared" si="2"/>
        <v>AVAILABLE</v>
      </c>
      <c r="H93" s="2">
        <v>2.0</v>
      </c>
      <c r="J93" s="2">
        <v>10.0</v>
      </c>
    </row>
    <row r="94">
      <c r="A94" s="23" t="s">
        <v>756</v>
      </c>
      <c r="B94" s="23" t="s">
        <v>757</v>
      </c>
      <c r="C94" s="38">
        <f>F94-'RUNNING STOCKS'!AJ94</f>
        <v>1</v>
      </c>
      <c r="D94" s="39" t="s">
        <v>755</v>
      </c>
      <c r="E94" s="40">
        <v>48.0</v>
      </c>
      <c r="F94" s="38">
        <f t="shared" si="1"/>
        <v>10</v>
      </c>
      <c r="G94" s="31" t="str">
        <f t="shared" si="2"/>
        <v>AVAILABLE</v>
      </c>
      <c r="J94" s="2">
        <v>10.0</v>
      </c>
    </row>
    <row r="95">
      <c r="A95" s="23" t="s">
        <v>758</v>
      </c>
      <c r="B95" s="23" t="s">
        <v>759</v>
      </c>
      <c r="C95" s="38">
        <f>F95-'RUNNING STOCKS'!AJ95</f>
        <v>2</v>
      </c>
      <c r="D95" s="39" t="s">
        <v>755</v>
      </c>
      <c r="E95" s="40">
        <v>34.0</v>
      </c>
      <c r="F95" s="38">
        <f t="shared" si="1"/>
        <v>7</v>
      </c>
      <c r="G95" s="31" t="str">
        <f t="shared" si="2"/>
        <v>AVAILABLE</v>
      </c>
      <c r="J95" s="2">
        <v>7.0</v>
      </c>
    </row>
    <row r="96">
      <c r="A96" s="23" t="s">
        <v>760</v>
      </c>
      <c r="B96" s="23" t="s">
        <v>761</v>
      </c>
      <c r="C96" s="38">
        <f>F96-'RUNNING STOCKS'!AJ96</f>
        <v>0</v>
      </c>
      <c r="D96" s="39" t="s">
        <v>755</v>
      </c>
      <c r="E96" s="42"/>
      <c r="F96" s="38">
        <f t="shared" si="1"/>
        <v>10</v>
      </c>
      <c r="G96" s="31" t="str">
        <f t="shared" si="2"/>
        <v>OUT OF STOCKS</v>
      </c>
      <c r="H96" s="2">
        <v>6.0</v>
      </c>
      <c r="J96" s="2">
        <v>4.0</v>
      </c>
    </row>
    <row r="97">
      <c r="A97" s="23" t="s">
        <v>762</v>
      </c>
      <c r="B97" s="23" t="s">
        <v>763</v>
      </c>
      <c r="C97" s="38">
        <f>F97-'RUNNING STOCKS'!AJ97</f>
        <v>1</v>
      </c>
      <c r="D97" s="39" t="s">
        <v>755</v>
      </c>
      <c r="E97" s="40">
        <v>28.0</v>
      </c>
      <c r="F97" s="38">
        <f t="shared" si="1"/>
        <v>8</v>
      </c>
      <c r="G97" s="31" t="str">
        <f t="shared" si="2"/>
        <v>AVAILABLE</v>
      </c>
      <c r="J97" s="2">
        <v>8.0</v>
      </c>
    </row>
    <row r="98">
      <c r="A98" s="23" t="s">
        <v>764</v>
      </c>
      <c r="B98" s="23" t="s">
        <v>765</v>
      </c>
      <c r="C98" s="38">
        <f>F98-'RUNNING STOCKS'!AJ98</f>
        <v>59</v>
      </c>
      <c r="D98" s="39" t="s">
        <v>755</v>
      </c>
      <c r="E98" s="40">
        <v>216.0</v>
      </c>
      <c r="F98" s="38">
        <f t="shared" si="1"/>
        <v>76</v>
      </c>
      <c r="G98" s="31" t="str">
        <f t="shared" si="2"/>
        <v>AVAILABLE</v>
      </c>
      <c r="H98" s="2">
        <v>28.0</v>
      </c>
      <c r="J98" s="2">
        <v>48.0</v>
      </c>
    </row>
    <row r="99">
      <c r="A99" s="23" t="s">
        <v>766</v>
      </c>
      <c r="B99" s="23" t="s">
        <v>767</v>
      </c>
      <c r="C99" s="38">
        <f>F99-'RUNNING STOCKS'!AJ99</f>
        <v>9</v>
      </c>
      <c r="D99" s="39" t="s">
        <v>768</v>
      </c>
      <c r="E99" s="42"/>
      <c r="F99" s="38">
        <f t="shared" si="1"/>
        <v>10</v>
      </c>
      <c r="G99" s="31" t="str">
        <f t="shared" si="2"/>
        <v>AVAILABLE</v>
      </c>
      <c r="H99" s="2">
        <v>10.0</v>
      </c>
    </row>
    <row r="100">
      <c r="A100" s="23" t="s">
        <v>769</v>
      </c>
      <c r="B100" s="23" t="s">
        <v>770</v>
      </c>
      <c r="C100" s="38">
        <f>F100-'RUNNING STOCKS'!AJ100</f>
        <v>4</v>
      </c>
      <c r="D100" s="39" t="s">
        <v>768</v>
      </c>
      <c r="E100" s="42"/>
      <c r="F100" s="38">
        <f t="shared" si="1"/>
        <v>10</v>
      </c>
      <c r="G100" s="31" t="str">
        <f t="shared" si="2"/>
        <v>AVAILABLE</v>
      </c>
      <c r="H100" s="2">
        <v>10.0</v>
      </c>
    </row>
    <row r="101">
      <c r="A101" s="23" t="s">
        <v>771</v>
      </c>
      <c r="B101" s="23" t="s">
        <v>772</v>
      </c>
      <c r="C101" s="38">
        <f>F101-'RUNNING STOCKS'!AJ101</f>
        <v>0</v>
      </c>
      <c r="D101" s="39" t="s">
        <v>768</v>
      </c>
      <c r="E101" s="42"/>
      <c r="F101" s="38">
        <f t="shared" si="1"/>
        <v>0</v>
      </c>
      <c r="G101" s="31" t="str">
        <f t="shared" si="2"/>
        <v>OUT OF STOCKS</v>
      </c>
    </row>
    <row r="102">
      <c r="A102" s="23" t="s">
        <v>773</v>
      </c>
      <c r="B102" s="29" t="s">
        <v>774</v>
      </c>
      <c r="C102" s="38">
        <f>F102-'RUNNING STOCKS'!AJ102</f>
        <v>0</v>
      </c>
      <c r="D102" s="43" t="s">
        <v>21</v>
      </c>
      <c r="E102" s="40"/>
      <c r="F102" s="38">
        <f t="shared" si="1"/>
        <v>0</v>
      </c>
      <c r="G102" s="31" t="str">
        <f t="shared" si="2"/>
        <v>OUT OF STOCKS</v>
      </c>
    </row>
    <row r="103">
      <c r="A103" s="23" t="s">
        <v>775</v>
      </c>
      <c r="B103" s="29" t="s">
        <v>776</v>
      </c>
      <c r="C103" s="38">
        <f>F103-'RUNNING STOCKS'!AJ103</f>
        <v>1</v>
      </c>
      <c r="D103" s="43" t="s">
        <v>21</v>
      </c>
      <c r="E103" s="40"/>
      <c r="F103" s="38">
        <f t="shared" si="1"/>
        <v>2</v>
      </c>
      <c r="G103" s="31" t="str">
        <f t="shared" si="2"/>
        <v>AVAILABLE</v>
      </c>
      <c r="H103" s="2">
        <v>2.0</v>
      </c>
    </row>
    <row r="104">
      <c r="A104" s="23" t="s">
        <v>777</v>
      </c>
      <c r="B104" s="29" t="s">
        <v>778</v>
      </c>
      <c r="C104" s="38">
        <f>F104-'RUNNING STOCKS'!AJ104</f>
        <v>17</v>
      </c>
      <c r="D104" s="43" t="s">
        <v>21</v>
      </c>
      <c r="E104" s="40"/>
      <c r="F104" s="38">
        <f t="shared" si="1"/>
        <v>107</v>
      </c>
      <c r="G104" s="31" t="str">
        <f t="shared" si="2"/>
        <v>AVAILABLE</v>
      </c>
      <c r="H104" s="2">
        <v>7.0</v>
      </c>
      <c r="I104" s="2">
        <v>100.0</v>
      </c>
    </row>
    <row r="105">
      <c r="A105" s="23" t="s">
        <v>779</v>
      </c>
      <c r="B105" s="29" t="s">
        <v>780</v>
      </c>
      <c r="C105" s="38">
        <f>F105-'RUNNING STOCKS'!AJ105</f>
        <v>4</v>
      </c>
      <c r="D105" s="43" t="s">
        <v>703</v>
      </c>
      <c r="E105" s="44"/>
      <c r="F105" s="38">
        <f t="shared" si="1"/>
        <v>5</v>
      </c>
      <c r="G105" s="31" t="str">
        <f t="shared" si="2"/>
        <v>AVAILABLE</v>
      </c>
      <c r="H105" s="45">
        <v>5.0</v>
      </c>
    </row>
    <row r="106">
      <c r="A106" s="2" t="s">
        <v>781</v>
      </c>
      <c r="B106" s="2" t="s">
        <v>786</v>
      </c>
      <c r="C106" s="38">
        <f>F106-'RUNNING STOCKS'!AJ106</f>
        <v>-2</v>
      </c>
      <c r="D106" s="2" t="s">
        <v>21</v>
      </c>
      <c r="E106" s="46"/>
      <c r="F106" s="38">
        <f t="shared" si="1"/>
        <v>5</v>
      </c>
      <c r="G106" s="31" t="str">
        <f t="shared" si="2"/>
        <v>AVAILABLE</v>
      </c>
      <c r="H106" s="2">
        <v>5.0</v>
      </c>
    </row>
    <row r="107">
      <c r="E107" s="47"/>
      <c r="G107" s="31"/>
    </row>
    <row r="108">
      <c r="E108" s="47"/>
      <c r="G108" s="31"/>
    </row>
    <row r="109">
      <c r="E109" s="47"/>
      <c r="G109" s="31"/>
    </row>
    <row r="110">
      <c r="E110" s="47"/>
      <c r="G110" s="31"/>
    </row>
    <row r="111">
      <c r="E111" s="47"/>
      <c r="G111" s="31"/>
    </row>
    <row r="112">
      <c r="E112" s="47"/>
      <c r="G112" s="31"/>
    </row>
    <row r="113">
      <c r="E113" s="47"/>
      <c r="G113" s="31"/>
    </row>
    <row r="114">
      <c r="E114" s="47"/>
      <c r="G114" s="31"/>
    </row>
    <row r="115">
      <c r="E115" s="47"/>
      <c r="G115" s="31"/>
    </row>
    <row r="116">
      <c r="E116" s="47"/>
      <c r="G116" s="31"/>
    </row>
    <row r="117">
      <c r="E117" s="47"/>
      <c r="G117" s="31"/>
    </row>
    <row r="118">
      <c r="E118" s="47"/>
      <c r="G118" s="31"/>
    </row>
    <row r="119">
      <c r="E119" s="47"/>
      <c r="G119" s="31"/>
    </row>
    <row r="120">
      <c r="E120" s="47"/>
      <c r="G120" s="31"/>
    </row>
    <row r="121">
      <c r="E121" s="47"/>
      <c r="G121" s="31"/>
    </row>
    <row r="122">
      <c r="E122" s="47"/>
      <c r="G122" s="31"/>
    </row>
    <row r="123">
      <c r="E123" s="47"/>
      <c r="G123" s="31"/>
    </row>
    <row r="124">
      <c r="E124" s="47"/>
      <c r="G124" s="31"/>
    </row>
    <row r="125">
      <c r="E125" s="47"/>
      <c r="G125" s="31"/>
    </row>
    <row r="126">
      <c r="E126" s="47"/>
      <c r="G126" s="31"/>
    </row>
    <row r="127">
      <c r="E127" s="47"/>
      <c r="G127" s="31"/>
    </row>
    <row r="128">
      <c r="E128" s="47"/>
      <c r="G128" s="31"/>
    </row>
    <row r="129">
      <c r="E129" s="47"/>
      <c r="G129" s="31"/>
    </row>
    <row r="130">
      <c r="E130" s="47"/>
      <c r="G130" s="31"/>
    </row>
    <row r="131">
      <c r="E131" s="47"/>
      <c r="G131" s="31"/>
    </row>
    <row r="132">
      <c r="E132" s="47"/>
      <c r="G132" s="31"/>
    </row>
    <row r="133">
      <c r="E133" s="47"/>
      <c r="G133" s="31"/>
    </row>
    <row r="134">
      <c r="E134" s="47"/>
      <c r="G134" s="31"/>
    </row>
    <row r="135">
      <c r="E135" s="47"/>
      <c r="G135" s="31"/>
    </row>
    <row r="136">
      <c r="E136" s="47"/>
      <c r="G136" s="31"/>
    </row>
    <row r="137">
      <c r="E137" s="47"/>
      <c r="G137" s="31"/>
    </row>
    <row r="138">
      <c r="E138" s="47"/>
      <c r="G138" s="31"/>
    </row>
    <row r="139">
      <c r="E139" s="47"/>
      <c r="G139" s="31"/>
    </row>
    <row r="140">
      <c r="E140" s="47"/>
      <c r="G140" s="31"/>
    </row>
    <row r="141">
      <c r="E141" s="47"/>
      <c r="G141" s="31"/>
    </row>
    <row r="142">
      <c r="E142" s="47"/>
      <c r="G142" s="31"/>
    </row>
    <row r="143">
      <c r="E143" s="47"/>
      <c r="G143" s="31"/>
    </row>
    <row r="144">
      <c r="E144" s="47"/>
      <c r="G144" s="31"/>
    </row>
    <row r="145">
      <c r="E145" s="47"/>
      <c r="G145" s="31"/>
    </row>
    <row r="146">
      <c r="E146" s="47"/>
      <c r="G146" s="31"/>
    </row>
    <row r="147">
      <c r="E147" s="47"/>
      <c r="G147" s="31"/>
    </row>
    <row r="148">
      <c r="E148" s="47"/>
      <c r="G148" s="31"/>
    </row>
    <row r="149">
      <c r="E149" s="47"/>
      <c r="G149" s="31"/>
    </row>
    <row r="150">
      <c r="E150" s="47"/>
      <c r="G150" s="31"/>
    </row>
    <row r="151">
      <c r="E151" s="47"/>
      <c r="G151" s="31"/>
    </row>
    <row r="152">
      <c r="E152" s="47"/>
      <c r="G152" s="31"/>
    </row>
    <row r="153">
      <c r="E153" s="47"/>
      <c r="G153" s="31"/>
    </row>
    <row r="154">
      <c r="E154" s="47"/>
      <c r="G154" s="31"/>
    </row>
    <row r="155">
      <c r="E155" s="47"/>
      <c r="G155" s="31"/>
    </row>
    <row r="156">
      <c r="E156" s="47"/>
      <c r="G156" s="31"/>
    </row>
    <row r="157">
      <c r="E157" s="47"/>
      <c r="G157" s="31"/>
    </row>
    <row r="158">
      <c r="E158" s="47"/>
      <c r="G158" s="31"/>
    </row>
    <row r="159">
      <c r="E159" s="47"/>
      <c r="G159" s="31"/>
    </row>
    <row r="160">
      <c r="E160" s="47"/>
      <c r="G160" s="31"/>
    </row>
    <row r="161">
      <c r="E161" s="47"/>
      <c r="G161" s="31"/>
    </row>
    <row r="162">
      <c r="E162" s="47"/>
      <c r="G162" s="31"/>
    </row>
    <row r="163">
      <c r="E163" s="47"/>
      <c r="G163" s="31"/>
    </row>
    <row r="164">
      <c r="E164" s="47"/>
      <c r="G164" s="31"/>
    </row>
    <row r="165">
      <c r="E165" s="47"/>
      <c r="G165" s="31"/>
    </row>
    <row r="166">
      <c r="E166" s="47"/>
      <c r="G166" s="31"/>
    </row>
    <row r="167">
      <c r="E167" s="47"/>
      <c r="G167" s="31"/>
    </row>
    <row r="168">
      <c r="E168" s="47"/>
      <c r="G168" s="31"/>
    </row>
    <row r="169">
      <c r="E169" s="47"/>
      <c r="G169" s="31"/>
    </row>
    <row r="170">
      <c r="E170" s="47"/>
      <c r="G170" s="31"/>
    </row>
    <row r="171">
      <c r="E171" s="47"/>
      <c r="G171" s="31"/>
    </row>
    <row r="172">
      <c r="E172" s="47"/>
      <c r="G172" s="31"/>
    </row>
    <row r="173">
      <c r="E173" s="47"/>
      <c r="G173" s="31"/>
    </row>
    <row r="174">
      <c r="E174" s="47"/>
      <c r="G174" s="31"/>
    </row>
    <row r="175">
      <c r="E175" s="47"/>
      <c r="G175" s="31"/>
    </row>
    <row r="176">
      <c r="E176" s="47"/>
      <c r="G176" s="31"/>
    </row>
    <row r="177">
      <c r="E177" s="47"/>
      <c r="G177" s="31"/>
    </row>
    <row r="178">
      <c r="E178" s="47"/>
      <c r="G178" s="31"/>
    </row>
    <row r="179">
      <c r="E179" s="47"/>
      <c r="G179" s="31"/>
    </row>
    <row r="180">
      <c r="E180" s="47"/>
      <c r="G180" s="31"/>
    </row>
    <row r="181">
      <c r="E181" s="47"/>
      <c r="G181" s="31"/>
    </row>
    <row r="182">
      <c r="E182" s="47"/>
      <c r="G182" s="31"/>
    </row>
    <row r="183">
      <c r="E183" s="47"/>
      <c r="G183" s="31"/>
    </row>
    <row r="184">
      <c r="E184" s="47"/>
      <c r="G184" s="31"/>
    </row>
    <row r="185">
      <c r="E185" s="47"/>
      <c r="G185" s="31"/>
    </row>
    <row r="186">
      <c r="E186" s="47"/>
      <c r="G186" s="31"/>
    </row>
    <row r="187">
      <c r="E187" s="47"/>
      <c r="G187" s="31"/>
    </row>
    <row r="188">
      <c r="E188" s="47"/>
      <c r="G188" s="31"/>
    </row>
    <row r="189">
      <c r="E189" s="47"/>
      <c r="G189" s="31"/>
    </row>
    <row r="190">
      <c r="E190" s="47"/>
      <c r="G190" s="31"/>
    </row>
    <row r="191">
      <c r="E191" s="47"/>
      <c r="G191" s="31"/>
    </row>
    <row r="192">
      <c r="E192" s="47"/>
      <c r="G192" s="31"/>
    </row>
    <row r="193">
      <c r="E193" s="47"/>
      <c r="G193" s="31"/>
    </row>
    <row r="194">
      <c r="E194" s="47"/>
      <c r="G194" s="31"/>
    </row>
    <row r="195">
      <c r="E195" s="47"/>
      <c r="G195" s="31"/>
    </row>
    <row r="196">
      <c r="E196" s="47"/>
      <c r="G196" s="31"/>
    </row>
    <row r="197">
      <c r="E197" s="47"/>
      <c r="G197" s="31"/>
    </row>
    <row r="198">
      <c r="E198" s="47"/>
      <c r="G198" s="31"/>
    </row>
    <row r="199">
      <c r="E199" s="47"/>
      <c r="G199" s="31"/>
    </row>
    <row r="200">
      <c r="E200" s="47"/>
      <c r="G200" s="31"/>
    </row>
    <row r="201">
      <c r="E201" s="47"/>
      <c r="G201" s="31"/>
    </row>
    <row r="202">
      <c r="E202" s="47"/>
      <c r="G202" s="31"/>
    </row>
    <row r="203">
      <c r="E203" s="47"/>
      <c r="G203" s="31"/>
    </row>
    <row r="204">
      <c r="E204" s="47"/>
      <c r="G204" s="31"/>
    </row>
    <row r="205">
      <c r="E205" s="47"/>
      <c r="G205" s="31"/>
    </row>
    <row r="206">
      <c r="E206" s="47"/>
      <c r="G206" s="31"/>
    </row>
    <row r="207">
      <c r="E207" s="47"/>
      <c r="G207" s="31"/>
    </row>
    <row r="208">
      <c r="E208" s="47"/>
      <c r="G208" s="31"/>
    </row>
    <row r="209">
      <c r="E209" s="47"/>
      <c r="G209" s="31"/>
    </row>
    <row r="210">
      <c r="E210" s="47"/>
      <c r="G210" s="31"/>
    </row>
    <row r="211">
      <c r="E211" s="47"/>
      <c r="G211" s="31"/>
    </row>
    <row r="212">
      <c r="E212" s="47"/>
      <c r="G212" s="31"/>
    </row>
    <row r="213">
      <c r="E213" s="47"/>
      <c r="G213" s="31"/>
    </row>
    <row r="214">
      <c r="E214" s="47"/>
      <c r="G214" s="31"/>
    </row>
    <row r="215">
      <c r="E215" s="47"/>
      <c r="G215" s="31"/>
    </row>
    <row r="216">
      <c r="E216" s="47"/>
      <c r="G216" s="31"/>
    </row>
    <row r="217">
      <c r="E217" s="47"/>
      <c r="G217" s="31"/>
    </row>
    <row r="218">
      <c r="E218" s="47"/>
      <c r="G218" s="31"/>
    </row>
    <row r="219">
      <c r="E219" s="47"/>
      <c r="G219" s="31"/>
    </row>
    <row r="220">
      <c r="E220" s="47"/>
      <c r="G220" s="31"/>
    </row>
    <row r="221">
      <c r="E221" s="47"/>
      <c r="G221" s="31"/>
    </row>
    <row r="222">
      <c r="E222" s="47"/>
      <c r="G222" s="31"/>
    </row>
    <row r="223">
      <c r="E223" s="47"/>
      <c r="G223" s="31"/>
    </row>
    <row r="224">
      <c r="E224" s="47"/>
      <c r="G224" s="31"/>
    </row>
    <row r="225">
      <c r="E225" s="47"/>
      <c r="G225" s="31"/>
    </row>
    <row r="226">
      <c r="E226" s="47"/>
      <c r="G226" s="31"/>
    </row>
    <row r="227">
      <c r="E227" s="47"/>
      <c r="G227" s="31"/>
    </row>
    <row r="228">
      <c r="E228" s="47"/>
      <c r="G228" s="31"/>
    </row>
    <row r="229">
      <c r="E229" s="47"/>
      <c r="G229" s="31"/>
    </row>
    <row r="230">
      <c r="E230" s="47"/>
      <c r="G230" s="31"/>
    </row>
    <row r="231">
      <c r="E231" s="47"/>
      <c r="G231" s="31"/>
    </row>
    <row r="232">
      <c r="E232" s="47"/>
      <c r="G232" s="31"/>
    </row>
    <row r="233">
      <c r="E233" s="47"/>
      <c r="G233" s="31"/>
    </row>
    <row r="234">
      <c r="E234" s="47"/>
      <c r="G234" s="31"/>
    </row>
    <row r="235">
      <c r="E235" s="47"/>
      <c r="G235" s="31"/>
    </row>
    <row r="236">
      <c r="E236" s="47"/>
      <c r="G236" s="31"/>
    </row>
    <row r="237">
      <c r="E237" s="47"/>
      <c r="G237" s="31"/>
    </row>
    <row r="238">
      <c r="E238" s="47"/>
      <c r="G238" s="31"/>
    </row>
    <row r="239">
      <c r="E239" s="47"/>
      <c r="G239" s="31"/>
    </row>
    <row r="240">
      <c r="E240" s="47"/>
      <c r="G240" s="31"/>
    </row>
    <row r="241">
      <c r="E241" s="47"/>
      <c r="G241" s="31"/>
    </row>
    <row r="242">
      <c r="E242" s="47"/>
      <c r="G242" s="31"/>
    </row>
    <row r="243">
      <c r="E243" s="47"/>
      <c r="G243" s="31"/>
    </row>
    <row r="244">
      <c r="E244" s="47"/>
      <c r="G244" s="31"/>
    </row>
    <row r="245">
      <c r="E245" s="47"/>
      <c r="G245" s="31"/>
    </row>
    <row r="246">
      <c r="E246" s="47"/>
      <c r="G246" s="31"/>
    </row>
    <row r="247">
      <c r="E247" s="47"/>
      <c r="G247" s="31"/>
    </row>
    <row r="248">
      <c r="E248" s="47"/>
      <c r="G248" s="31"/>
    </row>
    <row r="249">
      <c r="E249" s="47"/>
      <c r="G249" s="31"/>
    </row>
    <row r="250">
      <c r="E250" s="47"/>
      <c r="G250" s="31"/>
    </row>
    <row r="251">
      <c r="E251" s="47"/>
      <c r="G251" s="31"/>
    </row>
    <row r="252">
      <c r="E252" s="47"/>
      <c r="G252" s="31"/>
    </row>
    <row r="253">
      <c r="E253" s="47"/>
      <c r="G253" s="31"/>
    </row>
    <row r="254">
      <c r="E254" s="47"/>
      <c r="G254" s="31"/>
    </row>
    <row r="255">
      <c r="E255" s="47"/>
      <c r="G255" s="31"/>
    </row>
    <row r="256">
      <c r="E256" s="47"/>
      <c r="G256" s="31"/>
    </row>
    <row r="257">
      <c r="E257" s="47"/>
      <c r="G257" s="31"/>
    </row>
    <row r="258">
      <c r="E258" s="47"/>
      <c r="G258" s="31"/>
    </row>
    <row r="259">
      <c r="E259" s="47"/>
      <c r="G259" s="31"/>
    </row>
    <row r="260">
      <c r="E260" s="47"/>
      <c r="G260" s="31"/>
    </row>
    <row r="261">
      <c r="E261" s="47"/>
      <c r="G261" s="31"/>
    </row>
    <row r="262">
      <c r="E262" s="47"/>
      <c r="G262" s="31"/>
    </row>
    <row r="263">
      <c r="E263" s="47"/>
      <c r="G263" s="31"/>
    </row>
    <row r="264">
      <c r="E264" s="47"/>
      <c r="G264" s="31"/>
    </row>
    <row r="265">
      <c r="E265" s="47"/>
      <c r="G265" s="31"/>
    </row>
    <row r="266">
      <c r="E266" s="47"/>
      <c r="G266" s="31"/>
    </row>
    <row r="267">
      <c r="E267" s="47"/>
      <c r="G267" s="31"/>
    </row>
    <row r="268">
      <c r="E268" s="47"/>
      <c r="G268" s="31"/>
    </row>
    <row r="269">
      <c r="E269" s="47"/>
      <c r="G269" s="31"/>
    </row>
    <row r="270">
      <c r="E270" s="47"/>
      <c r="G270" s="31"/>
    </row>
    <row r="271">
      <c r="E271" s="47"/>
      <c r="G271" s="31"/>
    </row>
    <row r="272">
      <c r="E272" s="47"/>
      <c r="G272" s="31"/>
    </row>
    <row r="273">
      <c r="E273" s="47"/>
      <c r="G273" s="31"/>
    </row>
    <row r="274">
      <c r="E274" s="47"/>
      <c r="G274" s="31"/>
    </row>
    <row r="275">
      <c r="E275" s="47"/>
      <c r="G275" s="31"/>
    </row>
    <row r="276">
      <c r="E276" s="47"/>
      <c r="G276" s="31"/>
    </row>
    <row r="277">
      <c r="E277" s="47"/>
      <c r="G277" s="31"/>
    </row>
    <row r="278">
      <c r="E278" s="47"/>
      <c r="G278" s="31"/>
    </row>
    <row r="279">
      <c r="E279" s="47"/>
      <c r="G279" s="31"/>
    </row>
    <row r="280">
      <c r="E280" s="47"/>
      <c r="G280" s="31"/>
    </row>
    <row r="281">
      <c r="E281" s="47"/>
      <c r="G281" s="31"/>
    </row>
    <row r="282">
      <c r="E282" s="47"/>
      <c r="G282" s="31"/>
    </row>
    <row r="283">
      <c r="E283" s="47"/>
      <c r="G283" s="31"/>
    </row>
    <row r="284">
      <c r="E284" s="47"/>
      <c r="G284" s="31"/>
    </row>
    <row r="285">
      <c r="E285" s="47"/>
      <c r="G285" s="31"/>
    </row>
    <row r="286">
      <c r="E286" s="47"/>
      <c r="G286" s="31"/>
    </row>
    <row r="287">
      <c r="E287" s="47"/>
      <c r="G287" s="31"/>
    </row>
    <row r="288">
      <c r="E288" s="47"/>
      <c r="G288" s="31"/>
    </row>
    <row r="289">
      <c r="E289" s="47"/>
      <c r="G289" s="31"/>
    </row>
    <row r="290">
      <c r="E290" s="47"/>
      <c r="G290" s="31"/>
    </row>
    <row r="291">
      <c r="E291" s="47"/>
      <c r="G291" s="31"/>
    </row>
    <row r="292">
      <c r="E292" s="47"/>
      <c r="G292" s="31"/>
    </row>
    <row r="293">
      <c r="E293" s="47"/>
      <c r="G293" s="31"/>
    </row>
    <row r="294">
      <c r="E294" s="47"/>
      <c r="G294" s="31"/>
    </row>
    <row r="295">
      <c r="E295" s="47"/>
      <c r="G295" s="31"/>
    </row>
    <row r="296">
      <c r="E296" s="47"/>
      <c r="G296" s="31"/>
    </row>
    <row r="297">
      <c r="E297" s="47"/>
      <c r="G297" s="31"/>
    </row>
    <row r="298">
      <c r="E298" s="47"/>
      <c r="G298" s="31"/>
    </row>
    <row r="299">
      <c r="E299" s="47"/>
      <c r="G299" s="31"/>
    </row>
    <row r="300">
      <c r="E300" s="47"/>
      <c r="G300" s="31"/>
    </row>
    <row r="301">
      <c r="E301" s="47"/>
      <c r="G301" s="31"/>
    </row>
    <row r="302">
      <c r="E302" s="47"/>
      <c r="G302" s="31"/>
    </row>
    <row r="303">
      <c r="E303" s="47"/>
      <c r="G303" s="31"/>
    </row>
    <row r="304">
      <c r="E304" s="47"/>
      <c r="G304" s="31"/>
    </row>
    <row r="305">
      <c r="E305" s="47"/>
      <c r="G305" s="31"/>
    </row>
    <row r="306">
      <c r="E306" s="47"/>
      <c r="G306" s="31"/>
    </row>
    <row r="307">
      <c r="E307" s="47"/>
      <c r="G307" s="31"/>
    </row>
    <row r="308">
      <c r="E308" s="47"/>
      <c r="G308" s="31"/>
    </row>
    <row r="309">
      <c r="E309" s="47"/>
      <c r="G309" s="31"/>
    </row>
    <row r="310">
      <c r="E310" s="47"/>
      <c r="G310" s="31"/>
    </row>
    <row r="311">
      <c r="E311" s="47"/>
      <c r="G311" s="31"/>
    </row>
    <row r="312">
      <c r="E312" s="47"/>
      <c r="G312" s="31"/>
    </row>
    <row r="313">
      <c r="E313" s="47"/>
      <c r="G313" s="31"/>
    </row>
    <row r="314">
      <c r="E314" s="47"/>
      <c r="G314" s="31"/>
    </row>
    <row r="315">
      <c r="E315" s="47"/>
      <c r="G315" s="31"/>
    </row>
    <row r="316">
      <c r="E316" s="47"/>
      <c r="G316" s="31"/>
    </row>
    <row r="317">
      <c r="E317" s="47"/>
      <c r="G317" s="31"/>
    </row>
    <row r="318">
      <c r="E318" s="47"/>
      <c r="G318" s="31"/>
    </row>
    <row r="319">
      <c r="E319" s="47"/>
      <c r="G319" s="31"/>
    </row>
    <row r="320">
      <c r="E320" s="47"/>
      <c r="G320" s="31"/>
    </row>
    <row r="321">
      <c r="E321" s="47"/>
      <c r="G321" s="31"/>
    </row>
    <row r="322">
      <c r="E322" s="47"/>
      <c r="G322" s="31"/>
    </row>
    <row r="323">
      <c r="E323" s="47"/>
      <c r="G323" s="31"/>
    </row>
    <row r="324">
      <c r="E324" s="47"/>
      <c r="G324" s="31"/>
    </row>
    <row r="325">
      <c r="E325" s="47"/>
      <c r="G325" s="31"/>
    </row>
    <row r="326">
      <c r="E326" s="47"/>
      <c r="G326" s="31"/>
    </row>
    <row r="327">
      <c r="E327" s="47"/>
      <c r="G327" s="31"/>
    </row>
    <row r="328">
      <c r="E328" s="47"/>
      <c r="G328" s="31"/>
    </row>
    <row r="329">
      <c r="E329" s="47"/>
      <c r="G329" s="31"/>
    </row>
    <row r="330">
      <c r="E330" s="47"/>
      <c r="G330" s="31"/>
    </row>
    <row r="331">
      <c r="E331" s="47"/>
      <c r="G331" s="31"/>
    </row>
    <row r="332">
      <c r="E332" s="47"/>
      <c r="G332" s="31"/>
    </row>
    <row r="333">
      <c r="E333" s="47"/>
      <c r="G333" s="31"/>
    </row>
    <row r="334">
      <c r="E334" s="47"/>
      <c r="G334" s="31"/>
    </row>
    <row r="335">
      <c r="E335" s="47"/>
      <c r="G335" s="31"/>
    </row>
    <row r="336">
      <c r="E336" s="47"/>
      <c r="G336" s="31"/>
    </row>
    <row r="337">
      <c r="E337" s="47"/>
      <c r="G337" s="31"/>
    </row>
    <row r="338">
      <c r="E338" s="47"/>
      <c r="G338" s="31"/>
    </row>
    <row r="339">
      <c r="E339" s="47"/>
      <c r="G339" s="31"/>
    </row>
    <row r="340">
      <c r="E340" s="47"/>
      <c r="G340" s="31"/>
    </row>
    <row r="341">
      <c r="E341" s="47"/>
      <c r="G341" s="31"/>
    </row>
    <row r="342">
      <c r="E342" s="47"/>
      <c r="G342" s="31"/>
    </row>
    <row r="343">
      <c r="E343" s="47"/>
      <c r="G343" s="31"/>
    </row>
    <row r="344">
      <c r="E344" s="47"/>
      <c r="G344" s="31"/>
    </row>
    <row r="345">
      <c r="E345" s="47"/>
      <c r="G345" s="31"/>
    </row>
    <row r="346">
      <c r="E346" s="47"/>
      <c r="G346" s="31"/>
    </row>
    <row r="347">
      <c r="E347" s="47"/>
      <c r="G347" s="31"/>
    </row>
    <row r="348">
      <c r="E348" s="47"/>
      <c r="G348" s="31"/>
    </row>
    <row r="349">
      <c r="E349" s="47"/>
      <c r="G349" s="31"/>
    </row>
    <row r="350">
      <c r="E350" s="47"/>
      <c r="G350" s="31"/>
    </row>
    <row r="351">
      <c r="E351" s="47"/>
      <c r="G351" s="31"/>
    </row>
    <row r="352">
      <c r="E352" s="47"/>
      <c r="G352" s="31"/>
    </row>
    <row r="353">
      <c r="E353" s="47"/>
      <c r="G353" s="31"/>
    </row>
    <row r="354">
      <c r="E354" s="47"/>
      <c r="G354" s="31"/>
    </row>
    <row r="355">
      <c r="E355" s="47"/>
      <c r="G355" s="31"/>
    </row>
    <row r="356">
      <c r="E356" s="47"/>
      <c r="G356" s="31"/>
    </row>
    <row r="357">
      <c r="E357" s="47"/>
      <c r="G357" s="31"/>
    </row>
    <row r="358">
      <c r="E358" s="47"/>
      <c r="G358" s="31"/>
    </row>
    <row r="359">
      <c r="E359" s="47"/>
      <c r="G359" s="31"/>
    </row>
    <row r="360">
      <c r="E360" s="47"/>
      <c r="G360" s="31"/>
    </row>
    <row r="361">
      <c r="E361" s="47"/>
      <c r="G361" s="31"/>
    </row>
    <row r="362">
      <c r="E362" s="47"/>
      <c r="G362" s="31"/>
    </row>
    <row r="363">
      <c r="E363" s="47"/>
      <c r="G363" s="31"/>
    </row>
    <row r="364">
      <c r="E364" s="47"/>
      <c r="G364" s="31"/>
    </row>
    <row r="365">
      <c r="E365" s="47"/>
      <c r="G365" s="31"/>
    </row>
    <row r="366">
      <c r="E366" s="47"/>
      <c r="G366" s="31"/>
    </row>
    <row r="367">
      <c r="E367" s="47"/>
      <c r="G367" s="31"/>
    </row>
    <row r="368">
      <c r="E368" s="47"/>
      <c r="G368" s="31"/>
    </row>
    <row r="369">
      <c r="E369" s="47"/>
      <c r="G369" s="31"/>
    </row>
    <row r="370">
      <c r="E370" s="47"/>
      <c r="G370" s="31"/>
    </row>
    <row r="371">
      <c r="E371" s="47"/>
      <c r="G371" s="31"/>
    </row>
    <row r="372">
      <c r="E372" s="47"/>
      <c r="G372" s="31"/>
    </row>
    <row r="373">
      <c r="E373" s="47"/>
      <c r="G373" s="31"/>
    </row>
    <row r="374">
      <c r="E374" s="47"/>
      <c r="G374" s="31"/>
    </row>
    <row r="375">
      <c r="E375" s="47"/>
      <c r="G375" s="31"/>
    </row>
    <row r="376">
      <c r="E376" s="47"/>
      <c r="G376" s="31"/>
    </row>
    <row r="377">
      <c r="E377" s="47"/>
      <c r="G377" s="31"/>
    </row>
    <row r="378">
      <c r="E378" s="47"/>
      <c r="G378" s="31"/>
    </row>
    <row r="379">
      <c r="E379" s="47"/>
      <c r="G379" s="31"/>
    </row>
    <row r="380">
      <c r="E380" s="47"/>
      <c r="G380" s="31"/>
    </row>
    <row r="381">
      <c r="E381" s="47"/>
      <c r="G381" s="31"/>
    </row>
    <row r="382">
      <c r="E382" s="47"/>
      <c r="G382" s="31"/>
    </row>
    <row r="383">
      <c r="E383" s="47"/>
      <c r="G383" s="31"/>
    </row>
    <row r="384">
      <c r="E384" s="47"/>
      <c r="G384" s="31"/>
    </row>
    <row r="385">
      <c r="E385" s="47"/>
      <c r="G385" s="31"/>
    </row>
    <row r="386">
      <c r="E386" s="47"/>
      <c r="G386" s="31"/>
    </row>
    <row r="387">
      <c r="E387" s="47"/>
      <c r="G387" s="31"/>
    </row>
    <row r="388">
      <c r="E388" s="47"/>
      <c r="G388" s="31"/>
    </row>
    <row r="389">
      <c r="E389" s="47"/>
      <c r="G389" s="31"/>
    </row>
    <row r="390">
      <c r="E390" s="47"/>
      <c r="G390" s="31"/>
    </row>
    <row r="391">
      <c r="E391" s="47"/>
      <c r="G391" s="31"/>
    </row>
    <row r="392">
      <c r="E392" s="47"/>
      <c r="G392" s="31"/>
    </row>
    <row r="393">
      <c r="E393" s="47"/>
      <c r="G393" s="31"/>
    </row>
    <row r="394">
      <c r="E394" s="47"/>
      <c r="G394" s="31"/>
    </row>
    <row r="395">
      <c r="E395" s="47"/>
      <c r="G395" s="31"/>
    </row>
    <row r="396">
      <c r="E396" s="47"/>
      <c r="G396" s="31"/>
    </row>
    <row r="397">
      <c r="E397" s="47"/>
      <c r="G397" s="31"/>
    </row>
    <row r="398">
      <c r="E398" s="47"/>
      <c r="G398" s="31"/>
    </row>
    <row r="399">
      <c r="E399" s="47"/>
      <c r="G399" s="31"/>
    </row>
    <row r="400">
      <c r="E400" s="47"/>
      <c r="G400" s="31"/>
    </row>
    <row r="401">
      <c r="E401" s="47"/>
      <c r="G401" s="31"/>
    </row>
    <row r="402">
      <c r="E402" s="47"/>
      <c r="G402" s="31"/>
    </row>
    <row r="403">
      <c r="E403" s="47"/>
      <c r="G403" s="31"/>
    </row>
    <row r="404">
      <c r="E404" s="47"/>
      <c r="G404" s="31"/>
    </row>
    <row r="405">
      <c r="E405" s="47"/>
      <c r="G405" s="31"/>
    </row>
    <row r="406">
      <c r="E406" s="47"/>
      <c r="G406" s="31"/>
    </row>
    <row r="407">
      <c r="E407" s="47"/>
      <c r="G407" s="31"/>
    </row>
    <row r="408">
      <c r="E408" s="47"/>
      <c r="G408" s="31"/>
    </row>
    <row r="409">
      <c r="E409" s="47"/>
      <c r="G409" s="31"/>
    </row>
    <row r="410">
      <c r="E410" s="47"/>
      <c r="G410" s="31"/>
    </row>
    <row r="411">
      <c r="E411" s="47"/>
      <c r="G411" s="31"/>
    </row>
    <row r="412">
      <c r="E412" s="47"/>
      <c r="G412" s="31"/>
    </row>
    <row r="413">
      <c r="E413" s="47"/>
      <c r="G413" s="31"/>
    </row>
    <row r="414">
      <c r="E414" s="47"/>
      <c r="G414" s="31"/>
    </row>
    <row r="415">
      <c r="E415" s="47"/>
      <c r="G415" s="31"/>
    </row>
    <row r="416">
      <c r="E416" s="47"/>
      <c r="G416" s="31"/>
    </row>
    <row r="417">
      <c r="E417" s="47"/>
      <c r="G417" s="31"/>
    </row>
    <row r="418">
      <c r="E418" s="47"/>
      <c r="G418" s="31"/>
    </row>
    <row r="419">
      <c r="E419" s="47"/>
      <c r="G419" s="31"/>
    </row>
    <row r="420">
      <c r="E420" s="47"/>
      <c r="G420" s="31"/>
    </row>
    <row r="421">
      <c r="E421" s="47"/>
      <c r="G421" s="31"/>
    </row>
    <row r="422">
      <c r="E422" s="47"/>
      <c r="G422" s="31"/>
    </row>
    <row r="423">
      <c r="E423" s="47"/>
      <c r="G423" s="31"/>
    </row>
    <row r="424">
      <c r="E424" s="47"/>
      <c r="G424" s="31"/>
    </row>
    <row r="425">
      <c r="E425" s="47"/>
      <c r="G425" s="31"/>
    </row>
    <row r="426">
      <c r="E426" s="47"/>
      <c r="G426" s="31"/>
    </row>
    <row r="427">
      <c r="E427" s="47"/>
      <c r="G427" s="31"/>
    </row>
    <row r="428">
      <c r="E428" s="47"/>
      <c r="G428" s="31"/>
    </row>
    <row r="429">
      <c r="E429" s="47"/>
      <c r="G429" s="31"/>
    </row>
    <row r="430">
      <c r="E430" s="47"/>
      <c r="G430" s="31"/>
    </row>
    <row r="431">
      <c r="E431" s="47"/>
      <c r="G431" s="31"/>
    </row>
    <row r="432">
      <c r="E432" s="47"/>
      <c r="G432" s="31"/>
    </row>
    <row r="433">
      <c r="E433" s="47"/>
      <c r="G433" s="31"/>
    </row>
    <row r="434">
      <c r="E434" s="47"/>
      <c r="G434" s="31"/>
    </row>
    <row r="435">
      <c r="E435" s="47"/>
      <c r="G435" s="31"/>
    </row>
    <row r="436">
      <c r="E436" s="47"/>
      <c r="G436" s="31"/>
    </row>
    <row r="437">
      <c r="E437" s="47"/>
      <c r="G437" s="31"/>
    </row>
    <row r="438">
      <c r="E438" s="47"/>
      <c r="G438" s="31"/>
    </row>
    <row r="439">
      <c r="E439" s="47"/>
      <c r="G439" s="31"/>
    </row>
    <row r="440">
      <c r="E440" s="47"/>
      <c r="G440" s="31"/>
    </row>
    <row r="441">
      <c r="E441" s="47"/>
      <c r="G441" s="31"/>
    </row>
    <row r="442">
      <c r="E442" s="47"/>
      <c r="G442" s="31"/>
    </row>
    <row r="443">
      <c r="E443" s="47"/>
      <c r="G443" s="31"/>
    </row>
    <row r="444">
      <c r="E444" s="47"/>
      <c r="G444" s="31"/>
    </row>
    <row r="445">
      <c r="E445" s="47"/>
      <c r="G445" s="31"/>
    </row>
    <row r="446">
      <c r="E446" s="47"/>
      <c r="G446" s="31"/>
    </row>
    <row r="447">
      <c r="E447" s="47"/>
      <c r="G447" s="31"/>
    </row>
    <row r="448">
      <c r="E448" s="47"/>
      <c r="G448" s="31"/>
    </row>
    <row r="449">
      <c r="E449" s="47"/>
      <c r="G449" s="31"/>
    </row>
    <row r="450">
      <c r="E450" s="47"/>
      <c r="G450" s="31"/>
    </row>
    <row r="451">
      <c r="E451" s="47"/>
      <c r="G451" s="31"/>
    </row>
    <row r="452">
      <c r="E452" s="47"/>
      <c r="G452" s="31"/>
    </row>
    <row r="453">
      <c r="E453" s="47"/>
      <c r="G453" s="31"/>
    </row>
    <row r="454">
      <c r="E454" s="47"/>
      <c r="G454" s="31"/>
    </row>
    <row r="455">
      <c r="E455" s="47"/>
      <c r="G455" s="31"/>
    </row>
    <row r="456">
      <c r="E456" s="47"/>
      <c r="G456" s="31"/>
    </row>
    <row r="457">
      <c r="E457" s="47"/>
      <c r="G457" s="31"/>
    </row>
    <row r="458">
      <c r="E458" s="47"/>
      <c r="G458" s="31"/>
    </row>
    <row r="459">
      <c r="E459" s="47"/>
      <c r="G459" s="31"/>
    </row>
    <row r="460">
      <c r="E460" s="47"/>
      <c r="G460" s="31"/>
    </row>
    <row r="461">
      <c r="E461" s="47"/>
      <c r="G461" s="31"/>
    </row>
    <row r="462">
      <c r="E462" s="47"/>
      <c r="G462" s="31"/>
    </row>
    <row r="463">
      <c r="E463" s="47"/>
      <c r="G463" s="31"/>
    </row>
    <row r="464">
      <c r="E464" s="47"/>
      <c r="G464" s="31"/>
    </row>
    <row r="465">
      <c r="E465" s="47"/>
      <c r="G465" s="31"/>
    </row>
    <row r="466">
      <c r="E466" s="47"/>
      <c r="G466" s="31"/>
    </row>
    <row r="467">
      <c r="E467" s="47"/>
      <c r="G467" s="31"/>
    </row>
    <row r="468">
      <c r="E468" s="47"/>
      <c r="G468" s="31"/>
    </row>
    <row r="469">
      <c r="E469" s="47"/>
      <c r="G469" s="31"/>
    </row>
    <row r="470">
      <c r="E470" s="47"/>
      <c r="G470" s="31"/>
    </row>
    <row r="471">
      <c r="E471" s="47"/>
      <c r="G471" s="31"/>
    </row>
    <row r="472">
      <c r="E472" s="47"/>
      <c r="G472" s="31"/>
    </row>
    <row r="473">
      <c r="E473" s="47"/>
      <c r="G473" s="31"/>
    </row>
    <row r="474">
      <c r="E474" s="47"/>
      <c r="G474" s="31"/>
    </row>
    <row r="475">
      <c r="E475" s="47"/>
      <c r="G475" s="31"/>
    </row>
    <row r="476">
      <c r="E476" s="47"/>
      <c r="G476" s="31"/>
    </row>
    <row r="477">
      <c r="E477" s="47"/>
      <c r="G477" s="31"/>
    </row>
    <row r="478">
      <c r="E478" s="47"/>
      <c r="G478" s="31"/>
    </row>
    <row r="479">
      <c r="E479" s="47"/>
      <c r="G479" s="31"/>
    </row>
    <row r="480">
      <c r="E480" s="47"/>
      <c r="G480" s="31"/>
    </row>
    <row r="481">
      <c r="E481" s="47"/>
      <c r="G481" s="31"/>
    </row>
    <row r="482">
      <c r="E482" s="47"/>
      <c r="G482" s="31"/>
    </row>
    <row r="483">
      <c r="E483" s="47"/>
      <c r="G483" s="31"/>
    </row>
    <row r="484">
      <c r="E484" s="47"/>
      <c r="G484" s="31"/>
    </row>
    <row r="485">
      <c r="E485" s="47"/>
      <c r="G485" s="31"/>
    </row>
    <row r="486">
      <c r="E486" s="47"/>
      <c r="G486" s="31"/>
    </row>
    <row r="487">
      <c r="E487" s="47"/>
      <c r="G487" s="31"/>
    </row>
    <row r="488">
      <c r="E488" s="47"/>
      <c r="G488" s="31"/>
    </row>
    <row r="489">
      <c r="E489" s="47"/>
      <c r="G489" s="31"/>
    </row>
    <row r="490">
      <c r="E490" s="47"/>
      <c r="G490" s="31"/>
    </row>
    <row r="491">
      <c r="E491" s="47"/>
      <c r="G491" s="31"/>
    </row>
    <row r="492">
      <c r="E492" s="47"/>
      <c r="G492" s="31"/>
    </row>
    <row r="493">
      <c r="E493" s="47"/>
      <c r="G493" s="31"/>
    </row>
    <row r="494">
      <c r="E494" s="47"/>
      <c r="G494" s="31"/>
    </row>
    <row r="495">
      <c r="E495" s="47"/>
      <c r="G495" s="31"/>
    </row>
    <row r="496">
      <c r="E496" s="47"/>
      <c r="G496" s="31"/>
    </row>
    <row r="497">
      <c r="E497" s="47"/>
      <c r="G497" s="31"/>
    </row>
    <row r="498">
      <c r="E498" s="47"/>
      <c r="G498" s="31"/>
    </row>
    <row r="499">
      <c r="E499" s="47"/>
      <c r="G499" s="31"/>
    </row>
    <row r="500">
      <c r="E500" s="47"/>
      <c r="G500" s="31"/>
    </row>
    <row r="501">
      <c r="E501" s="47"/>
      <c r="G501" s="31"/>
    </row>
    <row r="502">
      <c r="E502" s="47"/>
      <c r="G502" s="31"/>
    </row>
    <row r="503">
      <c r="E503" s="47"/>
      <c r="G503" s="31"/>
    </row>
    <row r="504">
      <c r="E504" s="47"/>
      <c r="G504" s="31"/>
    </row>
    <row r="505">
      <c r="E505" s="47"/>
      <c r="G505" s="31"/>
    </row>
    <row r="506">
      <c r="E506" s="47"/>
      <c r="G506" s="31"/>
    </row>
    <row r="507">
      <c r="E507" s="47"/>
      <c r="G507" s="31"/>
    </row>
    <row r="508">
      <c r="E508" s="47"/>
      <c r="G508" s="31"/>
    </row>
    <row r="509">
      <c r="E509" s="47"/>
      <c r="G509" s="31"/>
    </row>
    <row r="510">
      <c r="E510" s="47"/>
      <c r="G510" s="31"/>
    </row>
    <row r="511">
      <c r="E511" s="47"/>
      <c r="G511" s="31"/>
    </row>
    <row r="512">
      <c r="E512" s="47"/>
      <c r="G512" s="31"/>
    </row>
    <row r="513">
      <c r="E513" s="47"/>
      <c r="G513" s="31"/>
    </row>
    <row r="514">
      <c r="E514" s="47"/>
      <c r="G514" s="31"/>
    </row>
    <row r="515">
      <c r="E515" s="47"/>
      <c r="G515" s="31"/>
    </row>
    <row r="516">
      <c r="E516" s="47"/>
      <c r="G516" s="31"/>
    </row>
    <row r="517">
      <c r="E517" s="47"/>
      <c r="G517" s="31"/>
    </row>
    <row r="518">
      <c r="E518" s="47"/>
      <c r="G518" s="31"/>
    </row>
    <row r="519">
      <c r="E519" s="47"/>
      <c r="G519" s="31"/>
    </row>
    <row r="520">
      <c r="E520" s="47"/>
      <c r="G520" s="31"/>
    </row>
    <row r="521">
      <c r="E521" s="47"/>
      <c r="G521" s="31"/>
    </row>
    <row r="522">
      <c r="E522" s="47"/>
      <c r="G522" s="31"/>
    </row>
    <row r="523">
      <c r="E523" s="47"/>
      <c r="G523" s="31"/>
    </row>
    <row r="524">
      <c r="E524" s="47"/>
      <c r="G524" s="31"/>
    </row>
    <row r="525">
      <c r="E525" s="47"/>
      <c r="G525" s="31"/>
    </row>
    <row r="526">
      <c r="E526" s="47"/>
      <c r="G526" s="31"/>
    </row>
    <row r="527">
      <c r="E527" s="47"/>
      <c r="G527" s="31"/>
    </row>
    <row r="528">
      <c r="E528" s="47"/>
      <c r="G528" s="31"/>
    </row>
    <row r="529">
      <c r="E529" s="47"/>
      <c r="G529" s="31"/>
    </row>
    <row r="530">
      <c r="E530" s="47"/>
      <c r="G530" s="31"/>
    </row>
    <row r="531">
      <c r="E531" s="47"/>
      <c r="G531" s="31"/>
    </row>
    <row r="532">
      <c r="E532" s="47"/>
      <c r="G532" s="31"/>
    </row>
    <row r="533">
      <c r="E533" s="47"/>
      <c r="G533" s="31"/>
    </row>
    <row r="534">
      <c r="E534" s="47"/>
      <c r="G534" s="31"/>
    </row>
    <row r="535">
      <c r="E535" s="47"/>
      <c r="G535" s="31"/>
    </row>
    <row r="536">
      <c r="E536" s="47"/>
      <c r="G536" s="31"/>
    </row>
    <row r="537">
      <c r="E537" s="47"/>
      <c r="G537" s="31"/>
    </row>
    <row r="538">
      <c r="E538" s="47"/>
      <c r="G538" s="31"/>
    </row>
    <row r="539">
      <c r="E539" s="47"/>
      <c r="G539" s="31"/>
    </row>
    <row r="540">
      <c r="E540" s="47"/>
      <c r="G540" s="31"/>
    </row>
    <row r="541">
      <c r="E541" s="47"/>
      <c r="G541" s="31"/>
    </row>
    <row r="542">
      <c r="E542" s="47"/>
      <c r="G542" s="31"/>
    </row>
    <row r="543">
      <c r="E543" s="47"/>
      <c r="G543" s="31"/>
    </row>
    <row r="544">
      <c r="E544" s="47"/>
      <c r="G544" s="31"/>
    </row>
    <row r="545">
      <c r="E545" s="47"/>
      <c r="G545" s="31"/>
    </row>
    <row r="546">
      <c r="E546" s="47"/>
      <c r="G546" s="31"/>
    </row>
    <row r="547">
      <c r="E547" s="47"/>
      <c r="G547" s="31"/>
    </row>
    <row r="548">
      <c r="E548" s="47"/>
      <c r="G548" s="31"/>
    </row>
    <row r="549">
      <c r="E549" s="47"/>
      <c r="G549" s="31"/>
    </row>
    <row r="550">
      <c r="E550" s="47"/>
      <c r="G550" s="31"/>
    </row>
    <row r="551">
      <c r="E551" s="47"/>
      <c r="G551" s="31"/>
    </row>
    <row r="552">
      <c r="E552" s="47"/>
      <c r="G552" s="31"/>
    </row>
    <row r="553">
      <c r="E553" s="47"/>
      <c r="G553" s="31"/>
    </row>
    <row r="554">
      <c r="E554" s="47"/>
      <c r="G554" s="31"/>
    </row>
    <row r="555">
      <c r="E555" s="47"/>
      <c r="G555" s="31"/>
    </row>
    <row r="556">
      <c r="E556" s="47"/>
      <c r="G556" s="31"/>
    </row>
    <row r="557">
      <c r="E557" s="47"/>
      <c r="G557" s="31"/>
    </row>
    <row r="558">
      <c r="E558" s="47"/>
      <c r="G558" s="31"/>
    </row>
    <row r="559">
      <c r="E559" s="47"/>
      <c r="G559" s="31"/>
    </row>
    <row r="560">
      <c r="E560" s="47"/>
      <c r="G560" s="31"/>
    </row>
    <row r="561">
      <c r="E561" s="47"/>
      <c r="G561" s="31"/>
    </row>
    <row r="562">
      <c r="E562" s="47"/>
      <c r="G562" s="31"/>
    </row>
    <row r="563">
      <c r="E563" s="47"/>
      <c r="G563" s="31"/>
    </row>
    <row r="564">
      <c r="E564" s="47"/>
      <c r="G564" s="31"/>
    </row>
    <row r="565">
      <c r="E565" s="47"/>
      <c r="G565" s="31"/>
    </row>
    <row r="566">
      <c r="E566" s="47"/>
      <c r="G566" s="31"/>
    </row>
    <row r="567">
      <c r="E567" s="47"/>
      <c r="G567" s="31"/>
    </row>
    <row r="568">
      <c r="E568" s="47"/>
      <c r="G568" s="31"/>
    </row>
    <row r="569">
      <c r="E569" s="47"/>
      <c r="G569" s="31"/>
    </row>
    <row r="570">
      <c r="E570" s="47"/>
      <c r="G570" s="31"/>
    </row>
    <row r="571">
      <c r="E571" s="47"/>
      <c r="G571" s="31"/>
    </row>
    <row r="572">
      <c r="E572" s="47"/>
      <c r="G572" s="31"/>
    </row>
    <row r="573">
      <c r="E573" s="47"/>
      <c r="G573" s="31"/>
    </row>
    <row r="574">
      <c r="E574" s="47"/>
      <c r="G574" s="31"/>
    </row>
    <row r="575">
      <c r="E575" s="47"/>
      <c r="G575" s="31"/>
    </row>
    <row r="576">
      <c r="E576" s="47"/>
      <c r="G576" s="31"/>
    </row>
    <row r="577">
      <c r="E577" s="47"/>
      <c r="G577" s="31"/>
    </row>
    <row r="578">
      <c r="E578" s="47"/>
      <c r="G578" s="31"/>
    </row>
    <row r="579">
      <c r="E579" s="47"/>
      <c r="G579" s="31"/>
    </row>
    <row r="580">
      <c r="E580" s="47"/>
      <c r="G580" s="31"/>
    </row>
    <row r="581">
      <c r="E581" s="47"/>
      <c r="G581" s="31"/>
    </row>
    <row r="582">
      <c r="E582" s="47"/>
      <c r="G582" s="31"/>
    </row>
    <row r="583">
      <c r="E583" s="47"/>
      <c r="G583" s="31"/>
    </row>
    <row r="584">
      <c r="E584" s="47"/>
      <c r="G584" s="31"/>
    </row>
    <row r="585">
      <c r="E585" s="47"/>
      <c r="G585" s="31"/>
    </row>
    <row r="586">
      <c r="E586" s="47"/>
      <c r="G586" s="31"/>
    </row>
    <row r="587">
      <c r="E587" s="47"/>
      <c r="G587" s="31"/>
    </row>
    <row r="588">
      <c r="E588" s="47"/>
      <c r="G588" s="31"/>
    </row>
    <row r="589">
      <c r="E589" s="47"/>
      <c r="G589" s="31"/>
    </row>
    <row r="590">
      <c r="E590" s="47"/>
      <c r="G590" s="31"/>
    </row>
    <row r="591">
      <c r="E591" s="47"/>
      <c r="G591" s="31"/>
    </row>
    <row r="592">
      <c r="E592" s="47"/>
      <c r="G592" s="31"/>
    </row>
    <row r="593">
      <c r="E593" s="47"/>
      <c r="G593" s="31"/>
    </row>
    <row r="594">
      <c r="E594" s="47"/>
      <c r="G594" s="31"/>
    </row>
    <row r="595">
      <c r="E595" s="47"/>
      <c r="G595" s="31"/>
    </row>
    <row r="596">
      <c r="E596" s="47"/>
      <c r="G596" s="31"/>
    </row>
    <row r="597">
      <c r="E597" s="47"/>
      <c r="G597" s="31"/>
    </row>
    <row r="598">
      <c r="E598" s="47"/>
      <c r="G598" s="31"/>
    </row>
    <row r="599">
      <c r="E599" s="47"/>
      <c r="G599" s="31"/>
    </row>
    <row r="600">
      <c r="E600" s="47"/>
      <c r="G600" s="31"/>
    </row>
    <row r="601">
      <c r="E601" s="47"/>
      <c r="G601" s="31"/>
    </row>
    <row r="602">
      <c r="E602" s="47"/>
      <c r="G602" s="31"/>
    </row>
    <row r="603">
      <c r="E603" s="47"/>
      <c r="G603" s="31"/>
    </row>
    <row r="604">
      <c r="E604" s="47"/>
      <c r="G604" s="31"/>
    </row>
    <row r="605">
      <c r="E605" s="47"/>
      <c r="G605" s="31"/>
    </row>
    <row r="606">
      <c r="E606" s="47"/>
      <c r="G606" s="31"/>
    </row>
    <row r="607">
      <c r="E607" s="47"/>
      <c r="G607" s="31"/>
    </row>
    <row r="608">
      <c r="E608" s="47"/>
      <c r="G608" s="31"/>
    </row>
    <row r="609">
      <c r="E609" s="47"/>
      <c r="G609" s="31"/>
    </row>
    <row r="610">
      <c r="E610" s="47"/>
      <c r="G610" s="31"/>
    </row>
    <row r="611">
      <c r="E611" s="47"/>
      <c r="G611" s="31"/>
    </row>
    <row r="612">
      <c r="E612" s="47"/>
      <c r="G612" s="31"/>
    </row>
    <row r="613">
      <c r="E613" s="47"/>
      <c r="G613" s="31"/>
    </row>
    <row r="614">
      <c r="E614" s="47"/>
      <c r="G614" s="31"/>
    </row>
    <row r="615">
      <c r="E615" s="47"/>
      <c r="G615" s="31"/>
    </row>
    <row r="616">
      <c r="E616" s="47"/>
      <c r="G616" s="31"/>
    </row>
    <row r="617">
      <c r="E617" s="47"/>
      <c r="G617" s="31"/>
    </row>
    <row r="618">
      <c r="E618" s="47"/>
      <c r="G618" s="31"/>
    </row>
    <row r="619">
      <c r="E619" s="47"/>
      <c r="G619" s="31"/>
    </row>
    <row r="620">
      <c r="E620" s="47"/>
      <c r="G620" s="31"/>
    </row>
    <row r="621">
      <c r="E621" s="47"/>
      <c r="G621" s="31"/>
    </row>
    <row r="622">
      <c r="E622" s="47"/>
      <c r="G622" s="31"/>
    </row>
    <row r="623">
      <c r="E623" s="47"/>
      <c r="G623" s="31"/>
    </row>
    <row r="624">
      <c r="E624" s="47"/>
      <c r="G624" s="31"/>
    </row>
    <row r="625">
      <c r="E625" s="47"/>
      <c r="G625" s="31"/>
    </row>
    <row r="626">
      <c r="E626" s="47"/>
      <c r="G626" s="31"/>
    </row>
    <row r="627">
      <c r="E627" s="47"/>
      <c r="G627" s="31"/>
    </row>
    <row r="628">
      <c r="E628" s="47"/>
      <c r="G628" s="31"/>
    </row>
    <row r="629">
      <c r="E629" s="47"/>
      <c r="G629" s="31"/>
    </row>
    <row r="630">
      <c r="E630" s="47"/>
      <c r="G630" s="31"/>
    </row>
    <row r="631">
      <c r="E631" s="47"/>
      <c r="G631" s="31"/>
    </row>
    <row r="632">
      <c r="E632" s="47"/>
      <c r="G632" s="31"/>
    </row>
    <row r="633">
      <c r="E633" s="47"/>
      <c r="G633" s="31"/>
    </row>
    <row r="634">
      <c r="E634" s="47"/>
      <c r="G634" s="31"/>
    </row>
    <row r="635">
      <c r="E635" s="47"/>
      <c r="G635" s="31"/>
    </row>
    <row r="636">
      <c r="E636" s="47"/>
      <c r="G636" s="31"/>
    </row>
    <row r="637">
      <c r="E637" s="47"/>
      <c r="G637" s="31"/>
    </row>
    <row r="638">
      <c r="E638" s="47"/>
      <c r="G638" s="31"/>
    </row>
    <row r="639">
      <c r="E639" s="47"/>
      <c r="G639" s="31"/>
    </row>
    <row r="640">
      <c r="E640" s="47"/>
      <c r="G640" s="31"/>
    </row>
    <row r="641">
      <c r="E641" s="47"/>
      <c r="G641" s="31"/>
    </row>
    <row r="642">
      <c r="E642" s="47"/>
      <c r="G642" s="31"/>
    </row>
    <row r="643">
      <c r="E643" s="47"/>
      <c r="G643" s="31"/>
    </row>
    <row r="644">
      <c r="E644" s="47"/>
      <c r="G644" s="31"/>
    </row>
    <row r="645">
      <c r="E645" s="47"/>
      <c r="G645" s="31"/>
    </row>
    <row r="646">
      <c r="E646" s="47"/>
      <c r="G646" s="31"/>
    </row>
    <row r="647">
      <c r="E647" s="47"/>
      <c r="G647" s="31"/>
    </row>
    <row r="648">
      <c r="E648" s="47"/>
      <c r="G648" s="31"/>
    </row>
    <row r="649">
      <c r="E649" s="47"/>
      <c r="G649" s="31"/>
    </row>
    <row r="650">
      <c r="E650" s="47"/>
      <c r="G650" s="31"/>
    </row>
    <row r="651">
      <c r="E651" s="47"/>
      <c r="G651" s="31"/>
    </row>
    <row r="652">
      <c r="E652" s="47"/>
      <c r="G652" s="31"/>
    </row>
    <row r="653">
      <c r="E653" s="47"/>
      <c r="G653" s="31"/>
    </row>
    <row r="654">
      <c r="E654" s="47"/>
      <c r="G654" s="31"/>
    </row>
    <row r="655">
      <c r="E655" s="47"/>
      <c r="G655" s="31"/>
    </row>
    <row r="656">
      <c r="E656" s="47"/>
      <c r="G656" s="31"/>
    </row>
    <row r="657">
      <c r="E657" s="47"/>
      <c r="G657" s="31"/>
    </row>
    <row r="658">
      <c r="E658" s="47"/>
      <c r="G658" s="31"/>
    </row>
    <row r="659">
      <c r="E659" s="47"/>
      <c r="G659" s="31"/>
    </row>
    <row r="660">
      <c r="E660" s="47"/>
      <c r="G660" s="31"/>
    </row>
    <row r="661">
      <c r="E661" s="47"/>
      <c r="G661" s="31"/>
    </row>
    <row r="662">
      <c r="E662" s="47"/>
      <c r="G662" s="31"/>
    </row>
    <row r="663">
      <c r="E663" s="47"/>
      <c r="G663" s="31"/>
    </row>
    <row r="664">
      <c r="E664" s="47"/>
      <c r="G664" s="31"/>
    </row>
    <row r="665">
      <c r="E665" s="47"/>
      <c r="G665" s="31"/>
    </row>
    <row r="666">
      <c r="E666" s="47"/>
      <c r="G666" s="31"/>
    </row>
    <row r="667">
      <c r="E667" s="47"/>
      <c r="G667" s="31"/>
    </row>
    <row r="668">
      <c r="E668" s="47"/>
      <c r="G668" s="31"/>
    </row>
    <row r="669">
      <c r="E669" s="47"/>
      <c r="G669" s="31"/>
    </row>
    <row r="670">
      <c r="E670" s="47"/>
      <c r="G670" s="31"/>
    </row>
    <row r="671">
      <c r="E671" s="47"/>
      <c r="G671" s="31"/>
    </row>
    <row r="672">
      <c r="E672" s="47"/>
      <c r="G672" s="31"/>
    </row>
    <row r="673">
      <c r="E673" s="47"/>
      <c r="G673" s="31"/>
    </row>
    <row r="674">
      <c r="E674" s="47"/>
      <c r="G674" s="31"/>
    </row>
    <row r="675">
      <c r="E675" s="47"/>
      <c r="G675" s="31"/>
    </row>
    <row r="676">
      <c r="E676" s="47"/>
      <c r="G676" s="31"/>
    </row>
    <row r="677">
      <c r="E677" s="47"/>
      <c r="G677" s="31"/>
    </row>
    <row r="678">
      <c r="E678" s="47"/>
      <c r="G678" s="31"/>
    </row>
    <row r="679">
      <c r="E679" s="47"/>
      <c r="G679" s="31"/>
    </row>
    <row r="680">
      <c r="E680" s="47"/>
      <c r="G680" s="31"/>
    </row>
    <row r="681">
      <c r="E681" s="47"/>
      <c r="G681" s="31"/>
    </row>
    <row r="682">
      <c r="E682" s="47"/>
      <c r="G682" s="31"/>
    </row>
    <row r="683">
      <c r="E683" s="47"/>
      <c r="G683" s="31"/>
    </row>
    <row r="684">
      <c r="E684" s="47"/>
      <c r="G684" s="31"/>
    </row>
    <row r="685">
      <c r="E685" s="47"/>
      <c r="G685" s="31"/>
    </row>
    <row r="686">
      <c r="E686" s="47"/>
      <c r="G686" s="31"/>
    </row>
    <row r="687">
      <c r="E687" s="47"/>
      <c r="G687" s="31"/>
    </row>
    <row r="688">
      <c r="E688" s="47"/>
      <c r="G688" s="31"/>
    </row>
    <row r="689">
      <c r="E689" s="47"/>
      <c r="G689" s="31"/>
    </row>
    <row r="690">
      <c r="E690" s="47"/>
      <c r="G690" s="31"/>
    </row>
    <row r="691">
      <c r="E691" s="47"/>
      <c r="G691" s="31"/>
    </row>
    <row r="692">
      <c r="E692" s="47"/>
      <c r="G692" s="31"/>
    </row>
    <row r="693">
      <c r="E693" s="47"/>
      <c r="G693" s="31"/>
    </row>
    <row r="694">
      <c r="E694" s="47"/>
      <c r="G694" s="31"/>
    </row>
    <row r="695">
      <c r="E695" s="47"/>
      <c r="G695" s="31"/>
    </row>
    <row r="696">
      <c r="E696" s="47"/>
      <c r="G696" s="31"/>
    </row>
    <row r="697">
      <c r="E697" s="47"/>
      <c r="G697" s="31"/>
    </row>
    <row r="698">
      <c r="E698" s="47"/>
      <c r="G698" s="31"/>
    </row>
    <row r="699">
      <c r="E699" s="47"/>
      <c r="G699" s="31"/>
    </row>
    <row r="700">
      <c r="E700" s="47"/>
      <c r="G700" s="31"/>
    </row>
    <row r="701">
      <c r="E701" s="47"/>
      <c r="G701" s="31"/>
    </row>
    <row r="702">
      <c r="E702" s="47"/>
      <c r="G702" s="31"/>
    </row>
    <row r="703">
      <c r="E703" s="47"/>
      <c r="G703" s="31"/>
    </row>
    <row r="704">
      <c r="E704" s="47"/>
      <c r="G704" s="31"/>
    </row>
    <row r="705">
      <c r="E705" s="47"/>
      <c r="G705" s="31"/>
    </row>
    <row r="706">
      <c r="E706" s="47"/>
      <c r="G706" s="31"/>
    </row>
    <row r="707">
      <c r="E707" s="47"/>
      <c r="G707" s="31"/>
    </row>
    <row r="708">
      <c r="E708" s="47"/>
      <c r="G708" s="31"/>
    </row>
    <row r="709">
      <c r="E709" s="47"/>
      <c r="G709" s="31"/>
    </row>
    <row r="710">
      <c r="E710" s="47"/>
      <c r="G710" s="31"/>
    </row>
    <row r="711">
      <c r="E711" s="47"/>
      <c r="G711" s="31"/>
    </row>
    <row r="712">
      <c r="E712" s="47"/>
      <c r="G712" s="31"/>
    </row>
    <row r="713">
      <c r="E713" s="47"/>
      <c r="G713" s="31"/>
    </row>
    <row r="714">
      <c r="E714" s="47"/>
      <c r="G714" s="31"/>
    </row>
    <row r="715">
      <c r="E715" s="47"/>
      <c r="G715" s="31"/>
    </row>
    <row r="716">
      <c r="E716" s="47"/>
      <c r="G716" s="31"/>
    </row>
    <row r="717">
      <c r="E717" s="47"/>
      <c r="G717" s="31"/>
    </row>
    <row r="718">
      <c r="E718" s="47"/>
      <c r="G718" s="31"/>
    </row>
    <row r="719">
      <c r="E719" s="47"/>
      <c r="G719" s="31"/>
    </row>
    <row r="720">
      <c r="E720" s="47"/>
      <c r="G720" s="31"/>
    </row>
    <row r="721">
      <c r="E721" s="47"/>
      <c r="G721" s="31"/>
    </row>
    <row r="722">
      <c r="E722" s="47"/>
      <c r="G722" s="31"/>
    </row>
    <row r="723">
      <c r="E723" s="47"/>
      <c r="G723" s="31"/>
    </row>
    <row r="724">
      <c r="E724" s="47"/>
      <c r="G724" s="31"/>
    </row>
    <row r="725">
      <c r="E725" s="47"/>
      <c r="G725" s="31"/>
    </row>
    <row r="726">
      <c r="E726" s="47"/>
      <c r="G726" s="31"/>
    </row>
    <row r="727">
      <c r="E727" s="47"/>
      <c r="G727" s="31"/>
    </row>
    <row r="728">
      <c r="E728" s="47"/>
      <c r="G728" s="31"/>
    </row>
    <row r="729">
      <c r="E729" s="47"/>
      <c r="G729" s="31"/>
    </row>
    <row r="730">
      <c r="E730" s="47"/>
      <c r="G730" s="31"/>
    </row>
    <row r="731">
      <c r="E731" s="47"/>
      <c r="G731" s="31"/>
    </row>
    <row r="732">
      <c r="E732" s="47"/>
      <c r="G732" s="31"/>
    </row>
    <row r="733">
      <c r="E733" s="47"/>
      <c r="G733" s="31"/>
    </row>
    <row r="734">
      <c r="E734" s="47"/>
      <c r="G734" s="31"/>
    </row>
    <row r="735">
      <c r="E735" s="47"/>
      <c r="G735" s="31"/>
    </row>
    <row r="736">
      <c r="E736" s="47"/>
      <c r="G736" s="31"/>
    </row>
    <row r="737">
      <c r="E737" s="47"/>
      <c r="G737" s="31"/>
    </row>
    <row r="738">
      <c r="E738" s="47"/>
      <c r="G738" s="31"/>
    </row>
    <row r="739">
      <c r="E739" s="47"/>
      <c r="G739" s="31"/>
    </row>
    <row r="740">
      <c r="E740" s="47"/>
      <c r="G740" s="31"/>
    </row>
    <row r="741">
      <c r="E741" s="47"/>
      <c r="G741" s="31"/>
    </row>
    <row r="742">
      <c r="E742" s="47"/>
      <c r="G742" s="31"/>
    </row>
    <row r="743">
      <c r="E743" s="47"/>
      <c r="G743" s="31"/>
    </row>
    <row r="744">
      <c r="E744" s="47"/>
      <c r="G744" s="31"/>
    </row>
    <row r="745">
      <c r="E745" s="47"/>
      <c r="G745" s="31"/>
    </row>
    <row r="746">
      <c r="E746" s="47"/>
      <c r="G746" s="31"/>
    </row>
    <row r="747">
      <c r="E747" s="47"/>
      <c r="G747" s="31"/>
    </row>
    <row r="748">
      <c r="E748" s="47"/>
      <c r="G748" s="31"/>
    </row>
    <row r="749">
      <c r="E749" s="47"/>
      <c r="G749" s="31"/>
    </row>
    <row r="750">
      <c r="E750" s="47"/>
      <c r="G750" s="31"/>
    </row>
    <row r="751">
      <c r="E751" s="47"/>
      <c r="G751" s="31"/>
    </row>
    <row r="752">
      <c r="E752" s="47"/>
      <c r="G752" s="31"/>
    </row>
    <row r="753">
      <c r="E753" s="47"/>
      <c r="G753" s="31"/>
    </row>
    <row r="754">
      <c r="E754" s="47"/>
      <c r="G754" s="31"/>
    </row>
    <row r="755">
      <c r="E755" s="47"/>
      <c r="G755" s="31"/>
    </row>
    <row r="756">
      <c r="E756" s="47"/>
      <c r="G756" s="31"/>
    </row>
    <row r="757">
      <c r="E757" s="47"/>
      <c r="G757" s="31"/>
    </row>
    <row r="758">
      <c r="E758" s="47"/>
      <c r="G758" s="31"/>
    </row>
    <row r="759">
      <c r="E759" s="47"/>
      <c r="G759" s="31"/>
    </row>
    <row r="760">
      <c r="E760" s="47"/>
      <c r="G760" s="31"/>
    </row>
    <row r="761">
      <c r="E761" s="47"/>
      <c r="G761" s="31"/>
    </row>
    <row r="762">
      <c r="E762" s="47"/>
      <c r="G762" s="31"/>
    </row>
    <row r="763">
      <c r="E763" s="47"/>
      <c r="G763" s="31"/>
    </row>
    <row r="764">
      <c r="E764" s="47"/>
      <c r="G764" s="31"/>
    </row>
    <row r="765">
      <c r="E765" s="47"/>
      <c r="G765" s="31"/>
    </row>
    <row r="766">
      <c r="E766" s="47"/>
      <c r="G766" s="31"/>
    </row>
    <row r="767">
      <c r="E767" s="47"/>
      <c r="G767" s="31"/>
    </row>
    <row r="768">
      <c r="E768" s="47"/>
      <c r="G768" s="31"/>
    </row>
    <row r="769">
      <c r="E769" s="47"/>
      <c r="G769" s="31"/>
    </row>
    <row r="770">
      <c r="E770" s="47"/>
      <c r="G770" s="31"/>
    </row>
    <row r="771">
      <c r="E771" s="47"/>
      <c r="G771" s="31"/>
    </row>
    <row r="772">
      <c r="E772" s="47"/>
      <c r="G772" s="31"/>
    </row>
    <row r="773">
      <c r="E773" s="47"/>
      <c r="G773" s="31"/>
    </row>
    <row r="774">
      <c r="E774" s="47"/>
      <c r="G774" s="31"/>
    </row>
    <row r="775">
      <c r="E775" s="47"/>
      <c r="G775" s="31"/>
    </row>
    <row r="776">
      <c r="E776" s="47"/>
      <c r="G776" s="31"/>
    </row>
    <row r="777">
      <c r="E777" s="47"/>
      <c r="G777" s="31"/>
    </row>
    <row r="778">
      <c r="E778" s="47"/>
      <c r="G778" s="31"/>
    </row>
    <row r="779">
      <c r="E779" s="47"/>
      <c r="G779" s="31"/>
    </row>
    <row r="780">
      <c r="E780" s="47"/>
      <c r="G780" s="31"/>
    </row>
    <row r="781">
      <c r="E781" s="47"/>
      <c r="G781" s="31"/>
    </row>
    <row r="782">
      <c r="E782" s="47"/>
      <c r="G782" s="31"/>
    </row>
    <row r="783">
      <c r="E783" s="47"/>
      <c r="G783" s="31"/>
    </row>
    <row r="784">
      <c r="E784" s="47"/>
      <c r="G784" s="31"/>
    </row>
    <row r="785">
      <c r="E785" s="47"/>
      <c r="G785" s="31"/>
    </row>
    <row r="786">
      <c r="E786" s="47"/>
      <c r="G786" s="31"/>
    </row>
    <row r="787">
      <c r="E787" s="47"/>
      <c r="G787" s="31"/>
    </row>
    <row r="788">
      <c r="E788" s="47"/>
      <c r="G788" s="31"/>
    </row>
    <row r="789">
      <c r="E789" s="47"/>
      <c r="G789" s="31"/>
    </row>
    <row r="790">
      <c r="E790" s="47"/>
      <c r="G790" s="31"/>
    </row>
    <row r="791">
      <c r="E791" s="47"/>
      <c r="G791" s="31"/>
    </row>
    <row r="792">
      <c r="E792" s="47"/>
      <c r="G792" s="31"/>
    </row>
    <row r="793">
      <c r="E793" s="47"/>
      <c r="G793" s="31"/>
    </row>
    <row r="794">
      <c r="E794" s="47"/>
      <c r="G794" s="31"/>
    </row>
    <row r="795">
      <c r="E795" s="47"/>
      <c r="G795" s="31"/>
    </row>
    <row r="796">
      <c r="E796" s="47"/>
      <c r="G796" s="31"/>
    </row>
    <row r="797">
      <c r="E797" s="47"/>
      <c r="G797" s="31"/>
    </row>
    <row r="798">
      <c r="E798" s="47"/>
      <c r="G798" s="31"/>
    </row>
    <row r="799">
      <c r="E799" s="47"/>
      <c r="G799" s="31"/>
    </row>
    <row r="800">
      <c r="E800" s="47"/>
      <c r="G800" s="31"/>
    </row>
    <row r="801">
      <c r="E801" s="47"/>
      <c r="G801" s="31"/>
    </row>
    <row r="802">
      <c r="E802" s="47"/>
      <c r="G802" s="31"/>
    </row>
    <row r="803">
      <c r="E803" s="47"/>
      <c r="G803" s="31"/>
    </row>
    <row r="804">
      <c r="E804" s="47"/>
      <c r="G804" s="31"/>
    </row>
    <row r="805">
      <c r="E805" s="47"/>
      <c r="G805" s="31"/>
    </row>
    <row r="806">
      <c r="E806" s="47"/>
      <c r="G806" s="31"/>
    </row>
    <row r="807">
      <c r="E807" s="47"/>
      <c r="G807" s="31"/>
    </row>
    <row r="808">
      <c r="E808" s="47"/>
      <c r="G808" s="31"/>
    </row>
    <row r="809">
      <c r="E809" s="47"/>
      <c r="G809" s="31"/>
    </row>
    <row r="810">
      <c r="E810" s="47"/>
      <c r="G810" s="31"/>
    </row>
    <row r="811">
      <c r="E811" s="47"/>
      <c r="G811" s="31"/>
    </row>
    <row r="812">
      <c r="E812" s="47"/>
      <c r="G812" s="31"/>
    </row>
    <row r="813">
      <c r="E813" s="47"/>
      <c r="G813" s="31"/>
    </row>
    <row r="814">
      <c r="E814" s="47"/>
      <c r="G814" s="31"/>
    </row>
    <row r="815">
      <c r="E815" s="47"/>
      <c r="G815" s="31"/>
    </row>
    <row r="816">
      <c r="E816" s="47"/>
      <c r="G816" s="31"/>
    </row>
    <row r="817">
      <c r="E817" s="47"/>
      <c r="G817" s="31"/>
    </row>
    <row r="818">
      <c r="E818" s="47"/>
      <c r="G818" s="31"/>
    </row>
    <row r="819">
      <c r="E819" s="47"/>
      <c r="G819" s="31"/>
    </row>
    <row r="820">
      <c r="E820" s="47"/>
      <c r="G820" s="31"/>
    </row>
    <row r="821">
      <c r="E821" s="47"/>
      <c r="G821" s="31"/>
    </row>
    <row r="822">
      <c r="E822" s="47"/>
      <c r="G822" s="31"/>
    </row>
    <row r="823">
      <c r="E823" s="47"/>
      <c r="G823" s="31"/>
    </row>
    <row r="824">
      <c r="E824" s="47"/>
      <c r="G824" s="31"/>
    </row>
    <row r="825">
      <c r="E825" s="47"/>
      <c r="G825" s="31"/>
    </row>
    <row r="826">
      <c r="E826" s="47"/>
      <c r="G826" s="31"/>
    </row>
    <row r="827">
      <c r="E827" s="47"/>
      <c r="G827" s="31"/>
    </row>
    <row r="828">
      <c r="E828" s="47"/>
      <c r="G828" s="31"/>
    </row>
    <row r="829">
      <c r="E829" s="47"/>
      <c r="G829" s="31"/>
    </row>
    <row r="830">
      <c r="E830" s="47"/>
      <c r="G830" s="31"/>
    </row>
    <row r="831">
      <c r="E831" s="47"/>
      <c r="G831" s="31"/>
    </row>
    <row r="832">
      <c r="E832" s="47"/>
      <c r="G832" s="31"/>
    </row>
    <row r="833">
      <c r="E833" s="47"/>
      <c r="G833" s="31"/>
    </row>
    <row r="834">
      <c r="E834" s="47"/>
      <c r="G834" s="31"/>
    </row>
    <row r="835">
      <c r="E835" s="47"/>
      <c r="G835" s="31"/>
    </row>
    <row r="836">
      <c r="E836" s="47"/>
      <c r="G836" s="31"/>
    </row>
    <row r="837">
      <c r="E837" s="47"/>
      <c r="G837" s="31"/>
    </row>
    <row r="838">
      <c r="E838" s="47"/>
      <c r="G838" s="31"/>
    </row>
    <row r="839">
      <c r="E839" s="47"/>
      <c r="G839" s="31"/>
    </row>
    <row r="840">
      <c r="E840" s="47"/>
      <c r="G840" s="31"/>
    </row>
    <row r="841">
      <c r="E841" s="47"/>
      <c r="G841" s="31"/>
    </row>
    <row r="842">
      <c r="E842" s="47"/>
      <c r="G842" s="31"/>
    </row>
    <row r="843">
      <c r="E843" s="47"/>
      <c r="G843" s="31"/>
    </row>
    <row r="844">
      <c r="E844" s="47"/>
      <c r="G844" s="31"/>
    </row>
    <row r="845">
      <c r="E845" s="47"/>
      <c r="G845" s="31"/>
    </row>
    <row r="846">
      <c r="E846" s="47"/>
      <c r="G846" s="31"/>
    </row>
    <row r="847">
      <c r="E847" s="47"/>
      <c r="G847" s="31"/>
    </row>
    <row r="848">
      <c r="E848" s="47"/>
      <c r="G848" s="31"/>
    </row>
    <row r="849">
      <c r="E849" s="47"/>
      <c r="G849" s="31"/>
    </row>
    <row r="850">
      <c r="E850" s="47"/>
      <c r="G850" s="31"/>
    </row>
    <row r="851">
      <c r="E851" s="47"/>
      <c r="G851" s="31"/>
    </row>
    <row r="852">
      <c r="E852" s="47"/>
      <c r="G852" s="31"/>
    </row>
    <row r="853">
      <c r="E853" s="47"/>
      <c r="G853" s="31"/>
    </row>
    <row r="854">
      <c r="E854" s="47"/>
      <c r="G854" s="31"/>
    </row>
    <row r="855">
      <c r="E855" s="47"/>
      <c r="G855" s="31"/>
    </row>
    <row r="856">
      <c r="E856" s="47"/>
      <c r="G856" s="31"/>
    </row>
    <row r="857">
      <c r="E857" s="47"/>
      <c r="G857" s="31"/>
    </row>
    <row r="858">
      <c r="E858" s="47"/>
      <c r="G858" s="31"/>
    </row>
    <row r="859">
      <c r="E859" s="47"/>
      <c r="G859" s="31"/>
    </row>
    <row r="860">
      <c r="E860" s="47"/>
      <c r="G860" s="31"/>
    </row>
    <row r="861">
      <c r="E861" s="47"/>
      <c r="G861" s="31"/>
    </row>
    <row r="862">
      <c r="E862" s="47"/>
      <c r="G862" s="31"/>
    </row>
    <row r="863">
      <c r="E863" s="47"/>
      <c r="G863" s="31"/>
    </row>
    <row r="864">
      <c r="E864" s="47"/>
      <c r="G864" s="31"/>
    </row>
    <row r="865">
      <c r="E865" s="47"/>
      <c r="G865" s="31"/>
    </row>
    <row r="866">
      <c r="E866" s="47"/>
      <c r="G866" s="31"/>
    </row>
    <row r="867">
      <c r="E867" s="47"/>
      <c r="G867" s="31"/>
    </row>
    <row r="868">
      <c r="E868" s="47"/>
      <c r="G868" s="31"/>
    </row>
    <row r="869">
      <c r="E869" s="47"/>
      <c r="G869" s="31"/>
    </row>
    <row r="870">
      <c r="E870" s="47"/>
      <c r="G870" s="31"/>
    </row>
    <row r="871">
      <c r="E871" s="47"/>
      <c r="G871" s="31"/>
    </row>
    <row r="872">
      <c r="E872" s="47"/>
      <c r="G872" s="31"/>
    </row>
    <row r="873">
      <c r="E873" s="47"/>
      <c r="G873" s="31"/>
    </row>
    <row r="874">
      <c r="E874" s="47"/>
      <c r="G874" s="31"/>
    </row>
    <row r="875">
      <c r="E875" s="47"/>
      <c r="G875" s="31"/>
    </row>
    <row r="876">
      <c r="E876" s="47"/>
      <c r="G876" s="31"/>
    </row>
    <row r="877">
      <c r="E877" s="47"/>
      <c r="G877" s="31"/>
    </row>
    <row r="878">
      <c r="E878" s="47"/>
      <c r="G878" s="31"/>
    </row>
    <row r="879">
      <c r="E879" s="47"/>
      <c r="G879" s="31"/>
    </row>
    <row r="880">
      <c r="E880" s="47"/>
      <c r="G880" s="31"/>
    </row>
    <row r="881">
      <c r="E881" s="47"/>
      <c r="G881" s="31"/>
    </row>
    <row r="882">
      <c r="E882" s="47"/>
      <c r="G882" s="31"/>
    </row>
    <row r="883">
      <c r="E883" s="47"/>
      <c r="G883" s="31"/>
    </row>
    <row r="884">
      <c r="E884" s="47"/>
      <c r="G884" s="31"/>
    </row>
    <row r="885">
      <c r="E885" s="47"/>
      <c r="G885" s="31"/>
    </row>
    <row r="886">
      <c r="E886" s="47"/>
      <c r="G886" s="31"/>
    </row>
    <row r="887">
      <c r="E887" s="47"/>
      <c r="G887" s="31"/>
    </row>
    <row r="888">
      <c r="E888" s="47"/>
      <c r="G888" s="31"/>
    </row>
    <row r="889">
      <c r="E889" s="47"/>
      <c r="G889" s="31"/>
    </row>
    <row r="890">
      <c r="E890" s="47"/>
      <c r="G890" s="31"/>
    </row>
    <row r="891">
      <c r="E891" s="47"/>
      <c r="G891" s="31"/>
    </row>
    <row r="892">
      <c r="E892" s="47"/>
      <c r="G892" s="31"/>
    </row>
    <row r="893">
      <c r="E893" s="47"/>
      <c r="G893" s="31"/>
    </row>
    <row r="894">
      <c r="E894" s="47"/>
      <c r="G894" s="31"/>
    </row>
    <row r="895">
      <c r="E895" s="47"/>
      <c r="G895" s="31"/>
    </row>
    <row r="896">
      <c r="E896" s="47"/>
      <c r="G896" s="31"/>
    </row>
    <row r="897">
      <c r="E897" s="47"/>
      <c r="G897" s="31"/>
    </row>
    <row r="898">
      <c r="E898" s="47"/>
      <c r="G898" s="31"/>
    </row>
    <row r="899">
      <c r="E899" s="47"/>
      <c r="G899" s="31"/>
    </row>
    <row r="900">
      <c r="E900" s="47"/>
      <c r="G900" s="31"/>
    </row>
    <row r="901">
      <c r="E901" s="47"/>
      <c r="G901" s="31"/>
    </row>
    <row r="902">
      <c r="E902" s="47"/>
      <c r="G902" s="31"/>
    </row>
    <row r="903">
      <c r="E903" s="47"/>
      <c r="G903" s="31"/>
    </row>
    <row r="904">
      <c r="E904" s="47"/>
      <c r="G904" s="31"/>
    </row>
    <row r="905">
      <c r="E905" s="47"/>
      <c r="G905" s="31"/>
    </row>
    <row r="906">
      <c r="E906" s="47"/>
      <c r="G906" s="31"/>
    </row>
    <row r="907">
      <c r="E907" s="47"/>
      <c r="G907" s="31"/>
    </row>
    <row r="908">
      <c r="E908" s="47"/>
      <c r="G908" s="31"/>
    </row>
    <row r="909">
      <c r="E909" s="47"/>
      <c r="G909" s="31"/>
    </row>
    <row r="910">
      <c r="E910" s="47"/>
      <c r="G910" s="31"/>
    </row>
    <row r="911">
      <c r="E911" s="47"/>
      <c r="G911" s="31"/>
    </row>
    <row r="912">
      <c r="E912" s="47"/>
      <c r="G912" s="31"/>
    </row>
    <row r="913">
      <c r="E913" s="47"/>
      <c r="G913" s="31"/>
    </row>
    <row r="914">
      <c r="E914" s="47"/>
      <c r="G914" s="31"/>
    </row>
    <row r="915">
      <c r="E915" s="47"/>
      <c r="G915" s="31"/>
    </row>
    <row r="916">
      <c r="E916" s="47"/>
      <c r="G916" s="31"/>
    </row>
    <row r="917">
      <c r="E917" s="47"/>
      <c r="G917" s="31"/>
    </row>
    <row r="918">
      <c r="E918" s="47"/>
      <c r="G918" s="31"/>
    </row>
    <row r="919">
      <c r="E919" s="47"/>
      <c r="G919" s="31"/>
    </row>
    <row r="920">
      <c r="E920" s="47"/>
      <c r="G920" s="31"/>
    </row>
    <row r="921">
      <c r="E921" s="47"/>
      <c r="G921" s="31"/>
    </row>
    <row r="922">
      <c r="E922" s="47"/>
      <c r="G922" s="31"/>
    </row>
    <row r="923">
      <c r="E923" s="47"/>
      <c r="G923" s="31"/>
    </row>
    <row r="924">
      <c r="E924" s="47"/>
      <c r="G924" s="31"/>
    </row>
    <row r="925">
      <c r="E925" s="47"/>
      <c r="G925" s="31"/>
    </row>
    <row r="926">
      <c r="E926" s="47"/>
      <c r="G926" s="31"/>
    </row>
    <row r="927">
      <c r="E927" s="47"/>
      <c r="G927" s="31"/>
    </row>
    <row r="928">
      <c r="E928" s="47"/>
      <c r="G928" s="31"/>
    </row>
    <row r="929">
      <c r="E929" s="47"/>
      <c r="G929" s="31"/>
    </row>
    <row r="930">
      <c r="E930" s="47"/>
      <c r="G930" s="31"/>
    </row>
    <row r="931">
      <c r="E931" s="47"/>
      <c r="G931" s="31"/>
    </row>
    <row r="932">
      <c r="E932" s="47"/>
      <c r="G932" s="31"/>
    </row>
    <row r="933">
      <c r="E933" s="47"/>
      <c r="G933" s="31"/>
    </row>
    <row r="934">
      <c r="E934" s="47"/>
      <c r="G934" s="31"/>
    </row>
    <row r="935">
      <c r="E935" s="47"/>
      <c r="G935" s="31"/>
    </row>
    <row r="936">
      <c r="E936" s="47"/>
      <c r="G936" s="31"/>
    </row>
    <row r="937">
      <c r="E937" s="47"/>
      <c r="G937" s="31"/>
    </row>
    <row r="938">
      <c r="E938" s="47"/>
      <c r="G938" s="31"/>
    </row>
    <row r="939">
      <c r="E939" s="47"/>
      <c r="G939" s="31"/>
    </row>
    <row r="940">
      <c r="E940" s="47"/>
      <c r="G940" s="31"/>
    </row>
    <row r="941">
      <c r="E941" s="47"/>
      <c r="G941" s="31"/>
    </row>
    <row r="942">
      <c r="E942" s="47"/>
      <c r="G942" s="31"/>
    </row>
    <row r="943">
      <c r="E943" s="47"/>
      <c r="G943" s="31"/>
    </row>
    <row r="944">
      <c r="E944" s="47"/>
      <c r="G944" s="31"/>
    </row>
    <row r="945">
      <c r="E945" s="47"/>
      <c r="G945" s="31"/>
    </row>
    <row r="946">
      <c r="E946" s="47"/>
      <c r="G946" s="31"/>
    </row>
    <row r="947">
      <c r="E947" s="47"/>
      <c r="G947" s="31"/>
    </row>
    <row r="948">
      <c r="E948" s="47"/>
      <c r="G948" s="31"/>
    </row>
    <row r="949">
      <c r="E949" s="47"/>
      <c r="G949" s="31"/>
    </row>
    <row r="950">
      <c r="E950" s="47"/>
      <c r="G950" s="31"/>
    </row>
    <row r="951">
      <c r="E951" s="47"/>
      <c r="G951" s="31"/>
    </row>
    <row r="952">
      <c r="E952" s="47"/>
      <c r="G952" s="31"/>
    </row>
    <row r="953">
      <c r="E953" s="47"/>
      <c r="G953" s="31"/>
    </row>
    <row r="954">
      <c r="E954" s="47"/>
      <c r="G954" s="31"/>
    </row>
    <row r="955">
      <c r="E955" s="47"/>
      <c r="G955" s="31"/>
    </row>
    <row r="956">
      <c r="E956" s="47"/>
      <c r="G956" s="31"/>
    </row>
    <row r="957">
      <c r="E957" s="47"/>
      <c r="G957" s="31"/>
    </row>
    <row r="958">
      <c r="E958" s="47"/>
      <c r="G958" s="31"/>
    </row>
    <row r="959">
      <c r="E959" s="47"/>
      <c r="G959" s="31"/>
    </row>
    <row r="960">
      <c r="E960" s="47"/>
      <c r="G960" s="31"/>
    </row>
    <row r="961">
      <c r="E961" s="47"/>
      <c r="G961" s="31"/>
    </row>
    <row r="962">
      <c r="E962" s="47"/>
      <c r="G962" s="31"/>
    </row>
    <row r="963">
      <c r="E963" s="47"/>
      <c r="G963" s="31"/>
    </row>
    <row r="964">
      <c r="E964" s="47"/>
      <c r="G964" s="31"/>
    </row>
    <row r="965">
      <c r="E965" s="47"/>
      <c r="G965" s="31"/>
    </row>
    <row r="966">
      <c r="E966" s="47"/>
      <c r="G966" s="31"/>
    </row>
    <row r="967">
      <c r="E967" s="47"/>
      <c r="G967" s="31"/>
    </row>
    <row r="968">
      <c r="E968" s="47"/>
      <c r="G968" s="31"/>
    </row>
    <row r="969">
      <c r="E969" s="47"/>
      <c r="G969" s="31"/>
    </row>
    <row r="970">
      <c r="E970" s="47"/>
      <c r="G970" s="31"/>
    </row>
    <row r="971">
      <c r="E971" s="47"/>
      <c r="G971" s="31"/>
    </row>
    <row r="972">
      <c r="E972" s="47"/>
      <c r="G972" s="31"/>
    </row>
    <row r="973">
      <c r="E973" s="47"/>
      <c r="G973" s="31"/>
    </row>
    <row r="974">
      <c r="E974" s="47"/>
      <c r="G974" s="31"/>
    </row>
    <row r="975">
      <c r="E975" s="47"/>
      <c r="G975" s="31"/>
    </row>
    <row r="976">
      <c r="E976" s="47"/>
      <c r="G976" s="31"/>
    </row>
    <row r="977">
      <c r="E977" s="47"/>
      <c r="G977" s="31"/>
    </row>
    <row r="978">
      <c r="E978" s="47"/>
      <c r="G978" s="31"/>
    </row>
    <row r="979">
      <c r="E979" s="47"/>
      <c r="G979" s="31"/>
    </row>
    <row r="980">
      <c r="E980" s="47"/>
      <c r="G980" s="31"/>
    </row>
    <row r="981">
      <c r="E981" s="47"/>
      <c r="G981" s="31"/>
    </row>
    <row r="982">
      <c r="E982" s="47"/>
      <c r="G982" s="31"/>
    </row>
    <row r="983">
      <c r="E983" s="47"/>
      <c r="G983" s="31"/>
    </row>
    <row r="984">
      <c r="E984" s="47"/>
      <c r="G984" s="31"/>
    </row>
    <row r="985">
      <c r="E985" s="47"/>
      <c r="G985" s="31"/>
    </row>
    <row r="986">
      <c r="E986" s="47"/>
      <c r="G986" s="31"/>
    </row>
    <row r="987">
      <c r="E987" s="47"/>
      <c r="G987" s="31"/>
    </row>
    <row r="988">
      <c r="E988" s="47"/>
      <c r="G988" s="31"/>
    </row>
    <row r="989">
      <c r="E989" s="47"/>
      <c r="G989" s="31"/>
    </row>
    <row r="990">
      <c r="E990" s="47"/>
      <c r="G990" s="31"/>
    </row>
    <row r="991">
      <c r="E991" s="47"/>
      <c r="G991" s="31"/>
    </row>
    <row r="992">
      <c r="E992" s="47"/>
      <c r="G992" s="31"/>
    </row>
    <row r="993">
      <c r="E993" s="47"/>
      <c r="G993" s="31"/>
    </row>
    <row r="994">
      <c r="E994" s="47"/>
      <c r="G994" s="31"/>
    </row>
    <row r="995">
      <c r="E995" s="47"/>
      <c r="G995" s="31"/>
    </row>
    <row r="996">
      <c r="E996" s="47"/>
      <c r="G996" s="31"/>
    </row>
    <row r="997">
      <c r="E997" s="47"/>
      <c r="G997" s="31"/>
    </row>
    <row r="998">
      <c r="E998" s="47"/>
      <c r="G998" s="31"/>
    </row>
    <row r="999">
      <c r="E999" s="47"/>
      <c r="G999" s="31"/>
    </row>
    <row r="1000">
      <c r="E1000" s="47"/>
      <c r="G1000" s="31"/>
    </row>
  </sheetData>
  <conditionalFormatting sqref="G1:G992">
    <cfRule type="containsText" dxfId="0" priority="1" operator="containsText" text="AVAILABLE">
      <formula>NOT(ISERROR(SEARCH(("AVAILABLE"),(G1))))</formula>
    </cfRule>
  </conditionalFormatting>
  <conditionalFormatting sqref="G1:G992">
    <cfRule type="containsText" dxfId="1" priority="2" operator="containsText" text="OUT OF STOCKS">
      <formula>NOT(ISERROR(SEARCH(("OUT OF STOCKS"),(G1))))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40.63"/>
    <col customWidth="1" min="3" max="3" width="14.13"/>
    <col customWidth="1" min="4" max="5" width="5.88"/>
    <col customWidth="1" min="6" max="6" width="7.63"/>
    <col customWidth="1" min="7" max="7" width="17.25"/>
    <col customWidth="1" min="8" max="8" width="14.63"/>
  </cols>
  <sheetData>
    <row r="1">
      <c r="A1" s="23" t="s">
        <v>567</v>
      </c>
      <c r="B1" s="23" t="s">
        <v>8</v>
      </c>
      <c r="C1" s="25" t="s">
        <v>787</v>
      </c>
      <c r="D1" s="27" t="s">
        <v>7</v>
      </c>
      <c r="E1" s="34" t="s">
        <v>783</v>
      </c>
      <c r="F1" s="48" t="s">
        <v>565</v>
      </c>
      <c r="G1" s="30" t="s">
        <v>568</v>
      </c>
      <c r="H1" s="30" t="s">
        <v>13</v>
      </c>
      <c r="I1" s="36">
        <v>45992.0</v>
      </c>
      <c r="J1" s="13">
        <v>46235.0</v>
      </c>
      <c r="K1" s="37">
        <v>46327.0</v>
      </c>
      <c r="L1" s="4" t="s">
        <v>17</v>
      </c>
      <c r="M1" s="4" t="s">
        <v>17</v>
      </c>
      <c r="N1" s="4" t="s">
        <v>17</v>
      </c>
      <c r="O1" s="4" t="s">
        <v>17</v>
      </c>
      <c r="P1" s="4" t="s">
        <v>17</v>
      </c>
      <c r="Q1" s="4" t="s">
        <v>17</v>
      </c>
      <c r="R1" s="4" t="s">
        <v>17</v>
      </c>
      <c r="S1" s="4" t="s">
        <v>17</v>
      </c>
      <c r="T1" s="4" t="s">
        <v>17</v>
      </c>
      <c r="U1" s="4" t="s">
        <v>17</v>
      </c>
      <c r="V1" s="4" t="s">
        <v>17</v>
      </c>
      <c r="W1" s="4" t="s">
        <v>17</v>
      </c>
      <c r="X1" s="4" t="s">
        <v>17</v>
      </c>
      <c r="Y1" s="4" t="s">
        <v>17</v>
      </c>
      <c r="Z1" s="4" t="s">
        <v>17</v>
      </c>
      <c r="AA1" s="4" t="s">
        <v>17</v>
      </c>
      <c r="AB1" s="4" t="s">
        <v>17</v>
      </c>
      <c r="AC1" s="4" t="s">
        <v>17</v>
      </c>
      <c r="AD1" s="4" t="s">
        <v>17</v>
      </c>
      <c r="AE1" s="4" t="s">
        <v>17</v>
      </c>
      <c r="AF1" s="4" t="s">
        <v>17</v>
      </c>
      <c r="AG1" s="4" t="s">
        <v>17</v>
      </c>
      <c r="AH1" s="4" t="s">
        <v>17</v>
      </c>
      <c r="AI1" s="4" t="s">
        <v>17</v>
      </c>
      <c r="AJ1" s="4" t="s">
        <v>17</v>
      </c>
      <c r="AK1" s="4" t="s">
        <v>17</v>
      </c>
      <c r="AL1" s="4" t="s">
        <v>17</v>
      </c>
      <c r="AM1" s="4" t="s">
        <v>17</v>
      </c>
      <c r="AN1" s="4" t="s">
        <v>17</v>
      </c>
      <c r="AO1" s="4" t="s">
        <v>17</v>
      </c>
      <c r="AP1" s="4" t="s">
        <v>17</v>
      </c>
      <c r="AQ1" s="4" t="s">
        <v>17</v>
      </c>
      <c r="AR1" s="4" t="s">
        <v>17</v>
      </c>
      <c r="AS1" s="4" t="s">
        <v>17</v>
      </c>
      <c r="AT1" s="4" t="s">
        <v>17</v>
      </c>
      <c r="AU1" s="4" t="s">
        <v>17</v>
      </c>
      <c r="AV1" s="4" t="s">
        <v>17</v>
      </c>
      <c r="AW1" s="4" t="s">
        <v>17</v>
      </c>
      <c r="AX1" s="4" t="s">
        <v>17</v>
      </c>
      <c r="AY1" s="4" t="s">
        <v>17</v>
      </c>
      <c r="AZ1" s="4" t="s">
        <v>17</v>
      </c>
      <c r="BA1" s="4" t="s">
        <v>17</v>
      </c>
      <c r="BB1" s="4" t="s">
        <v>17</v>
      </c>
      <c r="BC1" s="4" t="s">
        <v>17</v>
      </c>
      <c r="BD1" s="4" t="s">
        <v>17</v>
      </c>
      <c r="BE1" s="4" t="s">
        <v>17</v>
      </c>
    </row>
    <row r="2">
      <c r="A2" s="23" t="s">
        <v>569</v>
      </c>
      <c r="B2" s="23" t="s">
        <v>570</v>
      </c>
      <c r="C2" s="49">
        <f t="shared" ref="C2:C106" si="1">SUM(F2-G2)</f>
        <v>34</v>
      </c>
      <c r="D2" s="50" t="s">
        <v>571</v>
      </c>
      <c r="E2" s="40">
        <v>225.0</v>
      </c>
      <c r="F2" s="51">
        <f t="shared" ref="F2:F106" si="2">SUM(I2:HG2)</f>
        <v>48</v>
      </c>
      <c r="G2" s="52">
        <f>SUM('RUNNING STOCKS'!D2:AH2)</f>
        <v>14</v>
      </c>
      <c r="H2" s="53" t="str">
        <f t="shared" ref="H2:H106" si="3">IF(C2&lt;&gt;0, "AVAILABLE", "OUT OF STOCKS")</f>
        <v>AVAILABLE</v>
      </c>
      <c r="I2" s="2">
        <v>33.0</v>
      </c>
      <c r="J2" s="2">
        <v>15.0</v>
      </c>
    </row>
    <row r="3">
      <c r="A3" s="23" t="s">
        <v>572</v>
      </c>
      <c r="B3" s="23" t="s">
        <v>573</v>
      </c>
      <c r="C3" s="49">
        <f t="shared" si="1"/>
        <v>11</v>
      </c>
      <c r="D3" s="50" t="s">
        <v>571</v>
      </c>
      <c r="E3" s="40">
        <v>195.0</v>
      </c>
      <c r="F3" s="51">
        <f t="shared" si="2"/>
        <v>35</v>
      </c>
      <c r="G3" s="52">
        <f>SUM('RUNNING STOCKS'!D3:AH3)</f>
        <v>24</v>
      </c>
      <c r="H3" s="53" t="str">
        <f t="shared" si="3"/>
        <v>AVAILABLE</v>
      </c>
      <c r="I3" s="2">
        <v>5.0</v>
      </c>
      <c r="J3" s="2">
        <v>30.0</v>
      </c>
    </row>
    <row r="4">
      <c r="A4" s="23" t="s">
        <v>574</v>
      </c>
      <c r="B4" s="23" t="s">
        <v>575</v>
      </c>
      <c r="C4" s="49">
        <f t="shared" si="1"/>
        <v>13</v>
      </c>
      <c r="D4" s="50" t="s">
        <v>571</v>
      </c>
      <c r="E4" s="40">
        <v>205.0</v>
      </c>
      <c r="F4" s="51">
        <f t="shared" si="2"/>
        <v>23</v>
      </c>
      <c r="G4" s="52">
        <f>SUM('RUNNING STOCKS'!D4:AH4)</f>
        <v>10</v>
      </c>
      <c r="H4" s="53" t="str">
        <f t="shared" si="3"/>
        <v>AVAILABLE</v>
      </c>
      <c r="I4" s="2">
        <v>18.0</v>
      </c>
      <c r="J4" s="2">
        <v>5.0</v>
      </c>
    </row>
    <row r="5">
      <c r="A5" s="23" t="s">
        <v>576</v>
      </c>
      <c r="B5" s="23" t="s">
        <v>577</v>
      </c>
      <c r="C5" s="49">
        <f t="shared" si="1"/>
        <v>6</v>
      </c>
      <c r="D5" s="50" t="s">
        <v>571</v>
      </c>
      <c r="E5" s="40">
        <v>118.0</v>
      </c>
      <c r="F5" s="51">
        <f t="shared" si="2"/>
        <v>13</v>
      </c>
      <c r="G5" s="52">
        <f>SUM('RUNNING STOCKS'!D5:AH5)</f>
        <v>7</v>
      </c>
      <c r="H5" s="53" t="str">
        <f t="shared" si="3"/>
        <v>AVAILABLE</v>
      </c>
      <c r="I5" s="2">
        <v>8.0</v>
      </c>
      <c r="J5" s="2">
        <v>5.0</v>
      </c>
    </row>
    <row r="6">
      <c r="A6" s="23" t="s">
        <v>578</v>
      </c>
      <c r="B6" s="23" t="s">
        <v>579</v>
      </c>
      <c r="C6" s="49">
        <f t="shared" si="1"/>
        <v>11</v>
      </c>
      <c r="D6" s="50" t="s">
        <v>571</v>
      </c>
      <c r="E6" s="40">
        <v>140.0</v>
      </c>
      <c r="F6" s="51">
        <f t="shared" si="2"/>
        <v>15</v>
      </c>
      <c r="G6" s="52">
        <f>SUM('RUNNING STOCKS'!D6:AH6)</f>
        <v>4</v>
      </c>
      <c r="H6" s="53" t="str">
        <f t="shared" si="3"/>
        <v>AVAILABLE</v>
      </c>
      <c r="I6" s="2">
        <v>15.0</v>
      </c>
    </row>
    <row r="7">
      <c r="A7" s="23" t="s">
        <v>580</v>
      </c>
      <c r="B7" s="29" t="s">
        <v>581</v>
      </c>
      <c r="C7" s="49">
        <f t="shared" si="1"/>
        <v>574</v>
      </c>
      <c r="D7" s="50" t="s">
        <v>21</v>
      </c>
      <c r="E7" s="40">
        <v>250.0</v>
      </c>
      <c r="F7" s="51">
        <f t="shared" si="2"/>
        <v>1114</v>
      </c>
      <c r="G7" s="52">
        <f>SUM('RUNNING STOCKS'!D7:AH7)</f>
        <v>540</v>
      </c>
      <c r="H7" s="53" t="str">
        <f t="shared" si="3"/>
        <v>AVAILABLE</v>
      </c>
      <c r="I7" s="2">
        <v>314.0</v>
      </c>
      <c r="J7" s="2">
        <v>800.0</v>
      </c>
    </row>
    <row r="8">
      <c r="A8" s="23" t="s">
        <v>582</v>
      </c>
      <c r="B8" s="23" t="s">
        <v>583</v>
      </c>
      <c r="C8" s="49">
        <f t="shared" si="1"/>
        <v>2</v>
      </c>
      <c r="D8" s="50" t="s">
        <v>21</v>
      </c>
      <c r="E8" s="40">
        <v>68.0</v>
      </c>
      <c r="F8" s="51">
        <f t="shared" si="2"/>
        <v>5</v>
      </c>
      <c r="G8" s="52">
        <f>SUM('RUNNING STOCKS'!D8:AH8)</f>
        <v>3</v>
      </c>
      <c r="H8" s="53" t="str">
        <f t="shared" si="3"/>
        <v>AVAILABLE</v>
      </c>
      <c r="I8" s="2">
        <v>0.0</v>
      </c>
      <c r="J8" s="2">
        <v>5.0</v>
      </c>
    </row>
    <row r="9">
      <c r="A9" s="23" t="s">
        <v>584</v>
      </c>
      <c r="B9" s="23" t="s">
        <v>585</v>
      </c>
      <c r="C9" s="49">
        <f t="shared" si="1"/>
        <v>8</v>
      </c>
      <c r="D9" s="50" t="s">
        <v>21</v>
      </c>
      <c r="E9" s="40"/>
      <c r="F9" s="51">
        <f t="shared" si="2"/>
        <v>10</v>
      </c>
      <c r="G9" s="52">
        <f>SUM('RUNNING STOCKS'!D9:AH9)</f>
        <v>2</v>
      </c>
      <c r="H9" s="53" t="str">
        <f t="shared" si="3"/>
        <v>AVAILABLE</v>
      </c>
      <c r="I9" s="2">
        <v>0.0</v>
      </c>
      <c r="J9" s="2">
        <v>10.0</v>
      </c>
    </row>
    <row r="10">
      <c r="A10" s="23" t="s">
        <v>586</v>
      </c>
      <c r="B10" s="23" t="s">
        <v>587</v>
      </c>
      <c r="C10" s="49">
        <f t="shared" si="1"/>
        <v>156</v>
      </c>
      <c r="D10" s="50" t="s">
        <v>21</v>
      </c>
      <c r="E10" s="40">
        <v>725.0</v>
      </c>
      <c r="F10" s="51">
        <f t="shared" si="2"/>
        <v>267</v>
      </c>
      <c r="G10" s="52">
        <f>SUM('RUNNING STOCKS'!D10:AH10)</f>
        <v>111</v>
      </c>
      <c r="H10" s="53" t="str">
        <f t="shared" si="3"/>
        <v>AVAILABLE</v>
      </c>
      <c r="I10" s="2">
        <v>67.0</v>
      </c>
      <c r="J10" s="2">
        <v>200.0</v>
      </c>
    </row>
    <row r="11">
      <c r="A11" s="23" t="s">
        <v>588</v>
      </c>
      <c r="B11" s="23" t="s">
        <v>589</v>
      </c>
      <c r="C11" s="49">
        <f t="shared" si="1"/>
        <v>65</v>
      </c>
      <c r="D11" s="50" t="s">
        <v>21</v>
      </c>
      <c r="E11" s="40">
        <v>300.0</v>
      </c>
      <c r="F11" s="51">
        <f t="shared" si="2"/>
        <v>150</v>
      </c>
      <c r="G11" s="52">
        <f>SUM('RUNNING STOCKS'!D11:AH11)</f>
        <v>85</v>
      </c>
      <c r="H11" s="53" t="str">
        <f t="shared" si="3"/>
        <v>AVAILABLE</v>
      </c>
      <c r="I11" s="2">
        <v>0.0</v>
      </c>
      <c r="J11" s="2">
        <v>150.0</v>
      </c>
    </row>
    <row r="12">
      <c r="A12" s="23" t="s">
        <v>590</v>
      </c>
      <c r="B12" s="23" t="s">
        <v>591</v>
      </c>
      <c r="C12" s="49">
        <f t="shared" si="1"/>
        <v>150</v>
      </c>
      <c r="D12" s="50" t="s">
        <v>21</v>
      </c>
      <c r="E12" s="40">
        <v>300.0</v>
      </c>
      <c r="F12" s="51">
        <f t="shared" si="2"/>
        <v>265</v>
      </c>
      <c r="G12" s="52">
        <f>SUM('RUNNING STOCKS'!D12:AH12)</f>
        <v>115</v>
      </c>
      <c r="H12" s="53" t="str">
        <f t="shared" si="3"/>
        <v>AVAILABLE</v>
      </c>
      <c r="I12" s="2">
        <v>115.0</v>
      </c>
      <c r="J12" s="2">
        <v>150.0</v>
      </c>
    </row>
    <row r="13">
      <c r="A13" s="23" t="s">
        <v>592</v>
      </c>
      <c r="B13" s="23" t="s">
        <v>593</v>
      </c>
      <c r="C13" s="49">
        <f t="shared" si="1"/>
        <v>114</v>
      </c>
      <c r="D13" s="50" t="s">
        <v>21</v>
      </c>
      <c r="E13" s="40">
        <v>600.0</v>
      </c>
      <c r="F13" s="51">
        <f t="shared" si="2"/>
        <v>844</v>
      </c>
      <c r="G13" s="52">
        <f>SUM('RUNNING STOCKS'!D13:AH13)</f>
        <v>730</v>
      </c>
      <c r="H13" s="53" t="str">
        <f t="shared" si="3"/>
        <v>AVAILABLE</v>
      </c>
      <c r="I13" s="2">
        <v>244.0</v>
      </c>
      <c r="J13" s="2">
        <v>600.0</v>
      </c>
    </row>
    <row r="14">
      <c r="A14" s="23" t="s">
        <v>594</v>
      </c>
      <c r="B14" s="23" t="s">
        <v>595</v>
      </c>
      <c r="C14" s="49">
        <f t="shared" si="1"/>
        <v>0</v>
      </c>
      <c r="D14" s="50" t="s">
        <v>21</v>
      </c>
      <c r="E14" s="40"/>
      <c r="F14" s="51">
        <f t="shared" si="2"/>
        <v>0</v>
      </c>
      <c r="G14" s="52">
        <f>SUM('RUNNING STOCKS'!D14:AH14)</f>
        <v>0</v>
      </c>
      <c r="H14" s="53" t="str">
        <f t="shared" si="3"/>
        <v>OUT OF STOCKS</v>
      </c>
      <c r="I14" s="2">
        <v>0.0</v>
      </c>
    </row>
    <row r="15">
      <c r="A15" s="23" t="s">
        <v>596</v>
      </c>
      <c r="B15" s="23" t="s">
        <v>597</v>
      </c>
      <c r="C15" s="49">
        <f t="shared" si="1"/>
        <v>130</v>
      </c>
      <c r="D15" s="50" t="s">
        <v>21</v>
      </c>
      <c r="E15" s="40"/>
      <c r="F15" s="51">
        <f t="shared" si="2"/>
        <v>170</v>
      </c>
      <c r="G15" s="52">
        <f>SUM('RUNNING STOCKS'!D15:AH15)</f>
        <v>40</v>
      </c>
      <c r="H15" s="53" t="str">
        <f t="shared" si="3"/>
        <v>AVAILABLE</v>
      </c>
      <c r="I15" s="2">
        <v>20.0</v>
      </c>
      <c r="J15" s="2">
        <v>150.0</v>
      </c>
    </row>
    <row r="16">
      <c r="A16" s="23" t="s">
        <v>598</v>
      </c>
      <c r="B16" s="23" t="s">
        <v>599</v>
      </c>
      <c r="C16" s="49">
        <f t="shared" si="1"/>
        <v>105</v>
      </c>
      <c r="D16" s="50" t="s">
        <v>21</v>
      </c>
      <c r="E16" s="40"/>
      <c r="F16" s="51">
        <f t="shared" si="2"/>
        <v>150</v>
      </c>
      <c r="G16" s="52">
        <f>SUM('RUNNING STOCKS'!D16:AH16)</f>
        <v>45</v>
      </c>
      <c r="H16" s="53" t="str">
        <f t="shared" si="3"/>
        <v>AVAILABLE</v>
      </c>
      <c r="I16" s="2">
        <v>0.0</v>
      </c>
      <c r="J16" s="2">
        <v>150.0</v>
      </c>
    </row>
    <row r="17">
      <c r="A17" s="23" t="s">
        <v>600</v>
      </c>
      <c r="B17" s="29" t="s">
        <v>601</v>
      </c>
      <c r="C17" s="49">
        <f t="shared" si="1"/>
        <v>490</v>
      </c>
      <c r="D17" s="50" t="s">
        <v>21</v>
      </c>
      <c r="E17" s="40"/>
      <c r="F17" s="51">
        <f t="shared" si="2"/>
        <v>500</v>
      </c>
      <c r="G17" s="52">
        <f>SUM('RUNNING STOCKS'!D17:AH17)</f>
        <v>10</v>
      </c>
      <c r="H17" s="53" t="str">
        <f t="shared" si="3"/>
        <v>AVAILABLE</v>
      </c>
      <c r="I17" s="2">
        <v>0.0</v>
      </c>
      <c r="J17" s="2">
        <v>500.0</v>
      </c>
    </row>
    <row r="18">
      <c r="A18" s="23" t="s">
        <v>602</v>
      </c>
      <c r="B18" s="29" t="s">
        <v>603</v>
      </c>
      <c r="C18" s="49">
        <f t="shared" si="1"/>
        <v>480</v>
      </c>
      <c r="D18" s="50" t="s">
        <v>21</v>
      </c>
      <c r="E18" s="40"/>
      <c r="F18" s="51">
        <f t="shared" si="2"/>
        <v>500</v>
      </c>
      <c r="G18" s="52">
        <f>SUM('RUNNING STOCKS'!D18:AH18)</f>
        <v>20</v>
      </c>
      <c r="H18" s="53" t="str">
        <f t="shared" si="3"/>
        <v>AVAILABLE</v>
      </c>
      <c r="I18" s="2">
        <v>0.0</v>
      </c>
      <c r="J18" s="2">
        <v>500.0</v>
      </c>
    </row>
    <row r="19">
      <c r="A19" s="23" t="s">
        <v>604</v>
      </c>
      <c r="B19" s="29" t="s">
        <v>605</v>
      </c>
      <c r="C19" s="49">
        <f t="shared" si="1"/>
        <v>3</v>
      </c>
      <c r="D19" s="50" t="s">
        <v>21</v>
      </c>
      <c r="E19" s="40">
        <v>30.0</v>
      </c>
      <c r="F19" s="51">
        <f t="shared" si="2"/>
        <v>3</v>
      </c>
      <c r="G19" s="52">
        <f>SUM('RUNNING STOCKS'!D19:AH19)</f>
        <v>0</v>
      </c>
      <c r="H19" s="53" t="str">
        <f t="shared" si="3"/>
        <v>AVAILABLE</v>
      </c>
      <c r="I19" s="2">
        <v>3.0</v>
      </c>
    </row>
    <row r="20">
      <c r="A20" s="23" t="s">
        <v>606</v>
      </c>
      <c r="B20" s="23" t="s">
        <v>607</v>
      </c>
      <c r="C20" s="49">
        <f t="shared" si="1"/>
        <v>137</v>
      </c>
      <c r="D20" s="50" t="s">
        <v>21</v>
      </c>
      <c r="E20" s="40">
        <v>76.0</v>
      </c>
      <c r="F20" s="51">
        <f t="shared" si="2"/>
        <v>302</v>
      </c>
      <c r="G20" s="52">
        <f>SUM('RUNNING STOCKS'!D20:AH20)</f>
        <v>165</v>
      </c>
      <c r="H20" s="53" t="str">
        <f t="shared" si="3"/>
        <v>AVAILABLE</v>
      </c>
      <c r="I20" s="2">
        <v>2.0</v>
      </c>
      <c r="J20" s="2">
        <v>300.0</v>
      </c>
    </row>
    <row r="21">
      <c r="A21" s="23" t="s">
        <v>608</v>
      </c>
      <c r="B21" s="23" t="s">
        <v>609</v>
      </c>
      <c r="C21" s="49">
        <f t="shared" si="1"/>
        <v>78</v>
      </c>
      <c r="D21" s="50" t="s">
        <v>21</v>
      </c>
      <c r="E21" s="40">
        <v>76.0</v>
      </c>
      <c r="F21" s="51">
        <f t="shared" si="2"/>
        <v>108</v>
      </c>
      <c r="G21" s="52">
        <f>SUM('RUNNING STOCKS'!D21:AH21)</f>
        <v>30</v>
      </c>
      <c r="H21" s="53" t="str">
        <f t="shared" si="3"/>
        <v>AVAILABLE</v>
      </c>
      <c r="I21" s="2">
        <v>108.0</v>
      </c>
    </row>
    <row r="22">
      <c r="A22" s="23" t="s">
        <v>610</v>
      </c>
      <c r="B22" s="23" t="s">
        <v>611</v>
      </c>
      <c r="C22" s="49">
        <f t="shared" si="1"/>
        <v>1</v>
      </c>
      <c r="D22" s="50" t="s">
        <v>21</v>
      </c>
      <c r="E22" s="40">
        <v>165.0</v>
      </c>
      <c r="F22" s="51">
        <f t="shared" si="2"/>
        <v>6</v>
      </c>
      <c r="G22" s="52">
        <f>SUM('RUNNING STOCKS'!D22:AH22)</f>
        <v>5</v>
      </c>
      <c r="H22" s="53" t="str">
        <f t="shared" si="3"/>
        <v>AVAILABLE</v>
      </c>
      <c r="I22" s="2">
        <v>1.0</v>
      </c>
      <c r="J22" s="2">
        <v>5.0</v>
      </c>
    </row>
    <row r="23">
      <c r="A23" s="23" t="s">
        <v>612</v>
      </c>
      <c r="B23" s="23" t="s">
        <v>613</v>
      </c>
      <c r="C23" s="49">
        <f t="shared" si="1"/>
        <v>2</v>
      </c>
      <c r="D23" s="50" t="s">
        <v>21</v>
      </c>
      <c r="E23" s="40">
        <v>165.0</v>
      </c>
      <c r="F23" s="51">
        <f t="shared" si="2"/>
        <v>3</v>
      </c>
      <c r="G23" s="52">
        <f>SUM('RUNNING STOCKS'!D23:AH23)</f>
        <v>1</v>
      </c>
      <c r="H23" s="53" t="str">
        <f t="shared" si="3"/>
        <v>AVAILABLE</v>
      </c>
      <c r="I23" s="2">
        <v>3.0</v>
      </c>
    </row>
    <row r="24">
      <c r="A24" s="23" t="s">
        <v>614</v>
      </c>
      <c r="B24" s="23" t="s">
        <v>615</v>
      </c>
      <c r="C24" s="49">
        <f t="shared" si="1"/>
        <v>8</v>
      </c>
      <c r="D24" s="50" t="s">
        <v>21</v>
      </c>
      <c r="E24" s="40">
        <v>35.0</v>
      </c>
      <c r="F24" s="51">
        <f t="shared" si="2"/>
        <v>40</v>
      </c>
      <c r="G24" s="52">
        <f>SUM('RUNNING STOCKS'!D24:AH24)</f>
        <v>32</v>
      </c>
      <c r="H24" s="53" t="str">
        <f t="shared" si="3"/>
        <v>AVAILABLE</v>
      </c>
      <c r="I24" s="2">
        <v>20.0</v>
      </c>
      <c r="J24" s="2">
        <v>20.0</v>
      </c>
    </row>
    <row r="25">
      <c r="A25" s="23" t="s">
        <v>616</v>
      </c>
      <c r="B25" s="23" t="s">
        <v>617</v>
      </c>
      <c r="C25" s="49">
        <f t="shared" si="1"/>
        <v>7</v>
      </c>
      <c r="D25" s="50" t="s">
        <v>21</v>
      </c>
      <c r="E25" s="40">
        <v>7.0</v>
      </c>
      <c r="F25" s="51">
        <f t="shared" si="2"/>
        <v>11</v>
      </c>
      <c r="G25" s="52">
        <f>SUM('RUNNING STOCKS'!D25:AH25)</f>
        <v>4</v>
      </c>
      <c r="H25" s="53" t="str">
        <f t="shared" si="3"/>
        <v>AVAILABLE</v>
      </c>
      <c r="I25" s="2">
        <v>11.0</v>
      </c>
    </row>
    <row r="26">
      <c r="A26" s="23" t="s">
        <v>618</v>
      </c>
      <c r="B26" s="23" t="s">
        <v>619</v>
      </c>
      <c r="C26" s="49">
        <f t="shared" si="1"/>
        <v>19</v>
      </c>
      <c r="D26" s="50" t="s">
        <v>21</v>
      </c>
      <c r="E26" s="40"/>
      <c r="F26" s="51">
        <f t="shared" si="2"/>
        <v>21</v>
      </c>
      <c r="G26" s="52">
        <f>SUM('RUNNING STOCKS'!D26:AH26)</f>
        <v>2</v>
      </c>
      <c r="H26" s="53" t="str">
        <f t="shared" si="3"/>
        <v>AVAILABLE</v>
      </c>
      <c r="I26" s="2">
        <v>21.0</v>
      </c>
    </row>
    <row r="27">
      <c r="A27" s="23" t="s">
        <v>620</v>
      </c>
      <c r="B27" s="23" t="s">
        <v>621</v>
      </c>
      <c r="C27" s="49">
        <f t="shared" si="1"/>
        <v>0</v>
      </c>
      <c r="D27" s="50" t="s">
        <v>21</v>
      </c>
      <c r="E27" s="40"/>
      <c r="F27" s="51">
        <f t="shared" si="2"/>
        <v>0</v>
      </c>
      <c r="G27" s="52">
        <f>SUM('RUNNING STOCKS'!D27:AH27)</f>
        <v>0</v>
      </c>
      <c r="H27" s="53" t="str">
        <f t="shared" si="3"/>
        <v>OUT OF STOCKS</v>
      </c>
      <c r="I27" s="2">
        <v>0.0</v>
      </c>
    </row>
    <row r="28">
      <c r="A28" s="23" t="s">
        <v>622</v>
      </c>
      <c r="B28" s="23" t="s">
        <v>623</v>
      </c>
      <c r="C28" s="49">
        <f t="shared" si="1"/>
        <v>0</v>
      </c>
      <c r="D28" s="50" t="s">
        <v>21</v>
      </c>
      <c r="E28" s="40">
        <v>18.0</v>
      </c>
      <c r="F28" s="51">
        <f t="shared" si="2"/>
        <v>36</v>
      </c>
      <c r="G28" s="52">
        <f>SUM('RUNNING STOCKS'!D28:AH28)</f>
        <v>36</v>
      </c>
      <c r="H28" s="53" t="str">
        <f t="shared" si="3"/>
        <v>OUT OF STOCKS</v>
      </c>
      <c r="I28" s="2">
        <v>21.0</v>
      </c>
      <c r="J28" s="2">
        <v>15.0</v>
      </c>
    </row>
    <row r="29">
      <c r="A29" s="23" t="s">
        <v>624</v>
      </c>
      <c r="B29" s="23" t="s">
        <v>625</v>
      </c>
      <c r="C29" s="49">
        <f t="shared" si="1"/>
        <v>40</v>
      </c>
      <c r="D29" s="50" t="s">
        <v>21</v>
      </c>
      <c r="E29" s="40">
        <v>41.0</v>
      </c>
      <c r="F29" s="51">
        <f t="shared" si="2"/>
        <v>200</v>
      </c>
      <c r="G29" s="52">
        <f>SUM('RUNNING STOCKS'!D29:AH29)</f>
        <v>160</v>
      </c>
      <c r="H29" s="53" t="str">
        <f t="shared" si="3"/>
        <v>AVAILABLE</v>
      </c>
      <c r="I29" s="2">
        <v>100.0</v>
      </c>
      <c r="K29" s="2">
        <v>100.0</v>
      </c>
    </row>
    <row r="30">
      <c r="A30" s="23" t="s">
        <v>626</v>
      </c>
      <c r="B30" s="23" t="s">
        <v>627</v>
      </c>
      <c r="C30" s="49">
        <f t="shared" si="1"/>
        <v>4</v>
      </c>
      <c r="D30" s="50" t="s">
        <v>21</v>
      </c>
      <c r="E30" s="40">
        <v>175.0</v>
      </c>
      <c r="F30" s="51">
        <f t="shared" si="2"/>
        <v>4</v>
      </c>
      <c r="G30" s="52">
        <f>SUM('RUNNING STOCKS'!D30:AH30)</f>
        <v>0</v>
      </c>
      <c r="H30" s="53" t="str">
        <f t="shared" si="3"/>
        <v>AVAILABLE</v>
      </c>
      <c r="I30" s="2">
        <v>4.0</v>
      </c>
    </row>
    <row r="31">
      <c r="A31" s="23" t="s">
        <v>628</v>
      </c>
      <c r="B31" s="23" t="s">
        <v>629</v>
      </c>
      <c r="C31" s="49">
        <f t="shared" si="1"/>
        <v>8</v>
      </c>
      <c r="D31" s="50" t="s">
        <v>21</v>
      </c>
      <c r="E31" s="40">
        <v>120.0</v>
      </c>
      <c r="F31" s="51">
        <f t="shared" si="2"/>
        <v>9</v>
      </c>
      <c r="G31" s="52">
        <f>SUM('RUNNING STOCKS'!D31:AH31)</f>
        <v>1</v>
      </c>
      <c r="H31" s="53" t="str">
        <f t="shared" si="3"/>
        <v>AVAILABLE</v>
      </c>
      <c r="I31" s="2">
        <v>9.0</v>
      </c>
    </row>
    <row r="32">
      <c r="A32" s="23" t="s">
        <v>630</v>
      </c>
      <c r="B32" s="23" t="s">
        <v>631</v>
      </c>
      <c r="C32" s="49">
        <f t="shared" si="1"/>
        <v>1</v>
      </c>
      <c r="D32" s="50" t="s">
        <v>21</v>
      </c>
      <c r="E32" s="40">
        <v>45.0</v>
      </c>
      <c r="F32" s="51">
        <f t="shared" si="2"/>
        <v>4</v>
      </c>
      <c r="G32" s="52">
        <f>SUM('RUNNING STOCKS'!D32:AH32)</f>
        <v>3</v>
      </c>
      <c r="H32" s="53" t="str">
        <f t="shared" si="3"/>
        <v>AVAILABLE</v>
      </c>
      <c r="I32" s="2">
        <v>0.0</v>
      </c>
      <c r="J32" s="2">
        <v>4.0</v>
      </c>
    </row>
    <row r="33">
      <c r="A33" s="23" t="s">
        <v>632</v>
      </c>
      <c r="B33" s="23" t="s">
        <v>633</v>
      </c>
      <c r="C33" s="49">
        <f t="shared" si="1"/>
        <v>6</v>
      </c>
      <c r="D33" s="50" t="s">
        <v>21</v>
      </c>
      <c r="E33" s="40"/>
      <c r="F33" s="51">
        <f t="shared" si="2"/>
        <v>9</v>
      </c>
      <c r="G33" s="52">
        <f>SUM('RUNNING STOCKS'!D33:AH33)</f>
        <v>3</v>
      </c>
      <c r="H33" s="53" t="str">
        <f t="shared" si="3"/>
        <v>AVAILABLE</v>
      </c>
      <c r="I33" s="2">
        <v>1.0</v>
      </c>
      <c r="J33" s="2">
        <v>8.0</v>
      </c>
    </row>
    <row r="34">
      <c r="A34" s="23" t="s">
        <v>634</v>
      </c>
      <c r="B34" s="23" t="s">
        <v>635</v>
      </c>
      <c r="C34" s="49">
        <f t="shared" si="1"/>
        <v>7</v>
      </c>
      <c r="D34" s="50" t="s">
        <v>21</v>
      </c>
      <c r="E34" s="40">
        <v>6.0</v>
      </c>
      <c r="F34" s="51">
        <f t="shared" si="2"/>
        <v>8</v>
      </c>
      <c r="G34" s="52">
        <f>SUM('RUNNING STOCKS'!D34:AH34)</f>
        <v>1</v>
      </c>
      <c r="H34" s="53" t="str">
        <f t="shared" si="3"/>
        <v>AVAILABLE</v>
      </c>
      <c r="I34" s="2">
        <v>8.0</v>
      </c>
    </row>
    <row r="35">
      <c r="A35" s="23" t="s">
        <v>636</v>
      </c>
      <c r="B35" s="23" t="s">
        <v>637</v>
      </c>
      <c r="C35" s="49">
        <f t="shared" si="1"/>
        <v>4</v>
      </c>
      <c r="D35" s="50" t="s">
        <v>21</v>
      </c>
      <c r="E35" s="40"/>
      <c r="F35" s="51">
        <f t="shared" si="2"/>
        <v>5</v>
      </c>
      <c r="G35" s="52">
        <f>SUM('RUNNING STOCKS'!D35:AH35)</f>
        <v>1</v>
      </c>
      <c r="H35" s="53" t="str">
        <f t="shared" si="3"/>
        <v>AVAILABLE</v>
      </c>
      <c r="I35" s="2">
        <v>0.0</v>
      </c>
      <c r="J35" s="2">
        <v>5.0</v>
      </c>
    </row>
    <row r="36">
      <c r="A36" s="23" t="s">
        <v>638</v>
      </c>
      <c r="B36" s="23" t="s">
        <v>639</v>
      </c>
      <c r="C36" s="49">
        <f t="shared" si="1"/>
        <v>0</v>
      </c>
      <c r="D36" s="50" t="s">
        <v>21</v>
      </c>
      <c r="E36" s="40">
        <v>120.0</v>
      </c>
      <c r="F36" s="51">
        <f t="shared" si="2"/>
        <v>4</v>
      </c>
      <c r="G36" s="52">
        <f>SUM('RUNNING STOCKS'!D36:AH36)</f>
        <v>4</v>
      </c>
      <c r="H36" s="53" t="str">
        <f t="shared" si="3"/>
        <v>OUT OF STOCKS</v>
      </c>
      <c r="I36" s="2">
        <v>0.0</v>
      </c>
      <c r="J36" s="2">
        <v>4.0</v>
      </c>
    </row>
    <row r="37">
      <c r="A37" s="23" t="s">
        <v>640</v>
      </c>
      <c r="B37" s="23" t="s">
        <v>641</v>
      </c>
      <c r="C37" s="49">
        <f t="shared" si="1"/>
        <v>6</v>
      </c>
      <c r="D37" s="50" t="s">
        <v>21</v>
      </c>
      <c r="E37" s="40"/>
      <c r="F37" s="51">
        <f t="shared" si="2"/>
        <v>30</v>
      </c>
      <c r="G37" s="52">
        <f>SUM('RUNNING STOCKS'!D37:AH37)</f>
        <v>24</v>
      </c>
      <c r="H37" s="53" t="str">
        <f t="shared" si="3"/>
        <v>AVAILABLE</v>
      </c>
      <c r="I37" s="2">
        <v>0.0</v>
      </c>
      <c r="J37" s="2">
        <v>30.0</v>
      </c>
    </row>
    <row r="38">
      <c r="A38" s="23" t="s">
        <v>642</v>
      </c>
      <c r="B38" s="23" t="s">
        <v>643</v>
      </c>
      <c r="C38" s="49">
        <f t="shared" si="1"/>
        <v>0</v>
      </c>
      <c r="D38" s="50" t="s">
        <v>21</v>
      </c>
      <c r="E38" s="40"/>
      <c r="F38" s="51">
        <f t="shared" si="2"/>
        <v>0</v>
      </c>
      <c r="G38" s="52">
        <f>SUM('RUNNING STOCKS'!D38:AH38)</f>
        <v>0</v>
      </c>
      <c r="H38" s="53" t="str">
        <f t="shared" si="3"/>
        <v>OUT OF STOCKS</v>
      </c>
      <c r="I38" s="2">
        <v>0.0</v>
      </c>
    </row>
    <row r="39">
      <c r="A39" s="23" t="s">
        <v>644</v>
      </c>
      <c r="B39" s="23" t="s">
        <v>645</v>
      </c>
      <c r="C39" s="49">
        <f t="shared" si="1"/>
        <v>15</v>
      </c>
      <c r="D39" s="50" t="s">
        <v>21</v>
      </c>
      <c r="E39" s="40">
        <v>35.0</v>
      </c>
      <c r="F39" s="51">
        <f t="shared" si="2"/>
        <v>37</v>
      </c>
      <c r="G39" s="52">
        <f>SUM('RUNNING STOCKS'!D39:AH39)</f>
        <v>22</v>
      </c>
      <c r="H39" s="53" t="str">
        <f t="shared" si="3"/>
        <v>AVAILABLE</v>
      </c>
      <c r="I39" s="2">
        <v>7.0</v>
      </c>
      <c r="J39" s="2">
        <v>30.0</v>
      </c>
    </row>
    <row r="40">
      <c r="A40" s="23" t="s">
        <v>646</v>
      </c>
      <c r="B40" s="23" t="s">
        <v>647</v>
      </c>
      <c r="C40" s="49">
        <f t="shared" si="1"/>
        <v>0</v>
      </c>
      <c r="D40" s="50" t="s">
        <v>21</v>
      </c>
      <c r="E40" s="40">
        <v>49.0</v>
      </c>
      <c r="F40" s="51">
        <f t="shared" si="2"/>
        <v>5</v>
      </c>
      <c r="G40" s="52">
        <f>SUM('RUNNING STOCKS'!D40:AH40)</f>
        <v>5</v>
      </c>
      <c r="H40" s="53" t="str">
        <f t="shared" si="3"/>
        <v>OUT OF STOCKS</v>
      </c>
      <c r="I40" s="2">
        <v>0.0</v>
      </c>
      <c r="J40" s="2">
        <v>5.0</v>
      </c>
    </row>
    <row r="41">
      <c r="A41" s="23" t="s">
        <v>648</v>
      </c>
      <c r="B41" s="23" t="s">
        <v>649</v>
      </c>
      <c r="C41" s="49">
        <f t="shared" si="1"/>
        <v>4</v>
      </c>
      <c r="D41" s="50" t="s">
        <v>21</v>
      </c>
      <c r="E41" s="40">
        <v>25.0</v>
      </c>
      <c r="F41" s="51">
        <f t="shared" si="2"/>
        <v>20</v>
      </c>
      <c r="G41" s="52">
        <f>SUM('RUNNING STOCKS'!D41:AH41)</f>
        <v>16</v>
      </c>
      <c r="H41" s="53" t="str">
        <f t="shared" si="3"/>
        <v>AVAILABLE</v>
      </c>
      <c r="I41" s="2">
        <v>20.0</v>
      </c>
    </row>
    <row r="42">
      <c r="A42" s="23" t="s">
        <v>650</v>
      </c>
      <c r="B42" s="23" t="s">
        <v>651</v>
      </c>
      <c r="C42" s="49">
        <f t="shared" si="1"/>
        <v>0</v>
      </c>
      <c r="D42" s="50" t="s">
        <v>21</v>
      </c>
      <c r="E42" s="40">
        <v>108.0</v>
      </c>
      <c r="F42" s="51">
        <f t="shared" si="2"/>
        <v>3</v>
      </c>
      <c r="G42" s="52">
        <f>SUM('RUNNING STOCKS'!D42:AH42)</f>
        <v>3</v>
      </c>
      <c r="H42" s="53" t="str">
        <f t="shared" si="3"/>
        <v>OUT OF STOCKS</v>
      </c>
      <c r="I42" s="2">
        <v>3.0</v>
      </c>
    </row>
    <row r="43">
      <c r="A43" s="23" t="s">
        <v>652</v>
      </c>
      <c r="B43" s="23" t="s">
        <v>653</v>
      </c>
      <c r="C43" s="49">
        <f t="shared" si="1"/>
        <v>7</v>
      </c>
      <c r="D43" s="50" t="s">
        <v>21</v>
      </c>
      <c r="E43" s="40"/>
      <c r="F43" s="51">
        <f t="shared" si="2"/>
        <v>10</v>
      </c>
      <c r="G43" s="52">
        <f>SUM('RUNNING STOCKS'!D43:AH43)</f>
        <v>3</v>
      </c>
      <c r="H43" s="53" t="str">
        <f t="shared" si="3"/>
        <v>AVAILABLE</v>
      </c>
      <c r="I43" s="2">
        <v>0.0</v>
      </c>
      <c r="J43" s="2">
        <v>10.0</v>
      </c>
    </row>
    <row r="44">
      <c r="A44" s="23" t="s">
        <v>654</v>
      </c>
      <c r="B44" s="29" t="s">
        <v>655</v>
      </c>
      <c r="C44" s="49">
        <f t="shared" si="1"/>
        <v>5</v>
      </c>
      <c r="D44" s="50" t="s">
        <v>21</v>
      </c>
      <c r="E44" s="40"/>
      <c r="F44" s="51">
        <f t="shared" si="2"/>
        <v>5</v>
      </c>
      <c r="G44" s="52">
        <f>SUM('RUNNING STOCKS'!D44:AH44)</f>
        <v>0</v>
      </c>
      <c r="H44" s="53" t="str">
        <f t="shared" si="3"/>
        <v>AVAILABLE</v>
      </c>
      <c r="I44" s="2">
        <v>5.0</v>
      </c>
    </row>
    <row r="45">
      <c r="A45" s="23" t="s">
        <v>656</v>
      </c>
      <c r="B45" s="29" t="s">
        <v>657</v>
      </c>
      <c r="C45" s="49">
        <f t="shared" si="1"/>
        <v>3</v>
      </c>
      <c r="D45" s="50" t="s">
        <v>21</v>
      </c>
      <c r="E45" s="40"/>
      <c r="F45" s="51">
        <f t="shared" si="2"/>
        <v>3</v>
      </c>
      <c r="G45" s="52">
        <f>SUM('RUNNING STOCKS'!D45:AH45)</f>
        <v>0</v>
      </c>
      <c r="H45" s="53" t="str">
        <f t="shared" si="3"/>
        <v>AVAILABLE</v>
      </c>
      <c r="I45" s="2">
        <v>3.0</v>
      </c>
    </row>
    <row r="46">
      <c r="A46" s="23" t="s">
        <v>658</v>
      </c>
      <c r="B46" s="23" t="s">
        <v>659</v>
      </c>
      <c r="C46" s="49">
        <f t="shared" si="1"/>
        <v>5</v>
      </c>
      <c r="D46" s="50" t="s">
        <v>21</v>
      </c>
      <c r="E46" s="40"/>
      <c r="F46" s="51">
        <f t="shared" si="2"/>
        <v>5</v>
      </c>
      <c r="G46" s="52">
        <f>SUM('RUNNING STOCKS'!D46:AH46)</f>
        <v>0</v>
      </c>
      <c r="H46" s="53" t="str">
        <f t="shared" si="3"/>
        <v>AVAILABLE</v>
      </c>
      <c r="I46" s="2">
        <v>5.0</v>
      </c>
    </row>
    <row r="47">
      <c r="A47" s="23" t="s">
        <v>660</v>
      </c>
      <c r="B47" s="23" t="s">
        <v>661</v>
      </c>
      <c r="C47" s="49">
        <f t="shared" si="1"/>
        <v>2</v>
      </c>
      <c r="D47" s="50" t="s">
        <v>21</v>
      </c>
      <c r="E47" s="40"/>
      <c r="F47" s="51">
        <f t="shared" si="2"/>
        <v>3</v>
      </c>
      <c r="G47" s="52">
        <f>SUM('RUNNING STOCKS'!D47:AH47)</f>
        <v>1</v>
      </c>
      <c r="H47" s="53" t="str">
        <f t="shared" si="3"/>
        <v>AVAILABLE</v>
      </c>
      <c r="I47" s="2">
        <v>3.0</v>
      </c>
    </row>
    <row r="48">
      <c r="A48" s="23" t="s">
        <v>662</v>
      </c>
      <c r="B48" s="23" t="s">
        <v>663</v>
      </c>
      <c r="C48" s="49">
        <f t="shared" si="1"/>
        <v>0</v>
      </c>
      <c r="D48" s="50" t="s">
        <v>21</v>
      </c>
      <c r="E48" s="40"/>
      <c r="F48" s="51">
        <f t="shared" si="2"/>
        <v>0</v>
      </c>
      <c r="G48" s="52">
        <f>SUM('RUNNING STOCKS'!D48:AH48)</f>
        <v>0</v>
      </c>
      <c r="H48" s="53" t="str">
        <f t="shared" si="3"/>
        <v>OUT OF STOCKS</v>
      </c>
    </row>
    <row r="49">
      <c r="A49" s="23" t="s">
        <v>664</v>
      </c>
      <c r="B49" s="23" t="s">
        <v>665</v>
      </c>
      <c r="C49" s="49">
        <f t="shared" si="1"/>
        <v>0</v>
      </c>
      <c r="D49" s="50" t="s">
        <v>21</v>
      </c>
      <c r="E49" s="42"/>
      <c r="F49" s="51">
        <f t="shared" si="2"/>
        <v>0</v>
      </c>
      <c r="G49" s="52">
        <f>SUM('RUNNING STOCKS'!D49:AH49)</f>
        <v>0</v>
      </c>
      <c r="H49" s="53" t="str">
        <f t="shared" si="3"/>
        <v>OUT OF STOCKS</v>
      </c>
    </row>
    <row r="50">
      <c r="A50" s="23" t="s">
        <v>666</v>
      </c>
      <c r="B50" s="23" t="s">
        <v>667</v>
      </c>
      <c r="C50" s="49">
        <f t="shared" si="1"/>
        <v>0</v>
      </c>
      <c r="D50" s="50" t="s">
        <v>21</v>
      </c>
      <c r="E50" s="42"/>
      <c r="F50" s="51">
        <f t="shared" si="2"/>
        <v>0</v>
      </c>
      <c r="G50" s="52">
        <f>SUM('RUNNING STOCKS'!D50:AH50)</f>
        <v>0</v>
      </c>
      <c r="H50" s="53" t="str">
        <f t="shared" si="3"/>
        <v>OUT OF STOCKS</v>
      </c>
    </row>
    <row r="51">
      <c r="A51" s="23" t="s">
        <v>668</v>
      </c>
      <c r="B51" s="23" t="s">
        <v>669</v>
      </c>
      <c r="C51" s="49">
        <f t="shared" si="1"/>
        <v>0</v>
      </c>
      <c r="D51" s="50" t="s">
        <v>21</v>
      </c>
      <c r="E51" s="42"/>
      <c r="F51" s="51">
        <f t="shared" si="2"/>
        <v>0</v>
      </c>
      <c r="G51" s="52">
        <f>SUM('RUNNING STOCKS'!D51:AH51)</f>
        <v>0</v>
      </c>
      <c r="H51" s="53" t="str">
        <f t="shared" si="3"/>
        <v>OUT OF STOCKS</v>
      </c>
    </row>
    <row r="52">
      <c r="A52" s="23" t="s">
        <v>670</v>
      </c>
      <c r="B52" s="23" t="s">
        <v>671</v>
      </c>
      <c r="C52" s="49">
        <f t="shared" si="1"/>
        <v>0</v>
      </c>
      <c r="D52" s="50" t="s">
        <v>21</v>
      </c>
      <c r="E52" s="42"/>
      <c r="F52" s="51">
        <f t="shared" si="2"/>
        <v>0</v>
      </c>
      <c r="G52" s="52">
        <f>SUM('RUNNING STOCKS'!D52:AH52)</f>
        <v>0</v>
      </c>
      <c r="H52" s="53" t="str">
        <f t="shared" si="3"/>
        <v>OUT OF STOCKS</v>
      </c>
    </row>
    <row r="53">
      <c r="A53" s="23" t="s">
        <v>672</v>
      </c>
      <c r="B53" s="23" t="s">
        <v>673</v>
      </c>
      <c r="C53" s="49">
        <f t="shared" si="1"/>
        <v>0</v>
      </c>
      <c r="D53" s="50" t="s">
        <v>21</v>
      </c>
      <c r="E53" s="42"/>
      <c r="F53" s="51">
        <f t="shared" si="2"/>
        <v>0</v>
      </c>
      <c r="G53" s="52">
        <f>SUM('RUNNING STOCKS'!D53:AH53)</f>
        <v>0</v>
      </c>
      <c r="H53" s="53" t="str">
        <f t="shared" si="3"/>
        <v>OUT OF STOCKS</v>
      </c>
    </row>
    <row r="54">
      <c r="A54" s="23" t="s">
        <v>674</v>
      </c>
      <c r="B54" s="23" t="s">
        <v>675</v>
      </c>
      <c r="C54" s="49">
        <f t="shared" si="1"/>
        <v>0</v>
      </c>
      <c r="D54" s="50" t="s">
        <v>21</v>
      </c>
      <c r="E54" s="42"/>
      <c r="F54" s="51">
        <f t="shared" si="2"/>
        <v>0</v>
      </c>
      <c r="G54" s="52">
        <f>SUM('RUNNING STOCKS'!D54:AH54)</f>
        <v>0</v>
      </c>
      <c r="H54" s="53" t="str">
        <f t="shared" si="3"/>
        <v>OUT OF STOCKS</v>
      </c>
    </row>
    <row r="55">
      <c r="A55" s="23" t="s">
        <v>676</v>
      </c>
      <c r="B55" s="23" t="s">
        <v>677</v>
      </c>
      <c r="C55" s="49">
        <f t="shared" si="1"/>
        <v>0</v>
      </c>
      <c r="D55" s="50" t="s">
        <v>21</v>
      </c>
      <c r="E55" s="42"/>
      <c r="F55" s="51">
        <f t="shared" si="2"/>
        <v>0</v>
      </c>
      <c r="G55" s="52">
        <f>SUM('RUNNING STOCKS'!D55:AH55)</f>
        <v>0</v>
      </c>
      <c r="H55" s="53" t="str">
        <f t="shared" si="3"/>
        <v>OUT OF STOCKS</v>
      </c>
    </row>
    <row r="56">
      <c r="A56" s="23" t="s">
        <v>678</v>
      </c>
      <c r="B56" s="23" t="s">
        <v>679</v>
      </c>
      <c r="C56" s="49">
        <f t="shared" si="1"/>
        <v>165</v>
      </c>
      <c r="D56" s="50" t="s">
        <v>21</v>
      </c>
      <c r="E56" s="40">
        <v>27.0</v>
      </c>
      <c r="F56" s="51">
        <f t="shared" si="2"/>
        <v>366</v>
      </c>
      <c r="G56" s="52">
        <f>SUM('RUNNING STOCKS'!D56:AH56)</f>
        <v>201</v>
      </c>
      <c r="H56" s="53" t="str">
        <f t="shared" si="3"/>
        <v>AVAILABLE</v>
      </c>
      <c r="I56" s="2">
        <v>126.0</v>
      </c>
      <c r="K56" s="2">
        <v>240.0</v>
      </c>
    </row>
    <row r="57">
      <c r="A57" s="23" t="s">
        <v>680</v>
      </c>
      <c r="B57" s="23" t="s">
        <v>681</v>
      </c>
      <c r="C57" s="49">
        <f t="shared" si="1"/>
        <v>0</v>
      </c>
      <c r="D57" s="50" t="s">
        <v>21</v>
      </c>
      <c r="E57" s="42"/>
      <c r="F57" s="51">
        <f t="shared" si="2"/>
        <v>1</v>
      </c>
      <c r="G57" s="52">
        <f>SUM('RUNNING STOCKS'!D57:AH57)</f>
        <v>1</v>
      </c>
      <c r="H57" s="53" t="str">
        <f t="shared" si="3"/>
        <v>OUT OF STOCKS</v>
      </c>
      <c r="I57" s="2">
        <v>1.0</v>
      </c>
    </row>
    <row r="58">
      <c r="A58" s="23" t="s">
        <v>682</v>
      </c>
      <c r="B58" s="23" t="s">
        <v>683</v>
      </c>
      <c r="C58" s="49">
        <f t="shared" si="1"/>
        <v>0</v>
      </c>
      <c r="D58" s="50" t="s">
        <v>21</v>
      </c>
      <c r="E58" s="42"/>
      <c r="F58" s="51">
        <f t="shared" si="2"/>
        <v>2</v>
      </c>
      <c r="G58" s="52">
        <f>SUM('RUNNING STOCKS'!D58:AH58)</f>
        <v>2</v>
      </c>
      <c r="H58" s="53" t="str">
        <f t="shared" si="3"/>
        <v>OUT OF STOCKS</v>
      </c>
      <c r="I58" s="2">
        <v>2.0</v>
      </c>
    </row>
    <row r="59">
      <c r="A59" s="23" t="s">
        <v>684</v>
      </c>
      <c r="B59" s="23" t="s">
        <v>685</v>
      </c>
      <c r="C59" s="49">
        <f t="shared" si="1"/>
        <v>3</v>
      </c>
      <c r="D59" s="50" t="s">
        <v>21</v>
      </c>
      <c r="E59" s="42"/>
      <c r="F59" s="51">
        <f t="shared" si="2"/>
        <v>3</v>
      </c>
      <c r="G59" s="52">
        <f>SUM('RUNNING STOCKS'!D59:AH59)</f>
        <v>0</v>
      </c>
      <c r="H59" s="53" t="str">
        <f t="shared" si="3"/>
        <v>AVAILABLE</v>
      </c>
      <c r="I59" s="2">
        <v>3.0</v>
      </c>
    </row>
    <row r="60">
      <c r="A60" s="23" t="s">
        <v>686</v>
      </c>
      <c r="B60" s="23" t="s">
        <v>687</v>
      </c>
      <c r="C60" s="49">
        <f t="shared" si="1"/>
        <v>6</v>
      </c>
      <c r="D60" s="50" t="s">
        <v>21</v>
      </c>
      <c r="E60" s="40">
        <v>165.0</v>
      </c>
      <c r="F60" s="51">
        <f t="shared" si="2"/>
        <v>10</v>
      </c>
      <c r="G60" s="52">
        <f>SUM('RUNNING STOCKS'!D60:AH60)</f>
        <v>4</v>
      </c>
      <c r="H60" s="53" t="str">
        <f t="shared" si="3"/>
        <v>AVAILABLE</v>
      </c>
      <c r="I60" s="2">
        <v>5.0</v>
      </c>
      <c r="J60" s="2">
        <v>5.0</v>
      </c>
    </row>
    <row r="61">
      <c r="A61" s="23" t="s">
        <v>688</v>
      </c>
      <c r="B61" s="23" t="s">
        <v>689</v>
      </c>
      <c r="C61" s="49">
        <f t="shared" si="1"/>
        <v>39</v>
      </c>
      <c r="D61" s="50" t="s">
        <v>21</v>
      </c>
      <c r="E61" s="40">
        <v>12.0</v>
      </c>
      <c r="F61" s="51">
        <f t="shared" si="2"/>
        <v>95</v>
      </c>
      <c r="G61" s="52">
        <f>SUM('RUNNING STOCKS'!D61:AH61)</f>
        <v>56</v>
      </c>
      <c r="H61" s="53" t="str">
        <f t="shared" si="3"/>
        <v>AVAILABLE</v>
      </c>
      <c r="I61" s="2">
        <v>23.0</v>
      </c>
      <c r="K61" s="2">
        <v>72.0</v>
      </c>
    </row>
    <row r="62">
      <c r="A62" s="23" t="s">
        <v>690</v>
      </c>
      <c r="B62" s="23" t="s">
        <v>691</v>
      </c>
      <c r="C62" s="49">
        <f t="shared" si="1"/>
        <v>9</v>
      </c>
      <c r="D62" s="50" t="s">
        <v>21</v>
      </c>
      <c r="E62" s="40">
        <v>38.0</v>
      </c>
      <c r="F62" s="51">
        <f t="shared" si="2"/>
        <v>54</v>
      </c>
      <c r="G62" s="52">
        <f>SUM('RUNNING STOCKS'!D62:AH62)</f>
        <v>45</v>
      </c>
      <c r="H62" s="53" t="str">
        <f t="shared" si="3"/>
        <v>AVAILABLE</v>
      </c>
      <c r="I62" s="2">
        <v>36.0</v>
      </c>
      <c r="K62" s="2">
        <v>18.0</v>
      </c>
    </row>
    <row r="63">
      <c r="A63" s="23" t="s">
        <v>692</v>
      </c>
      <c r="B63" s="23" t="s">
        <v>693</v>
      </c>
      <c r="C63" s="49">
        <f t="shared" si="1"/>
        <v>8</v>
      </c>
      <c r="D63" s="50" t="s">
        <v>21</v>
      </c>
      <c r="E63" s="42"/>
      <c r="F63" s="51">
        <f t="shared" si="2"/>
        <v>18</v>
      </c>
      <c r="G63" s="52">
        <f>SUM('RUNNING STOCKS'!D63:AH63)</f>
        <v>10</v>
      </c>
      <c r="H63" s="53" t="str">
        <f t="shared" si="3"/>
        <v>AVAILABLE</v>
      </c>
      <c r="I63" s="2">
        <v>4.0</v>
      </c>
      <c r="K63" s="2">
        <v>14.0</v>
      </c>
    </row>
    <row r="64">
      <c r="A64" s="23" t="s">
        <v>694</v>
      </c>
      <c r="B64" s="23" t="s">
        <v>695</v>
      </c>
      <c r="C64" s="49">
        <f t="shared" si="1"/>
        <v>4</v>
      </c>
      <c r="D64" s="50" t="s">
        <v>696</v>
      </c>
      <c r="E64" s="40">
        <v>47.0</v>
      </c>
      <c r="F64" s="51">
        <f t="shared" si="2"/>
        <v>23</v>
      </c>
      <c r="G64" s="52">
        <f>SUM('RUNNING STOCKS'!D64:AH64)</f>
        <v>19</v>
      </c>
      <c r="H64" s="53" t="str">
        <f t="shared" si="3"/>
        <v>AVAILABLE</v>
      </c>
      <c r="I64" s="2">
        <v>3.0</v>
      </c>
      <c r="J64" s="2">
        <v>20.0</v>
      </c>
    </row>
    <row r="65">
      <c r="A65" s="23" t="s">
        <v>697</v>
      </c>
      <c r="B65" s="23" t="s">
        <v>698</v>
      </c>
      <c r="C65" s="49">
        <f t="shared" si="1"/>
        <v>0</v>
      </c>
      <c r="D65" s="50" t="s">
        <v>696</v>
      </c>
      <c r="E65" s="42"/>
      <c r="F65" s="51">
        <f t="shared" si="2"/>
        <v>0</v>
      </c>
      <c r="G65" s="52">
        <f>SUM('RUNNING STOCKS'!D65:AH65)</f>
        <v>0</v>
      </c>
      <c r="H65" s="53" t="str">
        <f t="shared" si="3"/>
        <v>OUT OF STOCKS</v>
      </c>
    </row>
    <row r="66">
      <c r="A66" s="23" t="s">
        <v>699</v>
      </c>
      <c r="B66" s="23" t="s">
        <v>700</v>
      </c>
      <c r="C66" s="49">
        <f t="shared" si="1"/>
        <v>0</v>
      </c>
      <c r="D66" s="50" t="s">
        <v>696</v>
      </c>
      <c r="E66" s="42"/>
      <c r="F66" s="51">
        <f t="shared" si="2"/>
        <v>0</v>
      </c>
      <c r="G66" s="52">
        <f>SUM('RUNNING STOCKS'!D66:AH66)</f>
        <v>0</v>
      </c>
      <c r="H66" s="53" t="str">
        <f t="shared" si="3"/>
        <v>OUT OF STOCKS</v>
      </c>
    </row>
    <row r="67">
      <c r="A67" s="23" t="s">
        <v>701</v>
      </c>
      <c r="B67" s="23" t="s">
        <v>702</v>
      </c>
      <c r="C67" s="49">
        <f t="shared" si="1"/>
        <v>16</v>
      </c>
      <c r="D67" s="50" t="s">
        <v>703</v>
      </c>
      <c r="E67" s="42"/>
      <c r="F67" s="51">
        <f t="shared" si="2"/>
        <v>27</v>
      </c>
      <c r="G67" s="52">
        <f>SUM('RUNNING STOCKS'!D67:AH67)</f>
        <v>11</v>
      </c>
      <c r="H67" s="53" t="str">
        <f t="shared" si="3"/>
        <v>AVAILABLE</v>
      </c>
      <c r="I67" s="2">
        <v>7.0</v>
      </c>
      <c r="J67" s="2">
        <v>20.0</v>
      </c>
    </row>
    <row r="68">
      <c r="A68" s="23" t="s">
        <v>704</v>
      </c>
      <c r="B68" s="23" t="s">
        <v>705</v>
      </c>
      <c r="C68" s="49">
        <f t="shared" si="1"/>
        <v>10</v>
      </c>
      <c r="D68" s="50" t="s">
        <v>703</v>
      </c>
      <c r="E68" s="42"/>
      <c r="F68" s="51">
        <f t="shared" si="2"/>
        <v>15</v>
      </c>
      <c r="G68" s="52">
        <f>SUM('RUNNING STOCKS'!D68:AH68)</f>
        <v>5</v>
      </c>
      <c r="H68" s="53" t="str">
        <f t="shared" si="3"/>
        <v>AVAILABLE</v>
      </c>
      <c r="I68" s="2">
        <v>15.0</v>
      </c>
    </row>
    <row r="69">
      <c r="A69" s="23" t="s">
        <v>706</v>
      </c>
      <c r="B69" s="29" t="s">
        <v>707</v>
      </c>
      <c r="C69" s="49">
        <f t="shared" si="1"/>
        <v>0</v>
      </c>
      <c r="D69" s="50" t="s">
        <v>703</v>
      </c>
      <c r="E69" s="42"/>
      <c r="F69" s="51">
        <f t="shared" si="2"/>
        <v>0</v>
      </c>
      <c r="G69" s="52">
        <f>SUM('RUNNING STOCKS'!D69:AH69)</f>
        <v>0</v>
      </c>
      <c r="H69" s="53" t="str">
        <f t="shared" si="3"/>
        <v>OUT OF STOCKS</v>
      </c>
    </row>
    <row r="70">
      <c r="A70" s="23" t="s">
        <v>708</v>
      </c>
      <c r="B70" s="29" t="s">
        <v>784</v>
      </c>
      <c r="C70" s="49">
        <f t="shared" si="1"/>
        <v>8</v>
      </c>
      <c r="D70" s="50" t="s">
        <v>703</v>
      </c>
      <c r="E70" s="42"/>
      <c r="F70" s="51">
        <f t="shared" si="2"/>
        <v>9</v>
      </c>
      <c r="G70" s="52">
        <f>SUM('RUNNING STOCKS'!D70:AH70)</f>
        <v>1</v>
      </c>
      <c r="H70" s="53" t="str">
        <f t="shared" si="3"/>
        <v>AVAILABLE</v>
      </c>
      <c r="I70" s="2">
        <v>6.0</v>
      </c>
      <c r="J70" s="2">
        <v>3.0</v>
      </c>
    </row>
    <row r="71">
      <c r="A71" s="23" t="s">
        <v>710</v>
      </c>
      <c r="B71" s="29" t="s">
        <v>785</v>
      </c>
      <c r="C71" s="49">
        <f t="shared" si="1"/>
        <v>7</v>
      </c>
      <c r="D71" s="50" t="s">
        <v>703</v>
      </c>
      <c r="E71" s="42"/>
      <c r="F71" s="51">
        <f t="shared" si="2"/>
        <v>8</v>
      </c>
      <c r="G71" s="52">
        <f>SUM('RUNNING STOCKS'!D71:AH71)</f>
        <v>1</v>
      </c>
      <c r="H71" s="53" t="str">
        <f t="shared" si="3"/>
        <v>AVAILABLE</v>
      </c>
      <c r="I71" s="2">
        <v>5.0</v>
      </c>
      <c r="J71" s="2">
        <v>3.0</v>
      </c>
    </row>
    <row r="72">
      <c r="A72" s="23" t="s">
        <v>712</v>
      </c>
      <c r="B72" s="29" t="s">
        <v>713</v>
      </c>
      <c r="C72" s="49">
        <f t="shared" si="1"/>
        <v>9</v>
      </c>
      <c r="D72" s="50" t="s">
        <v>703</v>
      </c>
      <c r="E72" s="40">
        <v>28.0</v>
      </c>
      <c r="F72" s="51">
        <f t="shared" si="2"/>
        <v>10</v>
      </c>
      <c r="G72" s="52">
        <f>SUM('RUNNING STOCKS'!D72:AH72)</f>
        <v>1</v>
      </c>
      <c r="H72" s="53" t="str">
        <f t="shared" si="3"/>
        <v>AVAILABLE</v>
      </c>
      <c r="I72" s="2">
        <v>7.0</v>
      </c>
      <c r="J72" s="2">
        <v>3.0</v>
      </c>
    </row>
    <row r="73">
      <c r="A73" s="23" t="s">
        <v>714</v>
      </c>
      <c r="B73" s="29" t="s">
        <v>715</v>
      </c>
      <c r="C73" s="49">
        <f t="shared" si="1"/>
        <v>10</v>
      </c>
      <c r="D73" s="50" t="s">
        <v>703</v>
      </c>
      <c r="E73" s="42"/>
      <c r="F73" s="51">
        <f t="shared" si="2"/>
        <v>12</v>
      </c>
      <c r="G73" s="52">
        <f>SUM('RUNNING STOCKS'!D73:AH73)</f>
        <v>2</v>
      </c>
      <c r="H73" s="53" t="str">
        <f t="shared" si="3"/>
        <v>AVAILABLE</v>
      </c>
      <c r="I73" s="2">
        <v>7.0</v>
      </c>
      <c r="J73" s="2">
        <v>5.0</v>
      </c>
    </row>
    <row r="74">
      <c r="A74" s="23" t="s">
        <v>716</v>
      </c>
      <c r="B74" s="29" t="s">
        <v>717</v>
      </c>
      <c r="C74" s="49">
        <f t="shared" si="1"/>
        <v>5</v>
      </c>
      <c r="D74" s="50" t="s">
        <v>703</v>
      </c>
      <c r="E74" s="40">
        <v>45.0</v>
      </c>
      <c r="F74" s="51">
        <f t="shared" si="2"/>
        <v>11</v>
      </c>
      <c r="G74" s="52">
        <f>SUM('RUNNING STOCKS'!D74:AH74)</f>
        <v>6</v>
      </c>
      <c r="H74" s="53" t="str">
        <f t="shared" si="3"/>
        <v>AVAILABLE</v>
      </c>
      <c r="I74" s="2">
        <v>6.0</v>
      </c>
      <c r="J74" s="2">
        <v>5.0</v>
      </c>
    </row>
    <row r="75">
      <c r="A75" s="23" t="s">
        <v>718</v>
      </c>
      <c r="B75" s="29" t="s">
        <v>719</v>
      </c>
      <c r="C75" s="49">
        <f t="shared" si="1"/>
        <v>0</v>
      </c>
      <c r="D75" s="50" t="s">
        <v>703</v>
      </c>
      <c r="E75" s="42"/>
      <c r="F75" s="51">
        <f t="shared" si="2"/>
        <v>0</v>
      </c>
      <c r="G75" s="52">
        <f>SUM('RUNNING STOCKS'!D75:AH75)</f>
        <v>0</v>
      </c>
      <c r="H75" s="53" t="str">
        <f t="shared" si="3"/>
        <v>OUT OF STOCKS</v>
      </c>
      <c r="I75" s="2">
        <v>0.0</v>
      </c>
    </row>
    <row r="76">
      <c r="A76" s="23" t="s">
        <v>720</v>
      </c>
      <c r="B76" s="23" t="s">
        <v>721</v>
      </c>
      <c r="C76" s="49">
        <f t="shared" si="1"/>
        <v>0</v>
      </c>
      <c r="D76" s="50" t="s">
        <v>722</v>
      </c>
      <c r="E76" s="42"/>
      <c r="F76" s="51">
        <f t="shared" si="2"/>
        <v>4</v>
      </c>
      <c r="G76" s="52">
        <f>SUM('RUNNING STOCKS'!D76:AH76)</f>
        <v>4</v>
      </c>
      <c r="H76" s="53" t="str">
        <f t="shared" si="3"/>
        <v>OUT OF STOCKS</v>
      </c>
      <c r="I76" s="2">
        <v>4.0</v>
      </c>
    </row>
    <row r="77">
      <c r="A77" s="23" t="s">
        <v>367</v>
      </c>
      <c r="B77" s="23" t="s">
        <v>723</v>
      </c>
      <c r="C77" s="49">
        <f t="shared" si="1"/>
        <v>10</v>
      </c>
      <c r="D77" s="50" t="s">
        <v>722</v>
      </c>
      <c r="E77" s="40">
        <v>45.0</v>
      </c>
      <c r="F77" s="51">
        <f t="shared" si="2"/>
        <v>13</v>
      </c>
      <c r="G77" s="52">
        <f>SUM('RUNNING STOCKS'!D77:AH77)</f>
        <v>3</v>
      </c>
      <c r="H77" s="53" t="str">
        <f t="shared" si="3"/>
        <v>AVAILABLE</v>
      </c>
      <c r="I77" s="2">
        <v>3.0</v>
      </c>
      <c r="K77" s="2">
        <v>10.0</v>
      </c>
    </row>
    <row r="78">
      <c r="A78" s="23" t="s">
        <v>724</v>
      </c>
      <c r="B78" s="23" t="s">
        <v>725</v>
      </c>
      <c r="C78" s="49">
        <f t="shared" si="1"/>
        <v>5</v>
      </c>
      <c r="D78" s="50" t="s">
        <v>722</v>
      </c>
      <c r="E78" s="40">
        <v>34.0</v>
      </c>
      <c r="F78" s="51">
        <f t="shared" si="2"/>
        <v>12</v>
      </c>
      <c r="G78" s="52">
        <f>SUM('RUNNING STOCKS'!D78:AH78)</f>
        <v>7</v>
      </c>
      <c r="H78" s="53" t="str">
        <f t="shared" si="3"/>
        <v>AVAILABLE</v>
      </c>
      <c r="I78" s="2">
        <v>12.0</v>
      </c>
    </row>
    <row r="79">
      <c r="A79" s="23" t="s">
        <v>726</v>
      </c>
      <c r="B79" s="23" t="s">
        <v>727</v>
      </c>
      <c r="C79" s="49">
        <f t="shared" si="1"/>
        <v>5</v>
      </c>
      <c r="D79" s="50" t="s">
        <v>722</v>
      </c>
      <c r="E79" s="40">
        <v>19.0</v>
      </c>
      <c r="F79" s="51">
        <f t="shared" si="2"/>
        <v>14</v>
      </c>
      <c r="G79" s="52">
        <f>SUM('RUNNING STOCKS'!D79:AH79)</f>
        <v>9</v>
      </c>
      <c r="H79" s="53" t="str">
        <f t="shared" si="3"/>
        <v>AVAILABLE</v>
      </c>
      <c r="I79" s="2">
        <v>14.0</v>
      </c>
    </row>
    <row r="80">
      <c r="A80" s="23" t="s">
        <v>728</v>
      </c>
      <c r="B80" s="23" t="s">
        <v>729</v>
      </c>
      <c r="C80" s="49">
        <f t="shared" si="1"/>
        <v>2</v>
      </c>
      <c r="D80" s="50" t="s">
        <v>722</v>
      </c>
      <c r="E80" s="40">
        <v>33.25</v>
      </c>
      <c r="F80" s="51">
        <f t="shared" si="2"/>
        <v>8</v>
      </c>
      <c r="G80" s="52">
        <f>SUM('RUNNING STOCKS'!D80:AH80)</f>
        <v>6</v>
      </c>
      <c r="H80" s="53" t="str">
        <f t="shared" si="3"/>
        <v>AVAILABLE</v>
      </c>
      <c r="I80" s="2">
        <v>3.0</v>
      </c>
      <c r="K80" s="2">
        <v>5.0</v>
      </c>
    </row>
    <row r="81">
      <c r="A81" s="23" t="s">
        <v>730</v>
      </c>
      <c r="B81" s="23" t="s">
        <v>731</v>
      </c>
      <c r="C81" s="49">
        <f t="shared" si="1"/>
        <v>4</v>
      </c>
      <c r="D81" s="50" t="s">
        <v>722</v>
      </c>
      <c r="E81" s="40">
        <v>51.0</v>
      </c>
      <c r="F81" s="51">
        <f t="shared" si="2"/>
        <v>9</v>
      </c>
      <c r="G81" s="52">
        <f>SUM('RUNNING STOCKS'!D81:AH81)</f>
        <v>5</v>
      </c>
      <c r="H81" s="53" t="str">
        <f t="shared" si="3"/>
        <v>AVAILABLE</v>
      </c>
      <c r="I81" s="2">
        <v>4.0</v>
      </c>
      <c r="K81" s="2">
        <v>5.0</v>
      </c>
    </row>
    <row r="82">
      <c r="A82" s="23" t="s">
        <v>732</v>
      </c>
      <c r="B82" s="23" t="s">
        <v>733</v>
      </c>
      <c r="C82" s="49">
        <f t="shared" si="1"/>
        <v>3</v>
      </c>
      <c r="D82" s="50" t="s">
        <v>722</v>
      </c>
      <c r="E82" s="40">
        <v>67.0</v>
      </c>
      <c r="F82" s="51">
        <f t="shared" si="2"/>
        <v>9</v>
      </c>
      <c r="G82" s="52">
        <f>SUM('RUNNING STOCKS'!D82:AH82)</f>
        <v>6</v>
      </c>
      <c r="H82" s="53" t="str">
        <f t="shared" si="3"/>
        <v>AVAILABLE</v>
      </c>
      <c r="I82" s="2">
        <v>4.0</v>
      </c>
      <c r="K82" s="2">
        <v>5.0</v>
      </c>
    </row>
    <row r="83">
      <c r="A83" s="23" t="s">
        <v>734</v>
      </c>
      <c r="B83" s="23" t="s">
        <v>735</v>
      </c>
      <c r="C83" s="49">
        <f t="shared" si="1"/>
        <v>370</v>
      </c>
      <c r="D83" s="50" t="s">
        <v>21</v>
      </c>
      <c r="E83" s="42"/>
      <c r="F83" s="51">
        <f t="shared" si="2"/>
        <v>600</v>
      </c>
      <c r="G83" s="52">
        <f>SUM('RUNNING STOCKS'!D83:AH83)</f>
        <v>230</v>
      </c>
      <c r="H83" s="53" t="str">
        <f t="shared" si="3"/>
        <v>AVAILABLE</v>
      </c>
      <c r="I83" s="2">
        <v>600.0</v>
      </c>
    </row>
    <row r="84">
      <c r="A84" s="23" t="s">
        <v>736</v>
      </c>
      <c r="B84" s="23" t="s">
        <v>737</v>
      </c>
      <c r="C84" s="49">
        <f t="shared" si="1"/>
        <v>7</v>
      </c>
      <c r="D84" s="50" t="s">
        <v>48</v>
      </c>
      <c r="E84" s="42"/>
      <c r="F84" s="51">
        <f t="shared" si="2"/>
        <v>8</v>
      </c>
      <c r="G84" s="52">
        <f>SUM('RUNNING STOCKS'!D84:AH84)</f>
        <v>1</v>
      </c>
      <c r="H84" s="53" t="str">
        <f t="shared" si="3"/>
        <v>AVAILABLE</v>
      </c>
      <c r="I84" s="2">
        <v>8.0</v>
      </c>
    </row>
    <row r="85">
      <c r="A85" s="23" t="s">
        <v>738</v>
      </c>
      <c r="B85" s="23" t="s">
        <v>739</v>
      </c>
      <c r="C85" s="49">
        <f t="shared" si="1"/>
        <v>9</v>
      </c>
      <c r="D85" s="50" t="s">
        <v>48</v>
      </c>
      <c r="E85" s="42"/>
      <c r="F85" s="51">
        <f t="shared" si="2"/>
        <v>11</v>
      </c>
      <c r="G85" s="52">
        <f>SUM('RUNNING STOCKS'!D85:AH85)</f>
        <v>2</v>
      </c>
      <c r="H85" s="53" t="str">
        <f t="shared" si="3"/>
        <v>AVAILABLE</v>
      </c>
      <c r="I85" s="2">
        <v>11.0</v>
      </c>
    </row>
    <row r="86">
      <c r="A86" s="23" t="s">
        <v>337</v>
      </c>
      <c r="B86" s="23" t="s">
        <v>338</v>
      </c>
      <c r="C86" s="49">
        <f t="shared" si="1"/>
        <v>0</v>
      </c>
      <c r="D86" s="50" t="s">
        <v>48</v>
      </c>
      <c r="E86" s="42"/>
      <c r="F86" s="51">
        <f t="shared" si="2"/>
        <v>0</v>
      </c>
      <c r="G86" s="52">
        <f>SUM('RUNNING STOCKS'!D86:AH86)</f>
        <v>0</v>
      </c>
      <c r="H86" s="53" t="str">
        <f t="shared" si="3"/>
        <v>OUT OF STOCKS</v>
      </c>
    </row>
    <row r="87">
      <c r="A87" s="23" t="s">
        <v>740</v>
      </c>
      <c r="B87" s="23" t="s">
        <v>741</v>
      </c>
      <c r="C87" s="49">
        <f t="shared" si="1"/>
        <v>3</v>
      </c>
      <c r="D87" s="50" t="s">
        <v>21</v>
      </c>
      <c r="E87" s="42"/>
      <c r="F87" s="51">
        <f t="shared" si="2"/>
        <v>10</v>
      </c>
      <c r="G87" s="52">
        <f>SUM('RUNNING STOCKS'!D87:AH87)</f>
        <v>7</v>
      </c>
      <c r="H87" s="53" t="str">
        <f t="shared" si="3"/>
        <v>AVAILABLE</v>
      </c>
      <c r="I87" s="2">
        <v>5.0</v>
      </c>
      <c r="K87" s="2">
        <v>5.0</v>
      </c>
    </row>
    <row r="88">
      <c r="A88" s="23" t="s">
        <v>742</v>
      </c>
      <c r="B88" s="23" t="s">
        <v>743</v>
      </c>
      <c r="C88" s="49">
        <f t="shared" si="1"/>
        <v>22</v>
      </c>
      <c r="D88" s="50" t="s">
        <v>48</v>
      </c>
      <c r="E88" s="40">
        <v>16.15</v>
      </c>
      <c r="F88" s="51">
        <f t="shared" si="2"/>
        <v>34</v>
      </c>
      <c r="G88" s="52">
        <f>SUM('RUNNING STOCKS'!D88:AH88)</f>
        <v>12</v>
      </c>
      <c r="H88" s="53" t="str">
        <f t="shared" si="3"/>
        <v>AVAILABLE</v>
      </c>
      <c r="I88" s="2">
        <v>9.0</v>
      </c>
      <c r="K88" s="2">
        <v>25.0</v>
      </c>
    </row>
    <row r="89">
      <c r="A89" s="23" t="s">
        <v>744</v>
      </c>
      <c r="B89" s="23" t="s">
        <v>745</v>
      </c>
      <c r="C89" s="49">
        <f t="shared" si="1"/>
        <v>22</v>
      </c>
      <c r="D89" s="50" t="s">
        <v>48</v>
      </c>
      <c r="E89" s="40">
        <v>26.55</v>
      </c>
      <c r="F89" s="51">
        <f t="shared" si="2"/>
        <v>31</v>
      </c>
      <c r="G89" s="52">
        <f>SUM('RUNNING STOCKS'!D89:AH89)</f>
        <v>9</v>
      </c>
      <c r="H89" s="53" t="str">
        <f t="shared" si="3"/>
        <v>AVAILABLE</v>
      </c>
      <c r="I89" s="2">
        <v>6.0</v>
      </c>
      <c r="K89" s="2">
        <v>25.0</v>
      </c>
    </row>
    <row r="90">
      <c r="A90" s="23" t="s">
        <v>746</v>
      </c>
      <c r="B90" s="23" t="s">
        <v>747</v>
      </c>
      <c r="C90" s="49">
        <f t="shared" si="1"/>
        <v>1</v>
      </c>
      <c r="D90" s="50" t="s">
        <v>48</v>
      </c>
      <c r="E90" s="40">
        <v>68.0</v>
      </c>
      <c r="F90" s="51">
        <f t="shared" si="2"/>
        <v>5</v>
      </c>
      <c r="G90" s="52">
        <f>SUM('RUNNING STOCKS'!D90:AH90)</f>
        <v>4</v>
      </c>
      <c r="H90" s="53" t="str">
        <f t="shared" si="3"/>
        <v>AVAILABLE</v>
      </c>
      <c r="I90" s="2">
        <v>0.0</v>
      </c>
      <c r="K90" s="2">
        <v>5.0</v>
      </c>
    </row>
    <row r="91">
      <c r="A91" s="23" t="s">
        <v>748</v>
      </c>
      <c r="B91" s="23" t="s">
        <v>749</v>
      </c>
      <c r="C91" s="49">
        <f t="shared" si="1"/>
        <v>0</v>
      </c>
      <c r="D91" s="50" t="s">
        <v>48</v>
      </c>
      <c r="E91" s="42"/>
      <c r="F91" s="51">
        <f t="shared" si="2"/>
        <v>2</v>
      </c>
      <c r="G91" s="52">
        <f>SUM('RUNNING STOCKS'!D91:AH91)</f>
        <v>2</v>
      </c>
      <c r="H91" s="53" t="str">
        <f t="shared" si="3"/>
        <v>OUT OF STOCKS</v>
      </c>
      <c r="I91" s="2">
        <v>2.0</v>
      </c>
    </row>
    <row r="92">
      <c r="A92" s="23" t="s">
        <v>750</v>
      </c>
      <c r="B92" s="23" t="s">
        <v>751</v>
      </c>
      <c r="C92" s="49">
        <f t="shared" si="1"/>
        <v>-1</v>
      </c>
      <c r="D92" s="50" t="s">
        <v>752</v>
      </c>
      <c r="E92" s="42"/>
      <c r="F92" s="51">
        <f t="shared" si="2"/>
        <v>17</v>
      </c>
      <c r="G92" s="52">
        <f>SUM('RUNNING STOCKS'!D92:AH92)</f>
        <v>18</v>
      </c>
      <c r="H92" s="53" t="str">
        <f t="shared" si="3"/>
        <v>AVAILABLE</v>
      </c>
      <c r="I92" s="2">
        <v>8.0</v>
      </c>
      <c r="K92" s="2">
        <v>9.0</v>
      </c>
    </row>
    <row r="93">
      <c r="A93" s="23" t="s">
        <v>753</v>
      </c>
      <c r="B93" s="23" t="s">
        <v>754</v>
      </c>
      <c r="C93" s="49">
        <f t="shared" si="1"/>
        <v>4</v>
      </c>
      <c r="D93" s="50" t="s">
        <v>755</v>
      </c>
      <c r="E93" s="40">
        <v>62.0</v>
      </c>
      <c r="F93" s="51">
        <f t="shared" si="2"/>
        <v>12</v>
      </c>
      <c r="G93" s="52">
        <f>SUM('RUNNING STOCKS'!D93:AH93)</f>
        <v>8</v>
      </c>
      <c r="H93" s="53" t="str">
        <f t="shared" si="3"/>
        <v>AVAILABLE</v>
      </c>
      <c r="I93" s="2">
        <v>2.0</v>
      </c>
      <c r="K93" s="2">
        <v>10.0</v>
      </c>
    </row>
    <row r="94">
      <c r="A94" s="23" t="s">
        <v>756</v>
      </c>
      <c r="B94" s="23" t="s">
        <v>757</v>
      </c>
      <c r="C94" s="49">
        <f t="shared" si="1"/>
        <v>1</v>
      </c>
      <c r="D94" s="50" t="s">
        <v>755</v>
      </c>
      <c r="E94" s="40">
        <v>48.0</v>
      </c>
      <c r="F94" s="51">
        <f t="shared" si="2"/>
        <v>10</v>
      </c>
      <c r="G94" s="52">
        <f>SUM('RUNNING STOCKS'!D94:AH94)</f>
        <v>9</v>
      </c>
      <c r="H94" s="53" t="str">
        <f t="shared" si="3"/>
        <v>AVAILABLE</v>
      </c>
      <c r="K94" s="2">
        <v>10.0</v>
      </c>
    </row>
    <row r="95">
      <c r="A95" s="23" t="s">
        <v>758</v>
      </c>
      <c r="B95" s="23" t="s">
        <v>759</v>
      </c>
      <c r="C95" s="49">
        <f t="shared" si="1"/>
        <v>2</v>
      </c>
      <c r="D95" s="50" t="s">
        <v>755</v>
      </c>
      <c r="E95" s="40">
        <v>34.0</v>
      </c>
      <c r="F95" s="51">
        <f t="shared" si="2"/>
        <v>7</v>
      </c>
      <c r="G95" s="52">
        <f>SUM('RUNNING STOCKS'!D95:AH95)</f>
        <v>5</v>
      </c>
      <c r="H95" s="53" t="str">
        <f t="shared" si="3"/>
        <v>AVAILABLE</v>
      </c>
      <c r="K95" s="2">
        <v>7.0</v>
      </c>
    </row>
    <row r="96">
      <c r="A96" s="23" t="s">
        <v>760</v>
      </c>
      <c r="B96" s="23" t="s">
        <v>761</v>
      </c>
      <c r="C96" s="49">
        <f t="shared" si="1"/>
        <v>0</v>
      </c>
      <c r="D96" s="50" t="s">
        <v>755</v>
      </c>
      <c r="E96" s="42"/>
      <c r="F96" s="51">
        <f t="shared" si="2"/>
        <v>10</v>
      </c>
      <c r="G96" s="52">
        <f>SUM('RUNNING STOCKS'!D96:AH96)</f>
        <v>10</v>
      </c>
      <c r="H96" s="53" t="str">
        <f t="shared" si="3"/>
        <v>OUT OF STOCKS</v>
      </c>
      <c r="I96" s="2">
        <v>6.0</v>
      </c>
      <c r="K96" s="2">
        <v>4.0</v>
      </c>
    </row>
    <row r="97">
      <c r="A97" s="23" t="s">
        <v>762</v>
      </c>
      <c r="B97" s="23" t="s">
        <v>763</v>
      </c>
      <c r="C97" s="49">
        <f t="shared" si="1"/>
        <v>1</v>
      </c>
      <c r="D97" s="50" t="s">
        <v>755</v>
      </c>
      <c r="E97" s="40">
        <v>28.0</v>
      </c>
      <c r="F97" s="51">
        <f t="shared" si="2"/>
        <v>8</v>
      </c>
      <c r="G97" s="52">
        <f>SUM('RUNNING STOCKS'!D97:AH97)</f>
        <v>7</v>
      </c>
      <c r="H97" s="53" t="str">
        <f t="shared" si="3"/>
        <v>AVAILABLE</v>
      </c>
      <c r="K97" s="2">
        <v>8.0</v>
      </c>
    </row>
    <row r="98">
      <c r="A98" s="23" t="s">
        <v>764</v>
      </c>
      <c r="B98" s="23" t="s">
        <v>765</v>
      </c>
      <c r="C98" s="49">
        <f t="shared" si="1"/>
        <v>59</v>
      </c>
      <c r="D98" s="50" t="s">
        <v>755</v>
      </c>
      <c r="E98" s="40">
        <v>216.0</v>
      </c>
      <c r="F98" s="51">
        <f t="shared" si="2"/>
        <v>76</v>
      </c>
      <c r="G98" s="52">
        <f>SUM('RUNNING STOCKS'!D98:AH98)</f>
        <v>17</v>
      </c>
      <c r="H98" s="53" t="str">
        <f t="shared" si="3"/>
        <v>AVAILABLE</v>
      </c>
      <c r="I98" s="2">
        <v>28.0</v>
      </c>
      <c r="K98" s="2">
        <v>48.0</v>
      </c>
    </row>
    <row r="99">
      <c r="A99" s="23" t="s">
        <v>766</v>
      </c>
      <c r="B99" s="23" t="s">
        <v>767</v>
      </c>
      <c r="C99" s="49">
        <f t="shared" si="1"/>
        <v>9</v>
      </c>
      <c r="D99" s="50" t="s">
        <v>768</v>
      </c>
      <c r="E99" s="42"/>
      <c r="F99" s="51">
        <f t="shared" si="2"/>
        <v>10</v>
      </c>
      <c r="G99" s="52">
        <f>SUM('RUNNING STOCKS'!D99:AH99)</f>
        <v>1</v>
      </c>
      <c r="H99" s="53" t="str">
        <f t="shared" si="3"/>
        <v>AVAILABLE</v>
      </c>
      <c r="I99" s="2">
        <v>10.0</v>
      </c>
    </row>
    <row r="100">
      <c r="A100" s="23" t="s">
        <v>769</v>
      </c>
      <c r="B100" s="23" t="s">
        <v>770</v>
      </c>
      <c r="C100" s="49">
        <f t="shared" si="1"/>
        <v>4</v>
      </c>
      <c r="D100" s="50" t="s">
        <v>768</v>
      </c>
      <c r="E100" s="42"/>
      <c r="F100" s="51">
        <f t="shared" si="2"/>
        <v>10</v>
      </c>
      <c r="G100" s="52">
        <f>SUM('RUNNING STOCKS'!D100:AH100)</f>
        <v>6</v>
      </c>
      <c r="H100" s="53" t="str">
        <f t="shared" si="3"/>
        <v>AVAILABLE</v>
      </c>
      <c r="I100" s="2">
        <v>10.0</v>
      </c>
    </row>
    <row r="101">
      <c r="A101" s="23" t="s">
        <v>771</v>
      </c>
      <c r="B101" s="23" t="s">
        <v>772</v>
      </c>
      <c r="C101" s="49">
        <f t="shared" si="1"/>
        <v>0</v>
      </c>
      <c r="D101" s="50" t="s">
        <v>768</v>
      </c>
      <c r="E101" s="42"/>
      <c r="F101" s="51">
        <f t="shared" si="2"/>
        <v>0</v>
      </c>
      <c r="G101" s="52">
        <f>SUM('RUNNING STOCKS'!D101:AH101)</f>
        <v>0</v>
      </c>
      <c r="H101" s="53" t="str">
        <f t="shared" si="3"/>
        <v>OUT OF STOCKS</v>
      </c>
    </row>
    <row r="102">
      <c r="A102" s="23" t="s">
        <v>773</v>
      </c>
      <c r="B102" s="29" t="s">
        <v>774</v>
      </c>
      <c r="C102" s="49">
        <f t="shared" si="1"/>
        <v>0</v>
      </c>
      <c r="D102" s="54" t="s">
        <v>21</v>
      </c>
      <c r="E102" s="40"/>
      <c r="F102" s="51">
        <f t="shared" si="2"/>
        <v>0</v>
      </c>
      <c r="G102" s="52">
        <f>SUM('RUNNING STOCKS'!D102:AH102)</f>
        <v>0</v>
      </c>
      <c r="H102" s="53" t="str">
        <f t="shared" si="3"/>
        <v>OUT OF STOCKS</v>
      </c>
    </row>
    <row r="103">
      <c r="A103" s="23" t="s">
        <v>775</v>
      </c>
      <c r="B103" s="29" t="s">
        <v>776</v>
      </c>
      <c r="C103" s="49">
        <f t="shared" si="1"/>
        <v>1</v>
      </c>
      <c r="D103" s="54" t="s">
        <v>21</v>
      </c>
      <c r="E103" s="40"/>
      <c r="F103" s="51">
        <f t="shared" si="2"/>
        <v>2</v>
      </c>
      <c r="G103" s="52">
        <f>SUM('RUNNING STOCKS'!D103:AH103)</f>
        <v>1</v>
      </c>
      <c r="H103" s="53" t="str">
        <f t="shared" si="3"/>
        <v>AVAILABLE</v>
      </c>
      <c r="I103" s="2">
        <v>2.0</v>
      </c>
    </row>
    <row r="104">
      <c r="A104" s="23" t="s">
        <v>777</v>
      </c>
      <c r="B104" s="29" t="s">
        <v>778</v>
      </c>
      <c r="C104" s="49">
        <f t="shared" si="1"/>
        <v>17</v>
      </c>
      <c r="D104" s="54" t="s">
        <v>21</v>
      </c>
      <c r="E104" s="40"/>
      <c r="F104" s="51">
        <f t="shared" si="2"/>
        <v>107</v>
      </c>
      <c r="G104" s="52">
        <f>SUM('RUNNING STOCKS'!D104:AH104)</f>
        <v>90</v>
      </c>
      <c r="H104" s="53" t="str">
        <f t="shared" si="3"/>
        <v>AVAILABLE</v>
      </c>
      <c r="I104" s="2">
        <v>7.0</v>
      </c>
      <c r="J104" s="2">
        <v>100.0</v>
      </c>
    </row>
    <row r="105">
      <c r="A105" s="23" t="s">
        <v>779</v>
      </c>
      <c r="B105" s="29" t="s">
        <v>780</v>
      </c>
      <c r="C105" s="49">
        <f t="shared" si="1"/>
        <v>4</v>
      </c>
      <c r="D105" s="55" t="s">
        <v>703</v>
      </c>
      <c r="E105" s="44"/>
      <c r="F105" s="51">
        <f t="shared" si="2"/>
        <v>5</v>
      </c>
      <c r="G105" s="52">
        <f>SUM('RUNNING STOCKS'!D105:AH105)</f>
        <v>1</v>
      </c>
      <c r="H105" s="56" t="str">
        <f t="shared" si="3"/>
        <v>AVAILABLE</v>
      </c>
      <c r="I105" s="45">
        <v>5.0</v>
      </c>
    </row>
    <row r="106">
      <c r="A106" s="2" t="s">
        <v>781</v>
      </c>
      <c r="B106" s="2" t="s">
        <v>126</v>
      </c>
      <c r="C106" s="49">
        <f t="shared" si="1"/>
        <v>-2</v>
      </c>
      <c r="D106" s="30" t="s">
        <v>21</v>
      </c>
      <c r="E106" s="47"/>
      <c r="F106" s="51">
        <f t="shared" si="2"/>
        <v>5</v>
      </c>
      <c r="G106" s="52">
        <f>SUM('RUNNING STOCKS'!D106:AH106)</f>
        <v>7</v>
      </c>
      <c r="H106" s="56" t="str">
        <f t="shared" si="3"/>
        <v>AVAILABLE</v>
      </c>
      <c r="I106" s="2">
        <v>5.0</v>
      </c>
    </row>
    <row r="107">
      <c r="C107" s="31"/>
      <c r="D107" s="31"/>
      <c r="E107" s="47"/>
      <c r="F107" s="31"/>
      <c r="G107" s="31"/>
      <c r="H107" s="31"/>
    </row>
    <row r="108">
      <c r="C108" s="31"/>
      <c r="D108" s="31"/>
      <c r="E108" s="47"/>
      <c r="F108" s="31"/>
      <c r="G108" s="31"/>
      <c r="H108" s="31"/>
    </row>
    <row r="109">
      <c r="C109" s="31"/>
      <c r="D109" s="31"/>
      <c r="E109" s="47"/>
      <c r="F109" s="31"/>
      <c r="G109" s="31"/>
      <c r="H109" s="31"/>
    </row>
    <row r="110">
      <c r="C110" s="31"/>
      <c r="D110" s="31"/>
      <c r="E110" s="47"/>
      <c r="F110" s="31"/>
      <c r="G110" s="31"/>
      <c r="H110" s="31"/>
    </row>
    <row r="111">
      <c r="C111" s="31"/>
      <c r="D111" s="31"/>
      <c r="E111" s="47"/>
      <c r="F111" s="31"/>
      <c r="G111" s="31"/>
      <c r="H111" s="31"/>
    </row>
    <row r="112">
      <c r="C112" s="31"/>
      <c r="D112" s="31"/>
      <c r="E112" s="47"/>
      <c r="F112" s="31"/>
      <c r="G112" s="31"/>
      <c r="H112" s="31"/>
    </row>
    <row r="113">
      <c r="C113" s="31"/>
      <c r="D113" s="31"/>
      <c r="E113" s="47"/>
      <c r="F113" s="31"/>
      <c r="G113" s="31"/>
      <c r="H113" s="31"/>
    </row>
    <row r="114">
      <c r="C114" s="31"/>
      <c r="D114" s="31"/>
      <c r="E114" s="47"/>
      <c r="F114" s="31"/>
      <c r="G114" s="31"/>
      <c r="H114" s="31"/>
    </row>
    <row r="115">
      <c r="C115" s="31"/>
      <c r="D115" s="31"/>
      <c r="E115" s="47"/>
      <c r="F115" s="31"/>
      <c r="G115" s="31"/>
      <c r="H115" s="31"/>
    </row>
    <row r="116">
      <c r="C116" s="31"/>
      <c r="D116" s="31"/>
      <c r="E116" s="47"/>
      <c r="F116" s="31"/>
      <c r="G116" s="31"/>
      <c r="H116" s="31"/>
    </row>
    <row r="117">
      <c r="C117" s="31"/>
      <c r="D117" s="31"/>
      <c r="E117" s="47"/>
      <c r="F117" s="31"/>
      <c r="G117" s="31"/>
      <c r="H117" s="31"/>
    </row>
    <row r="118">
      <c r="C118" s="31"/>
      <c r="D118" s="31"/>
      <c r="E118" s="47"/>
      <c r="F118" s="31"/>
      <c r="G118" s="31"/>
      <c r="H118" s="31"/>
    </row>
    <row r="119">
      <c r="C119" s="31"/>
      <c r="D119" s="31"/>
      <c r="E119" s="47"/>
      <c r="F119" s="31"/>
      <c r="G119" s="31"/>
      <c r="H119" s="31"/>
    </row>
    <row r="120">
      <c r="C120" s="31"/>
      <c r="D120" s="31"/>
      <c r="E120" s="47"/>
      <c r="F120" s="31"/>
      <c r="G120" s="31"/>
      <c r="H120" s="31"/>
    </row>
    <row r="121">
      <c r="C121" s="31"/>
      <c r="D121" s="31"/>
      <c r="E121" s="47"/>
      <c r="F121" s="31"/>
      <c r="G121" s="31"/>
      <c r="H121" s="31"/>
    </row>
    <row r="122">
      <c r="C122" s="31"/>
      <c r="D122" s="31"/>
      <c r="E122" s="47"/>
      <c r="F122" s="31"/>
      <c r="G122" s="31"/>
      <c r="H122" s="31"/>
    </row>
    <row r="123">
      <c r="C123" s="31"/>
      <c r="D123" s="31"/>
      <c r="E123" s="47"/>
      <c r="F123" s="31"/>
      <c r="G123" s="31"/>
      <c r="H123" s="31"/>
    </row>
    <row r="124">
      <c r="C124" s="31"/>
      <c r="D124" s="31"/>
      <c r="E124" s="47"/>
      <c r="F124" s="31"/>
      <c r="G124" s="31"/>
      <c r="H124" s="31"/>
    </row>
    <row r="125">
      <c r="C125" s="31"/>
      <c r="D125" s="31"/>
      <c r="E125" s="47"/>
      <c r="F125" s="31"/>
      <c r="G125" s="31"/>
      <c r="H125" s="31"/>
    </row>
    <row r="126">
      <c r="C126" s="31"/>
      <c r="D126" s="31"/>
      <c r="E126" s="47"/>
      <c r="F126" s="31"/>
      <c r="G126" s="31"/>
      <c r="H126" s="31"/>
    </row>
    <row r="127">
      <c r="C127" s="31"/>
      <c r="D127" s="31"/>
      <c r="E127" s="47"/>
      <c r="F127" s="31"/>
      <c r="G127" s="31"/>
      <c r="H127" s="31"/>
    </row>
    <row r="128">
      <c r="C128" s="31"/>
      <c r="D128" s="31"/>
      <c r="E128" s="47"/>
      <c r="F128" s="31"/>
      <c r="G128" s="31"/>
      <c r="H128" s="31"/>
    </row>
    <row r="129">
      <c r="C129" s="31"/>
      <c r="D129" s="31"/>
      <c r="E129" s="47"/>
      <c r="F129" s="31"/>
      <c r="G129" s="31"/>
      <c r="H129" s="31"/>
    </row>
    <row r="130">
      <c r="C130" s="31"/>
      <c r="D130" s="31"/>
      <c r="E130" s="47"/>
      <c r="F130" s="31"/>
      <c r="G130" s="31"/>
      <c r="H130" s="31"/>
    </row>
    <row r="131">
      <c r="C131" s="31"/>
      <c r="D131" s="31"/>
      <c r="E131" s="47"/>
      <c r="F131" s="31"/>
      <c r="G131" s="31"/>
      <c r="H131" s="31"/>
    </row>
    <row r="132">
      <c r="C132" s="31"/>
      <c r="D132" s="31"/>
      <c r="E132" s="47"/>
      <c r="F132" s="31"/>
      <c r="G132" s="31"/>
      <c r="H132" s="31"/>
    </row>
    <row r="133">
      <c r="C133" s="31"/>
      <c r="D133" s="31"/>
      <c r="E133" s="47"/>
      <c r="F133" s="31"/>
      <c r="G133" s="31"/>
      <c r="H133" s="31"/>
    </row>
    <row r="134">
      <c r="C134" s="31"/>
      <c r="D134" s="31"/>
      <c r="E134" s="47"/>
      <c r="F134" s="31"/>
      <c r="G134" s="31"/>
      <c r="H134" s="31"/>
    </row>
    <row r="135">
      <c r="C135" s="31"/>
      <c r="D135" s="31"/>
      <c r="E135" s="47"/>
      <c r="F135" s="31"/>
      <c r="G135" s="31"/>
      <c r="H135" s="31"/>
    </row>
    <row r="136">
      <c r="C136" s="31"/>
      <c r="D136" s="31"/>
      <c r="E136" s="47"/>
      <c r="F136" s="31"/>
      <c r="G136" s="31"/>
      <c r="H136" s="31"/>
    </row>
    <row r="137">
      <c r="C137" s="31"/>
      <c r="D137" s="31"/>
      <c r="E137" s="47"/>
      <c r="F137" s="31"/>
      <c r="G137" s="31"/>
      <c r="H137" s="31"/>
    </row>
    <row r="138">
      <c r="C138" s="31"/>
      <c r="D138" s="31"/>
      <c r="E138" s="47"/>
      <c r="F138" s="31"/>
      <c r="G138" s="31"/>
      <c r="H138" s="31"/>
    </row>
    <row r="139">
      <c r="C139" s="31"/>
      <c r="D139" s="31"/>
      <c r="E139" s="47"/>
      <c r="F139" s="31"/>
      <c r="G139" s="31"/>
      <c r="H139" s="31"/>
    </row>
    <row r="140">
      <c r="C140" s="31"/>
      <c r="D140" s="31"/>
      <c r="E140" s="47"/>
      <c r="F140" s="31"/>
      <c r="G140" s="31"/>
      <c r="H140" s="31"/>
    </row>
    <row r="141">
      <c r="C141" s="31"/>
      <c r="D141" s="31"/>
      <c r="E141" s="47"/>
      <c r="F141" s="31"/>
      <c r="G141" s="31"/>
      <c r="H141" s="31"/>
    </row>
    <row r="142">
      <c r="C142" s="31"/>
      <c r="D142" s="31"/>
      <c r="E142" s="47"/>
      <c r="F142" s="31"/>
      <c r="G142" s="31"/>
      <c r="H142" s="31"/>
    </row>
    <row r="143">
      <c r="C143" s="31"/>
      <c r="D143" s="31"/>
      <c r="E143" s="47"/>
      <c r="F143" s="31"/>
      <c r="G143" s="31"/>
      <c r="H143" s="31"/>
    </row>
    <row r="144">
      <c r="C144" s="31"/>
      <c r="D144" s="31"/>
      <c r="E144" s="47"/>
      <c r="F144" s="31"/>
      <c r="G144" s="31"/>
      <c r="H144" s="31"/>
    </row>
    <row r="145">
      <c r="C145" s="31"/>
      <c r="D145" s="31"/>
      <c r="E145" s="47"/>
      <c r="F145" s="31"/>
      <c r="G145" s="31"/>
      <c r="H145" s="31"/>
    </row>
    <row r="146">
      <c r="C146" s="31"/>
      <c r="D146" s="31"/>
      <c r="E146" s="47"/>
      <c r="F146" s="31"/>
      <c r="G146" s="31"/>
      <c r="H146" s="31"/>
    </row>
    <row r="147">
      <c r="C147" s="31"/>
      <c r="D147" s="31"/>
      <c r="E147" s="47"/>
      <c r="F147" s="31"/>
      <c r="G147" s="31"/>
      <c r="H147" s="31"/>
    </row>
    <row r="148">
      <c r="C148" s="31"/>
      <c r="D148" s="31"/>
      <c r="E148" s="47"/>
      <c r="F148" s="31"/>
      <c r="G148" s="31"/>
      <c r="H148" s="31"/>
    </row>
    <row r="149">
      <c r="C149" s="31"/>
      <c r="D149" s="31"/>
      <c r="E149" s="47"/>
      <c r="F149" s="31"/>
      <c r="G149" s="31"/>
      <c r="H149" s="31"/>
    </row>
    <row r="150">
      <c r="C150" s="31"/>
      <c r="D150" s="31"/>
      <c r="E150" s="47"/>
      <c r="F150" s="31"/>
      <c r="G150" s="31"/>
      <c r="H150" s="31"/>
    </row>
    <row r="151">
      <c r="C151" s="31"/>
      <c r="D151" s="31"/>
      <c r="E151" s="47"/>
      <c r="F151" s="31"/>
      <c r="G151" s="31"/>
      <c r="H151" s="31"/>
    </row>
    <row r="152">
      <c r="C152" s="31"/>
      <c r="D152" s="31"/>
      <c r="E152" s="47"/>
      <c r="F152" s="31"/>
      <c r="G152" s="31"/>
      <c r="H152" s="31"/>
    </row>
    <row r="153">
      <c r="C153" s="31"/>
      <c r="D153" s="31"/>
      <c r="E153" s="47"/>
      <c r="F153" s="31"/>
      <c r="G153" s="31"/>
      <c r="H153" s="31"/>
    </row>
    <row r="154">
      <c r="C154" s="31"/>
      <c r="D154" s="31"/>
      <c r="E154" s="47"/>
      <c r="F154" s="31"/>
      <c r="G154" s="31"/>
      <c r="H154" s="31"/>
    </row>
    <row r="155">
      <c r="C155" s="31"/>
      <c r="D155" s="31"/>
      <c r="E155" s="47"/>
      <c r="F155" s="31"/>
      <c r="G155" s="31"/>
      <c r="H155" s="31"/>
    </row>
    <row r="156">
      <c r="C156" s="31"/>
      <c r="D156" s="31"/>
      <c r="E156" s="47"/>
      <c r="F156" s="31"/>
      <c r="G156" s="31"/>
      <c r="H156" s="31"/>
    </row>
    <row r="157">
      <c r="C157" s="31"/>
      <c r="D157" s="31"/>
      <c r="E157" s="47"/>
      <c r="F157" s="31"/>
      <c r="G157" s="31"/>
      <c r="H157" s="31"/>
    </row>
    <row r="158">
      <c r="C158" s="31"/>
      <c r="D158" s="31"/>
      <c r="E158" s="47"/>
      <c r="F158" s="31"/>
      <c r="G158" s="31"/>
      <c r="H158" s="31"/>
    </row>
    <row r="159">
      <c r="C159" s="31"/>
      <c r="D159" s="31"/>
      <c r="E159" s="47"/>
      <c r="F159" s="31"/>
      <c r="G159" s="31"/>
      <c r="H159" s="31"/>
    </row>
    <row r="160">
      <c r="C160" s="31"/>
      <c r="D160" s="31"/>
      <c r="E160" s="47"/>
      <c r="F160" s="31"/>
      <c r="G160" s="31"/>
      <c r="H160" s="31"/>
    </row>
    <row r="161">
      <c r="C161" s="31"/>
      <c r="D161" s="31"/>
      <c r="E161" s="47"/>
      <c r="F161" s="31"/>
      <c r="G161" s="31"/>
      <c r="H161" s="31"/>
    </row>
    <row r="162">
      <c r="C162" s="31"/>
      <c r="D162" s="31"/>
      <c r="E162" s="47"/>
      <c r="F162" s="31"/>
      <c r="G162" s="31"/>
      <c r="H162" s="31"/>
    </row>
    <row r="163">
      <c r="C163" s="31"/>
      <c r="D163" s="31"/>
      <c r="E163" s="47"/>
      <c r="F163" s="31"/>
      <c r="G163" s="31"/>
      <c r="H163" s="31"/>
    </row>
    <row r="164">
      <c r="C164" s="31"/>
      <c r="D164" s="31"/>
      <c r="E164" s="47"/>
      <c r="F164" s="31"/>
      <c r="G164" s="31"/>
      <c r="H164" s="31"/>
    </row>
    <row r="165">
      <c r="C165" s="31"/>
      <c r="D165" s="31"/>
      <c r="E165" s="47"/>
      <c r="F165" s="31"/>
      <c r="G165" s="31"/>
      <c r="H165" s="31"/>
    </row>
    <row r="166">
      <c r="C166" s="31"/>
      <c r="D166" s="31"/>
      <c r="E166" s="47"/>
      <c r="F166" s="31"/>
      <c r="G166" s="31"/>
      <c r="H166" s="31"/>
    </row>
    <row r="167">
      <c r="C167" s="31"/>
      <c r="D167" s="31"/>
      <c r="E167" s="47"/>
      <c r="F167" s="31"/>
      <c r="G167" s="31"/>
      <c r="H167" s="31"/>
    </row>
    <row r="168">
      <c r="C168" s="31"/>
      <c r="D168" s="31"/>
      <c r="E168" s="47"/>
      <c r="F168" s="31"/>
      <c r="G168" s="31"/>
      <c r="H168" s="31"/>
    </row>
    <row r="169">
      <c r="C169" s="31"/>
      <c r="D169" s="31"/>
      <c r="E169" s="47"/>
      <c r="F169" s="31"/>
      <c r="G169" s="31"/>
      <c r="H169" s="31"/>
    </row>
    <row r="170">
      <c r="C170" s="31"/>
      <c r="D170" s="31"/>
      <c r="E170" s="47"/>
      <c r="F170" s="31"/>
      <c r="G170" s="31"/>
      <c r="H170" s="31"/>
    </row>
    <row r="171">
      <c r="C171" s="31"/>
      <c r="D171" s="31"/>
      <c r="E171" s="47"/>
      <c r="F171" s="31"/>
      <c r="G171" s="31"/>
      <c r="H171" s="31"/>
    </row>
    <row r="172">
      <c r="C172" s="31"/>
      <c r="D172" s="31"/>
      <c r="E172" s="47"/>
      <c r="F172" s="31"/>
      <c r="G172" s="31"/>
      <c r="H172" s="31"/>
    </row>
    <row r="173">
      <c r="C173" s="31"/>
      <c r="D173" s="31"/>
      <c r="E173" s="47"/>
      <c r="F173" s="31"/>
      <c r="G173" s="31"/>
      <c r="H173" s="31"/>
    </row>
    <row r="174">
      <c r="C174" s="31"/>
      <c r="D174" s="31"/>
      <c r="E174" s="47"/>
      <c r="F174" s="31"/>
      <c r="G174" s="31"/>
      <c r="H174" s="31"/>
    </row>
    <row r="175">
      <c r="C175" s="31"/>
      <c r="D175" s="31"/>
      <c r="E175" s="47"/>
      <c r="F175" s="31"/>
      <c r="G175" s="31"/>
      <c r="H175" s="31"/>
    </row>
    <row r="176">
      <c r="C176" s="31"/>
      <c r="D176" s="31"/>
      <c r="E176" s="47"/>
      <c r="F176" s="31"/>
      <c r="G176" s="31"/>
      <c r="H176" s="31"/>
    </row>
    <row r="177">
      <c r="C177" s="31"/>
      <c r="D177" s="31"/>
      <c r="E177" s="47"/>
      <c r="F177" s="31"/>
      <c r="G177" s="31"/>
      <c r="H177" s="31"/>
    </row>
    <row r="178">
      <c r="C178" s="31"/>
      <c r="D178" s="31"/>
      <c r="E178" s="47"/>
      <c r="F178" s="31"/>
      <c r="G178" s="31"/>
      <c r="H178" s="31"/>
    </row>
    <row r="179">
      <c r="C179" s="31"/>
      <c r="D179" s="31"/>
      <c r="E179" s="47"/>
      <c r="F179" s="31"/>
      <c r="G179" s="31"/>
      <c r="H179" s="31"/>
    </row>
    <row r="180">
      <c r="C180" s="31"/>
      <c r="D180" s="31"/>
      <c r="E180" s="47"/>
      <c r="F180" s="31"/>
      <c r="G180" s="31"/>
      <c r="H180" s="31"/>
    </row>
    <row r="181">
      <c r="C181" s="31"/>
      <c r="D181" s="31"/>
      <c r="E181" s="47"/>
      <c r="F181" s="31"/>
      <c r="G181" s="31"/>
      <c r="H181" s="31"/>
    </row>
    <row r="182">
      <c r="C182" s="31"/>
      <c r="D182" s="31"/>
      <c r="E182" s="47"/>
      <c r="F182" s="31"/>
      <c r="G182" s="31"/>
      <c r="H182" s="31"/>
    </row>
    <row r="183">
      <c r="C183" s="31"/>
      <c r="D183" s="31"/>
      <c r="E183" s="47"/>
      <c r="F183" s="31"/>
      <c r="G183" s="31"/>
      <c r="H183" s="31"/>
    </row>
    <row r="184">
      <c r="C184" s="31"/>
      <c r="D184" s="31"/>
      <c r="E184" s="47"/>
      <c r="F184" s="31"/>
      <c r="G184" s="31"/>
      <c r="H184" s="31"/>
    </row>
    <row r="185">
      <c r="C185" s="31"/>
      <c r="D185" s="31"/>
      <c r="E185" s="47"/>
      <c r="F185" s="31"/>
      <c r="G185" s="31"/>
      <c r="H185" s="31"/>
    </row>
    <row r="186">
      <c r="C186" s="31"/>
      <c r="D186" s="31"/>
      <c r="E186" s="47"/>
      <c r="F186" s="31"/>
      <c r="G186" s="31"/>
      <c r="H186" s="31"/>
    </row>
    <row r="187">
      <c r="C187" s="31"/>
      <c r="D187" s="31"/>
      <c r="E187" s="47"/>
      <c r="F187" s="31"/>
      <c r="G187" s="31"/>
      <c r="H187" s="31"/>
    </row>
    <row r="188">
      <c r="C188" s="31"/>
      <c r="D188" s="31"/>
      <c r="E188" s="47"/>
      <c r="F188" s="31"/>
      <c r="G188" s="31"/>
      <c r="H188" s="31"/>
    </row>
    <row r="189">
      <c r="C189" s="31"/>
      <c r="D189" s="31"/>
      <c r="E189" s="47"/>
      <c r="F189" s="31"/>
      <c r="G189" s="31"/>
      <c r="H189" s="31"/>
    </row>
    <row r="190">
      <c r="C190" s="31"/>
      <c r="D190" s="31"/>
      <c r="E190" s="47"/>
      <c r="F190" s="31"/>
      <c r="G190" s="31"/>
      <c r="H190" s="31"/>
    </row>
    <row r="191">
      <c r="C191" s="31"/>
      <c r="D191" s="31"/>
      <c r="E191" s="47"/>
      <c r="F191" s="31"/>
      <c r="G191" s="31"/>
      <c r="H191" s="31"/>
    </row>
    <row r="192">
      <c r="C192" s="31"/>
      <c r="D192" s="31"/>
      <c r="E192" s="47"/>
      <c r="F192" s="31"/>
      <c r="G192" s="31"/>
      <c r="H192" s="31"/>
    </row>
    <row r="193">
      <c r="C193" s="31"/>
      <c r="D193" s="31"/>
      <c r="E193" s="47"/>
      <c r="F193" s="31"/>
      <c r="G193" s="31"/>
      <c r="H193" s="31"/>
    </row>
    <row r="194">
      <c r="C194" s="31"/>
      <c r="D194" s="31"/>
      <c r="E194" s="47"/>
      <c r="F194" s="31"/>
      <c r="G194" s="31"/>
      <c r="H194" s="31"/>
    </row>
    <row r="195">
      <c r="C195" s="31"/>
      <c r="D195" s="31"/>
      <c r="E195" s="47"/>
      <c r="F195" s="31"/>
      <c r="G195" s="31"/>
      <c r="H195" s="31"/>
    </row>
    <row r="196">
      <c r="C196" s="31"/>
      <c r="D196" s="31"/>
      <c r="E196" s="47"/>
      <c r="F196" s="31"/>
      <c r="G196" s="31"/>
      <c r="H196" s="31"/>
    </row>
    <row r="197">
      <c r="C197" s="31"/>
      <c r="D197" s="31"/>
      <c r="E197" s="47"/>
      <c r="F197" s="31"/>
      <c r="G197" s="31"/>
      <c r="H197" s="31"/>
    </row>
    <row r="198">
      <c r="C198" s="31"/>
      <c r="D198" s="31"/>
      <c r="E198" s="47"/>
      <c r="F198" s="31"/>
      <c r="G198" s="31"/>
      <c r="H198" s="31"/>
    </row>
    <row r="199">
      <c r="C199" s="31"/>
      <c r="D199" s="31"/>
      <c r="E199" s="47"/>
      <c r="F199" s="31"/>
      <c r="G199" s="31"/>
      <c r="H199" s="31"/>
    </row>
    <row r="200">
      <c r="C200" s="31"/>
      <c r="D200" s="31"/>
      <c r="E200" s="47"/>
      <c r="F200" s="31"/>
      <c r="G200" s="31"/>
      <c r="H200" s="31"/>
    </row>
    <row r="201">
      <c r="C201" s="31"/>
      <c r="D201" s="31"/>
      <c r="E201" s="47"/>
      <c r="F201" s="31"/>
      <c r="G201" s="31"/>
      <c r="H201" s="31"/>
    </row>
    <row r="202">
      <c r="C202" s="31"/>
      <c r="D202" s="31"/>
      <c r="E202" s="47"/>
      <c r="F202" s="31"/>
      <c r="G202" s="31"/>
      <c r="H202" s="31"/>
    </row>
    <row r="203">
      <c r="C203" s="31"/>
      <c r="D203" s="31"/>
      <c r="E203" s="47"/>
      <c r="F203" s="31"/>
      <c r="G203" s="31"/>
      <c r="H203" s="31"/>
    </row>
    <row r="204">
      <c r="C204" s="31"/>
      <c r="D204" s="31"/>
      <c r="E204" s="47"/>
      <c r="F204" s="31"/>
      <c r="G204" s="31"/>
      <c r="H204" s="31"/>
    </row>
    <row r="205">
      <c r="C205" s="31"/>
      <c r="D205" s="31"/>
      <c r="E205" s="47"/>
      <c r="F205" s="31"/>
      <c r="G205" s="31"/>
      <c r="H205" s="31"/>
    </row>
    <row r="206">
      <c r="C206" s="31"/>
      <c r="D206" s="31"/>
      <c r="E206" s="47"/>
      <c r="F206" s="31"/>
      <c r="G206" s="31"/>
      <c r="H206" s="31"/>
    </row>
    <row r="207">
      <c r="C207" s="31"/>
      <c r="D207" s="31"/>
      <c r="E207" s="47"/>
      <c r="F207" s="31"/>
      <c r="G207" s="31"/>
      <c r="H207" s="31"/>
    </row>
    <row r="208">
      <c r="C208" s="31"/>
      <c r="D208" s="31"/>
      <c r="E208" s="47"/>
      <c r="F208" s="31"/>
      <c r="G208" s="31"/>
      <c r="H208" s="31"/>
    </row>
    <row r="209">
      <c r="C209" s="31"/>
      <c r="D209" s="31"/>
      <c r="E209" s="47"/>
      <c r="F209" s="31"/>
      <c r="G209" s="31"/>
      <c r="H209" s="31"/>
    </row>
    <row r="210">
      <c r="C210" s="31"/>
      <c r="D210" s="31"/>
      <c r="E210" s="47"/>
      <c r="F210" s="31"/>
      <c r="G210" s="31"/>
      <c r="H210" s="31"/>
    </row>
    <row r="211">
      <c r="C211" s="31"/>
      <c r="D211" s="31"/>
      <c r="E211" s="47"/>
      <c r="F211" s="31"/>
      <c r="G211" s="31"/>
      <c r="H211" s="31"/>
    </row>
    <row r="212">
      <c r="C212" s="31"/>
      <c r="D212" s="31"/>
      <c r="E212" s="47"/>
      <c r="F212" s="31"/>
      <c r="G212" s="31"/>
      <c r="H212" s="31"/>
    </row>
    <row r="213">
      <c r="C213" s="31"/>
      <c r="D213" s="31"/>
      <c r="E213" s="47"/>
      <c r="F213" s="31"/>
      <c r="G213" s="31"/>
      <c r="H213" s="31"/>
    </row>
    <row r="214">
      <c r="C214" s="31"/>
      <c r="D214" s="31"/>
      <c r="E214" s="47"/>
      <c r="F214" s="31"/>
      <c r="G214" s="31"/>
      <c r="H214" s="31"/>
    </row>
    <row r="215">
      <c r="C215" s="31"/>
      <c r="D215" s="31"/>
      <c r="E215" s="47"/>
      <c r="F215" s="31"/>
      <c r="G215" s="31"/>
      <c r="H215" s="31"/>
    </row>
    <row r="216">
      <c r="C216" s="31"/>
      <c r="D216" s="31"/>
      <c r="E216" s="47"/>
      <c r="F216" s="31"/>
      <c r="G216" s="31"/>
      <c r="H216" s="31"/>
    </row>
    <row r="217">
      <c r="C217" s="31"/>
      <c r="D217" s="31"/>
      <c r="E217" s="47"/>
      <c r="F217" s="31"/>
      <c r="G217" s="31"/>
      <c r="H217" s="31"/>
    </row>
    <row r="218">
      <c r="C218" s="31"/>
      <c r="D218" s="31"/>
      <c r="E218" s="47"/>
      <c r="F218" s="31"/>
      <c r="G218" s="31"/>
      <c r="H218" s="31"/>
    </row>
    <row r="219">
      <c r="C219" s="31"/>
      <c r="D219" s="31"/>
      <c r="E219" s="47"/>
      <c r="F219" s="31"/>
      <c r="G219" s="31"/>
      <c r="H219" s="31"/>
    </row>
    <row r="220">
      <c r="C220" s="31"/>
      <c r="D220" s="31"/>
      <c r="E220" s="47"/>
      <c r="F220" s="31"/>
      <c r="G220" s="31"/>
      <c r="H220" s="31"/>
    </row>
    <row r="221">
      <c r="C221" s="31"/>
      <c r="D221" s="31"/>
      <c r="E221" s="47"/>
      <c r="F221" s="31"/>
      <c r="G221" s="31"/>
      <c r="H221" s="31"/>
    </row>
    <row r="222">
      <c r="C222" s="31"/>
      <c r="D222" s="31"/>
      <c r="E222" s="47"/>
      <c r="F222" s="31"/>
      <c r="G222" s="31"/>
      <c r="H222" s="31"/>
    </row>
    <row r="223">
      <c r="C223" s="31"/>
      <c r="D223" s="31"/>
      <c r="E223" s="47"/>
      <c r="F223" s="31"/>
      <c r="G223" s="31"/>
      <c r="H223" s="31"/>
    </row>
    <row r="224">
      <c r="C224" s="31"/>
      <c r="D224" s="31"/>
      <c r="E224" s="47"/>
      <c r="F224" s="31"/>
      <c r="G224" s="31"/>
      <c r="H224" s="31"/>
    </row>
    <row r="225">
      <c r="C225" s="31"/>
      <c r="D225" s="31"/>
      <c r="E225" s="47"/>
      <c r="F225" s="31"/>
      <c r="G225" s="31"/>
      <c r="H225" s="31"/>
    </row>
    <row r="226">
      <c r="C226" s="31"/>
      <c r="D226" s="31"/>
      <c r="E226" s="47"/>
      <c r="F226" s="31"/>
      <c r="G226" s="31"/>
      <c r="H226" s="31"/>
    </row>
    <row r="227">
      <c r="C227" s="31"/>
      <c r="D227" s="31"/>
      <c r="E227" s="47"/>
      <c r="F227" s="31"/>
      <c r="G227" s="31"/>
      <c r="H227" s="31"/>
    </row>
    <row r="228">
      <c r="C228" s="31"/>
      <c r="D228" s="31"/>
      <c r="E228" s="47"/>
      <c r="F228" s="31"/>
      <c r="G228" s="31"/>
      <c r="H228" s="31"/>
    </row>
    <row r="229">
      <c r="C229" s="31"/>
      <c r="D229" s="31"/>
      <c r="E229" s="47"/>
      <c r="F229" s="31"/>
      <c r="G229" s="31"/>
      <c r="H229" s="31"/>
    </row>
    <row r="230">
      <c r="C230" s="31"/>
      <c r="D230" s="31"/>
      <c r="E230" s="47"/>
      <c r="F230" s="31"/>
      <c r="G230" s="31"/>
      <c r="H230" s="31"/>
    </row>
    <row r="231">
      <c r="C231" s="31"/>
      <c r="D231" s="31"/>
      <c r="E231" s="47"/>
      <c r="F231" s="31"/>
      <c r="G231" s="31"/>
      <c r="H231" s="31"/>
    </row>
    <row r="232">
      <c r="C232" s="31"/>
      <c r="D232" s="31"/>
      <c r="E232" s="47"/>
      <c r="F232" s="31"/>
      <c r="G232" s="31"/>
      <c r="H232" s="31"/>
    </row>
    <row r="233">
      <c r="C233" s="31"/>
      <c r="D233" s="31"/>
      <c r="E233" s="47"/>
      <c r="F233" s="31"/>
      <c r="G233" s="31"/>
      <c r="H233" s="31"/>
    </row>
    <row r="234">
      <c r="C234" s="31"/>
      <c r="D234" s="31"/>
      <c r="E234" s="47"/>
      <c r="F234" s="31"/>
      <c r="G234" s="31"/>
      <c r="H234" s="31"/>
    </row>
    <row r="235">
      <c r="C235" s="31"/>
      <c r="D235" s="31"/>
      <c r="E235" s="47"/>
      <c r="F235" s="31"/>
      <c r="G235" s="31"/>
      <c r="H235" s="31"/>
    </row>
    <row r="236">
      <c r="C236" s="31"/>
      <c r="D236" s="31"/>
      <c r="E236" s="47"/>
      <c r="F236" s="31"/>
      <c r="G236" s="31"/>
      <c r="H236" s="31"/>
    </row>
    <row r="237">
      <c r="C237" s="31"/>
      <c r="D237" s="31"/>
      <c r="E237" s="47"/>
      <c r="F237" s="31"/>
      <c r="G237" s="31"/>
      <c r="H237" s="31"/>
    </row>
    <row r="238">
      <c r="C238" s="31"/>
      <c r="D238" s="31"/>
      <c r="E238" s="47"/>
      <c r="F238" s="31"/>
      <c r="G238" s="31"/>
      <c r="H238" s="31"/>
    </row>
    <row r="239">
      <c r="C239" s="31"/>
      <c r="D239" s="31"/>
      <c r="E239" s="47"/>
      <c r="F239" s="31"/>
      <c r="G239" s="31"/>
      <c r="H239" s="31"/>
    </row>
    <row r="240">
      <c r="C240" s="31"/>
      <c r="D240" s="31"/>
      <c r="E240" s="47"/>
      <c r="F240" s="31"/>
      <c r="G240" s="31"/>
      <c r="H240" s="31"/>
    </row>
    <row r="241">
      <c r="C241" s="31"/>
      <c r="D241" s="31"/>
      <c r="E241" s="47"/>
      <c r="F241" s="31"/>
      <c r="G241" s="31"/>
      <c r="H241" s="31"/>
    </row>
    <row r="242">
      <c r="C242" s="31"/>
      <c r="D242" s="31"/>
      <c r="E242" s="47"/>
      <c r="F242" s="31"/>
      <c r="G242" s="31"/>
      <c r="H242" s="31"/>
    </row>
    <row r="243">
      <c r="C243" s="31"/>
      <c r="D243" s="31"/>
      <c r="E243" s="47"/>
      <c r="F243" s="31"/>
      <c r="G243" s="31"/>
      <c r="H243" s="31"/>
    </row>
    <row r="244">
      <c r="C244" s="31"/>
      <c r="D244" s="31"/>
      <c r="E244" s="47"/>
      <c r="F244" s="31"/>
      <c r="G244" s="31"/>
      <c r="H244" s="31"/>
    </row>
    <row r="245">
      <c r="C245" s="31"/>
      <c r="D245" s="31"/>
      <c r="E245" s="47"/>
      <c r="F245" s="31"/>
      <c r="G245" s="31"/>
      <c r="H245" s="31"/>
    </row>
    <row r="246">
      <c r="C246" s="31"/>
      <c r="D246" s="31"/>
      <c r="E246" s="47"/>
      <c r="F246" s="31"/>
      <c r="G246" s="31"/>
      <c r="H246" s="31"/>
    </row>
    <row r="247">
      <c r="C247" s="31"/>
      <c r="D247" s="31"/>
      <c r="E247" s="47"/>
      <c r="F247" s="31"/>
      <c r="G247" s="31"/>
      <c r="H247" s="31"/>
    </row>
    <row r="248">
      <c r="C248" s="31"/>
      <c r="D248" s="31"/>
      <c r="E248" s="47"/>
      <c r="F248" s="31"/>
      <c r="G248" s="31"/>
      <c r="H248" s="31"/>
    </row>
    <row r="249">
      <c r="C249" s="31"/>
      <c r="D249" s="31"/>
      <c r="E249" s="47"/>
      <c r="F249" s="31"/>
      <c r="G249" s="31"/>
      <c r="H249" s="31"/>
    </row>
    <row r="250">
      <c r="C250" s="31"/>
      <c r="D250" s="31"/>
      <c r="E250" s="47"/>
      <c r="F250" s="31"/>
      <c r="G250" s="31"/>
      <c r="H250" s="31"/>
    </row>
    <row r="251">
      <c r="C251" s="31"/>
      <c r="D251" s="31"/>
      <c r="E251" s="47"/>
      <c r="F251" s="31"/>
      <c r="G251" s="31"/>
      <c r="H251" s="31"/>
    </row>
    <row r="252">
      <c r="C252" s="31"/>
      <c r="D252" s="31"/>
      <c r="E252" s="47"/>
      <c r="F252" s="31"/>
      <c r="G252" s="31"/>
      <c r="H252" s="31"/>
    </row>
    <row r="253">
      <c r="C253" s="31"/>
      <c r="D253" s="31"/>
      <c r="E253" s="47"/>
      <c r="F253" s="31"/>
      <c r="G253" s="31"/>
      <c r="H253" s="31"/>
    </row>
    <row r="254">
      <c r="C254" s="31"/>
      <c r="D254" s="31"/>
      <c r="E254" s="47"/>
      <c r="F254" s="31"/>
      <c r="G254" s="31"/>
      <c r="H254" s="31"/>
    </row>
    <row r="255">
      <c r="C255" s="31"/>
      <c r="D255" s="31"/>
      <c r="E255" s="47"/>
      <c r="F255" s="31"/>
      <c r="G255" s="31"/>
      <c r="H255" s="31"/>
    </row>
    <row r="256">
      <c r="C256" s="31"/>
      <c r="D256" s="31"/>
      <c r="E256" s="47"/>
      <c r="F256" s="31"/>
      <c r="G256" s="31"/>
      <c r="H256" s="31"/>
    </row>
    <row r="257">
      <c r="C257" s="31"/>
      <c r="D257" s="31"/>
      <c r="E257" s="47"/>
      <c r="F257" s="31"/>
      <c r="G257" s="31"/>
      <c r="H257" s="31"/>
    </row>
    <row r="258">
      <c r="C258" s="31"/>
      <c r="D258" s="31"/>
      <c r="E258" s="47"/>
      <c r="F258" s="31"/>
      <c r="G258" s="31"/>
      <c r="H258" s="31"/>
    </row>
    <row r="259">
      <c r="C259" s="31"/>
      <c r="D259" s="31"/>
      <c r="E259" s="47"/>
      <c r="F259" s="31"/>
      <c r="G259" s="31"/>
      <c r="H259" s="31"/>
    </row>
    <row r="260">
      <c r="C260" s="31"/>
      <c r="D260" s="31"/>
      <c r="E260" s="47"/>
      <c r="F260" s="31"/>
      <c r="G260" s="31"/>
      <c r="H260" s="31"/>
    </row>
    <row r="261">
      <c r="C261" s="31"/>
      <c r="D261" s="31"/>
      <c r="E261" s="47"/>
      <c r="F261" s="31"/>
      <c r="G261" s="31"/>
      <c r="H261" s="31"/>
    </row>
    <row r="262">
      <c r="C262" s="31"/>
      <c r="D262" s="31"/>
      <c r="E262" s="47"/>
      <c r="F262" s="31"/>
      <c r="G262" s="31"/>
      <c r="H262" s="31"/>
    </row>
    <row r="263">
      <c r="C263" s="31"/>
      <c r="D263" s="31"/>
      <c r="E263" s="47"/>
      <c r="F263" s="31"/>
      <c r="G263" s="31"/>
      <c r="H263" s="31"/>
    </row>
    <row r="264">
      <c r="C264" s="31"/>
      <c r="D264" s="31"/>
      <c r="E264" s="47"/>
      <c r="F264" s="31"/>
      <c r="G264" s="31"/>
      <c r="H264" s="31"/>
    </row>
    <row r="265">
      <c r="C265" s="31"/>
      <c r="D265" s="31"/>
      <c r="E265" s="47"/>
      <c r="F265" s="31"/>
      <c r="G265" s="31"/>
      <c r="H265" s="31"/>
    </row>
    <row r="266">
      <c r="C266" s="31"/>
      <c r="D266" s="31"/>
      <c r="E266" s="47"/>
      <c r="F266" s="31"/>
      <c r="G266" s="31"/>
      <c r="H266" s="31"/>
    </row>
    <row r="267">
      <c r="C267" s="31"/>
      <c r="D267" s="31"/>
      <c r="E267" s="47"/>
      <c r="F267" s="31"/>
      <c r="G267" s="31"/>
      <c r="H267" s="31"/>
    </row>
    <row r="268">
      <c r="C268" s="31"/>
      <c r="D268" s="31"/>
      <c r="E268" s="47"/>
      <c r="F268" s="31"/>
      <c r="G268" s="31"/>
      <c r="H268" s="31"/>
    </row>
    <row r="269">
      <c r="C269" s="31"/>
      <c r="D269" s="31"/>
      <c r="E269" s="47"/>
      <c r="F269" s="31"/>
      <c r="G269" s="31"/>
      <c r="H269" s="31"/>
    </row>
    <row r="270">
      <c r="C270" s="31"/>
      <c r="D270" s="31"/>
      <c r="E270" s="47"/>
      <c r="F270" s="31"/>
      <c r="G270" s="31"/>
      <c r="H270" s="31"/>
    </row>
    <row r="271">
      <c r="C271" s="31"/>
      <c r="D271" s="31"/>
      <c r="E271" s="47"/>
      <c r="F271" s="31"/>
      <c r="G271" s="31"/>
      <c r="H271" s="31"/>
    </row>
    <row r="272">
      <c r="C272" s="31"/>
      <c r="D272" s="31"/>
      <c r="E272" s="47"/>
      <c r="F272" s="31"/>
      <c r="G272" s="31"/>
      <c r="H272" s="31"/>
    </row>
    <row r="273">
      <c r="C273" s="31"/>
      <c r="D273" s="31"/>
      <c r="E273" s="47"/>
      <c r="F273" s="31"/>
      <c r="G273" s="31"/>
      <c r="H273" s="31"/>
    </row>
    <row r="274">
      <c r="C274" s="31"/>
      <c r="D274" s="31"/>
      <c r="E274" s="47"/>
      <c r="F274" s="31"/>
      <c r="G274" s="31"/>
      <c r="H274" s="31"/>
    </row>
    <row r="275">
      <c r="C275" s="31"/>
      <c r="D275" s="31"/>
      <c r="E275" s="47"/>
      <c r="F275" s="31"/>
      <c r="G275" s="31"/>
      <c r="H275" s="31"/>
    </row>
    <row r="276">
      <c r="C276" s="31"/>
      <c r="D276" s="31"/>
      <c r="E276" s="47"/>
      <c r="F276" s="31"/>
      <c r="G276" s="31"/>
      <c r="H276" s="31"/>
    </row>
    <row r="277">
      <c r="C277" s="31"/>
      <c r="D277" s="31"/>
      <c r="E277" s="47"/>
      <c r="F277" s="31"/>
      <c r="G277" s="31"/>
      <c r="H277" s="31"/>
    </row>
    <row r="278">
      <c r="C278" s="31"/>
      <c r="D278" s="31"/>
      <c r="E278" s="47"/>
      <c r="F278" s="31"/>
      <c r="G278" s="31"/>
      <c r="H278" s="31"/>
    </row>
    <row r="279">
      <c r="C279" s="31"/>
      <c r="D279" s="31"/>
      <c r="E279" s="47"/>
      <c r="F279" s="31"/>
      <c r="G279" s="31"/>
      <c r="H279" s="31"/>
    </row>
    <row r="280">
      <c r="C280" s="31"/>
      <c r="D280" s="31"/>
      <c r="E280" s="47"/>
      <c r="F280" s="31"/>
      <c r="G280" s="31"/>
      <c r="H280" s="31"/>
    </row>
    <row r="281">
      <c r="C281" s="31"/>
      <c r="D281" s="31"/>
      <c r="E281" s="47"/>
      <c r="F281" s="31"/>
      <c r="G281" s="31"/>
      <c r="H281" s="31"/>
    </row>
    <row r="282">
      <c r="C282" s="31"/>
      <c r="D282" s="31"/>
      <c r="E282" s="47"/>
      <c r="F282" s="31"/>
      <c r="G282" s="31"/>
      <c r="H282" s="31"/>
    </row>
    <row r="283">
      <c r="C283" s="31"/>
      <c r="D283" s="31"/>
      <c r="E283" s="47"/>
      <c r="F283" s="31"/>
      <c r="G283" s="31"/>
      <c r="H283" s="31"/>
    </row>
    <row r="284">
      <c r="C284" s="31"/>
      <c r="D284" s="31"/>
      <c r="E284" s="47"/>
      <c r="F284" s="31"/>
      <c r="G284" s="31"/>
      <c r="H284" s="31"/>
    </row>
    <row r="285">
      <c r="C285" s="31"/>
      <c r="D285" s="31"/>
      <c r="E285" s="47"/>
      <c r="F285" s="31"/>
      <c r="G285" s="31"/>
      <c r="H285" s="31"/>
    </row>
    <row r="286">
      <c r="C286" s="31"/>
      <c r="D286" s="31"/>
      <c r="E286" s="47"/>
      <c r="F286" s="31"/>
      <c r="G286" s="31"/>
      <c r="H286" s="31"/>
    </row>
    <row r="287">
      <c r="C287" s="31"/>
      <c r="D287" s="31"/>
      <c r="E287" s="47"/>
      <c r="F287" s="31"/>
      <c r="G287" s="31"/>
      <c r="H287" s="31"/>
    </row>
    <row r="288">
      <c r="C288" s="31"/>
      <c r="D288" s="31"/>
      <c r="E288" s="47"/>
      <c r="F288" s="31"/>
      <c r="G288" s="31"/>
      <c r="H288" s="31"/>
    </row>
    <row r="289">
      <c r="C289" s="31"/>
      <c r="D289" s="31"/>
      <c r="E289" s="47"/>
      <c r="F289" s="31"/>
      <c r="G289" s="31"/>
      <c r="H289" s="31"/>
    </row>
    <row r="290">
      <c r="C290" s="31"/>
      <c r="D290" s="31"/>
      <c r="E290" s="47"/>
      <c r="F290" s="31"/>
      <c r="G290" s="31"/>
      <c r="H290" s="31"/>
    </row>
    <row r="291">
      <c r="C291" s="31"/>
      <c r="D291" s="31"/>
      <c r="E291" s="47"/>
      <c r="F291" s="31"/>
      <c r="G291" s="31"/>
      <c r="H291" s="31"/>
    </row>
    <row r="292">
      <c r="C292" s="31"/>
      <c r="D292" s="31"/>
      <c r="E292" s="47"/>
      <c r="F292" s="31"/>
      <c r="G292" s="31"/>
      <c r="H292" s="31"/>
    </row>
    <row r="293">
      <c r="C293" s="31"/>
      <c r="D293" s="31"/>
      <c r="E293" s="47"/>
      <c r="F293" s="31"/>
      <c r="G293" s="31"/>
      <c r="H293" s="31"/>
    </row>
    <row r="294">
      <c r="C294" s="31"/>
      <c r="D294" s="31"/>
      <c r="E294" s="47"/>
      <c r="F294" s="31"/>
      <c r="G294" s="31"/>
      <c r="H294" s="31"/>
    </row>
    <row r="295">
      <c r="C295" s="31"/>
      <c r="D295" s="31"/>
      <c r="E295" s="47"/>
      <c r="F295" s="31"/>
      <c r="G295" s="31"/>
      <c r="H295" s="31"/>
    </row>
    <row r="296">
      <c r="C296" s="31"/>
      <c r="D296" s="31"/>
      <c r="E296" s="47"/>
      <c r="F296" s="31"/>
      <c r="G296" s="31"/>
      <c r="H296" s="31"/>
    </row>
    <row r="297">
      <c r="C297" s="31"/>
      <c r="D297" s="31"/>
      <c r="E297" s="47"/>
      <c r="F297" s="31"/>
      <c r="G297" s="31"/>
      <c r="H297" s="31"/>
    </row>
    <row r="298">
      <c r="C298" s="31"/>
      <c r="D298" s="31"/>
      <c r="E298" s="47"/>
      <c r="F298" s="31"/>
      <c r="G298" s="31"/>
      <c r="H298" s="31"/>
    </row>
    <row r="299">
      <c r="C299" s="31"/>
      <c r="D299" s="31"/>
      <c r="E299" s="47"/>
      <c r="F299" s="31"/>
      <c r="G299" s="31"/>
      <c r="H299" s="31"/>
    </row>
    <row r="300">
      <c r="C300" s="31"/>
      <c r="D300" s="31"/>
      <c r="E300" s="47"/>
      <c r="F300" s="31"/>
      <c r="G300" s="31"/>
      <c r="H300" s="31"/>
    </row>
    <row r="301">
      <c r="C301" s="31"/>
      <c r="D301" s="31"/>
      <c r="E301" s="47"/>
      <c r="F301" s="31"/>
      <c r="G301" s="31"/>
      <c r="H301" s="31"/>
    </row>
    <row r="302">
      <c r="C302" s="31"/>
      <c r="D302" s="31"/>
      <c r="E302" s="47"/>
      <c r="F302" s="31"/>
      <c r="G302" s="31"/>
      <c r="H302" s="31"/>
    </row>
    <row r="303">
      <c r="C303" s="31"/>
      <c r="D303" s="31"/>
      <c r="E303" s="47"/>
      <c r="F303" s="31"/>
      <c r="G303" s="31"/>
      <c r="H303" s="31"/>
    </row>
    <row r="304">
      <c r="C304" s="31"/>
      <c r="D304" s="31"/>
      <c r="E304" s="47"/>
      <c r="F304" s="31"/>
      <c r="G304" s="31"/>
      <c r="H304" s="31"/>
    </row>
    <row r="305">
      <c r="C305" s="31"/>
      <c r="D305" s="31"/>
      <c r="E305" s="47"/>
      <c r="F305" s="31"/>
      <c r="G305" s="31"/>
      <c r="H305" s="31"/>
    </row>
    <row r="306">
      <c r="C306" s="31"/>
      <c r="D306" s="31"/>
      <c r="E306" s="47"/>
      <c r="F306" s="31"/>
      <c r="G306" s="31"/>
      <c r="H306" s="31"/>
    </row>
    <row r="307">
      <c r="C307" s="31"/>
      <c r="D307" s="31"/>
      <c r="E307" s="47"/>
      <c r="F307" s="31"/>
      <c r="G307" s="31"/>
      <c r="H307" s="31"/>
    </row>
    <row r="308">
      <c r="C308" s="31"/>
      <c r="D308" s="31"/>
      <c r="E308" s="47"/>
      <c r="F308" s="31"/>
      <c r="G308" s="31"/>
      <c r="H308" s="31"/>
    </row>
    <row r="309">
      <c r="C309" s="31"/>
      <c r="D309" s="31"/>
      <c r="E309" s="47"/>
      <c r="F309" s="31"/>
      <c r="G309" s="31"/>
      <c r="H309" s="31"/>
    </row>
    <row r="310">
      <c r="C310" s="31"/>
      <c r="D310" s="31"/>
      <c r="E310" s="47"/>
      <c r="F310" s="31"/>
      <c r="G310" s="31"/>
      <c r="H310" s="31"/>
    </row>
    <row r="311">
      <c r="C311" s="31"/>
      <c r="D311" s="31"/>
      <c r="E311" s="47"/>
      <c r="F311" s="31"/>
      <c r="G311" s="31"/>
      <c r="H311" s="31"/>
    </row>
    <row r="312">
      <c r="C312" s="31"/>
      <c r="D312" s="31"/>
      <c r="E312" s="47"/>
      <c r="F312" s="31"/>
      <c r="G312" s="31"/>
      <c r="H312" s="31"/>
    </row>
    <row r="313">
      <c r="C313" s="31"/>
      <c r="D313" s="31"/>
      <c r="E313" s="47"/>
      <c r="F313" s="31"/>
      <c r="G313" s="31"/>
      <c r="H313" s="31"/>
    </row>
    <row r="314">
      <c r="C314" s="31"/>
      <c r="D314" s="31"/>
      <c r="E314" s="47"/>
      <c r="F314" s="31"/>
      <c r="G314" s="31"/>
      <c r="H314" s="31"/>
    </row>
    <row r="315">
      <c r="C315" s="31"/>
      <c r="D315" s="31"/>
      <c r="E315" s="47"/>
      <c r="F315" s="31"/>
      <c r="G315" s="31"/>
      <c r="H315" s="31"/>
    </row>
    <row r="316">
      <c r="C316" s="31"/>
      <c r="D316" s="31"/>
      <c r="E316" s="47"/>
      <c r="F316" s="31"/>
      <c r="G316" s="31"/>
      <c r="H316" s="31"/>
    </row>
    <row r="317">
      <c r="C317" s="31"/>
      <c r="D317" s="31"/>
      <c r="E317" s="47"/>
      <c r="F317" s="31"/>
      <c r="G317" s="31"/>
      <c r="H317" s="31"/>
    </row>
    <row r="318">
      <c r="C318" s="31"/>
      <c r="D318" s="31"/>
      <c r="E318" s="47"/>
      <c r="F318" s="31"/>
      <c r="G318" s="31"/>
      <c r="H318" s="31"/>
    </row>
    <row r="319">
      <c r="C319" s="31"/>
      <c r="D319" s="31"/>
      <c r="E319" s="47"/>
      <c r="F319" s="31"/>
      <c r="G319" s="31"/>
      <c r="H319" s="31"/>
    </row>
    <row r="320">
      <c r="C320" s="31"/>
      <c r="D320" s="31"/>
      <c r="E320" s="47"/>
      <c r="F320" s="31"/>
      <c r="G320" s="31"/>
      <c r="H320" s="31"/>
    </row>
    <row r="321">
      <c r="C321" s="31"/>
      <c r="D321" s="31"/>
      <c r="E321" s="47"/>
      <c r="F321" s="31"/>
      <c r="G321" s="31"/>
      <c r="H321" s="31"/>
    </row>
    <row r="322">
      <c r="C322" s="31"/>
      <c r="D322" s="31"/>
      <c r="E322" s="47"/>
      <c r="F322" s="31"/>
      <c r="G322" s="31"/>
      <c r="H322" s="31"/>
    </row>
    <row r="323">
      <c r="C323" s="31"/>
      <c r="D323" s="31"/>
      <c r="E323" s="47"/>
      <c r="F323" s="31"/>
      <c r="G323" s="31"/>
      <c r="H323" s="31"/>
    </row>
    <row r="324">
      <c r="C324" s="31"/>
      <c r="D324" s="31"/>
      <c r="E324" s="47"/>
      <c r="F324" s="31"/>
      <c r="G324" s="31"/>
      <c r="H324" s="31"/>
    </row>
    <row r="325">
      <c r="C325" s="31"/>
      <c r="D325" s="31"/>
      <c r="E325" s="47"/>
      <c r="F325" s="31"/>
      <c r="G325" s="31"/>
      <c r="H325" s="31"/>
    </row>
    <row r="326">
      <c r="C326" s="31"/>
      <c r="D326" s="31"/>
      <c r="E326" s="47"/>
      <c r="F326" s="31"/>
      <c r="G326" s="31"/>
      <c r="H326" s="31"/>
    </row>
    <row r="327">
      <c r="C327" s="31"/>
      <c r="D327" s="31"/>
      <c r="E327" s="47"/>
      <c r="F327" s="31"/>
      <c r="G327" s="31"/>
      <c r="H327" s="31"/>
    </row>
    <row r="328">
      <c r="C328" s="31"/>
      <c r="D328" s="31"/>
      <c r="E328" s="47"/>
      <c r="F328" s="31"/>
      <c r="G328" s="31"/>
      <c r="H328" s="31"/>
    </row>
    <row r="329">
      <c r="C329" s="31"/>
      <c r="D329" s="31"/>
      <c r="E329" s="47"/>
      <c r="F329" s="31"/>
      <c r="G329" s="31"/>
      <c r="H329" s="31"/>
    </row>
    <row r="330">
      <c r="C330" s="31"/>
      <c r="D330" s="31"/>
      <c r="E330" s="47"/>
      <c r="F330" s="31"/>
      <c r="G330" s="31"/>
      <c r="H330" s="31"/>
    </row>
    <row r="331">
      <c r="C331" s="31"/>
      <c r="D331" s="31"/>
      <c r="E331" s="47"/>
      <c r="F331" s="31"/>
      <c r="G331" s="31"/>
      <c r="H331" s="31"/>
    </row>
    <row r="332">
      <c r="C332" s="31"/>
      <c r="D332" s="31"/>
      <c r="E332" s="47"/>
      <c r="F332" s="31"/>
      <c r="G332" s="31"/>
      <c r="H332" s="31"/>
    </row>
    <row r="333">
      <c r="C333" s="31"/>
      <c r="D333" s="31"/>
      <c r="E333" s="47"/>
      <c r="F333" s="31"/>
      <c r="G333" s="31"/>
      <c r="H333" s="31"/>
    </row>
    <row r="334">
      <c r="C334" s="31"/>
      <c r="D334" s="31"/>
      <c r="E334" s="47"/>
      <c r="F334" s="31"/>
      <c r="G334" s="31"/>
      <c r="H334" s="31"/>
    </row>
    <row r="335">
      <c r="C335" s="31"/>
      <c r="D335" s="31"/>
      <c r="E335" s="47"/>
      <c r="F335" s="31"/>
      <c r="G335" s="31"/>
      <c r="H335" s="31"/>
    </row>
    <row r="336">
      <c r="C336" s="31"/>
      <c r="D336" s="31"/>
      <c r="E336" s="47"/>
      <c r="F336" s="31"/>
      <c r="G336" s="31"/>
      <c r="H336" s="31"/>
    </row>
    <row r="337">
      <c r="C337" s="31"/>
      <c r="D337" s="31"/>
      <c r="E337" s="47"/>
      <c r="F337" s="31"/>
      <c r="G337" s="31"/>
      <c r="H337" s="31"/>
    </row>
    <row r="338">
      <c r="C338" s="31"/>
      <c r="D338" s="31"/>
      <c r="E338" s="47"/>
      <c r="F338" s="31"/>
      <c r="G338" s="31"/>
      <c r="H338" s="31"/>
    </row>
    <row r="339">
      <c r="C339" s="31"/>
      <c r="D339" s="31"/>
      <c r="E339" s="47"/>
      <c r="F339" s="31"/>
      <c r="G339" s="31"/>
      <c r="H339" s="31"/>
    </row>
    <row r="340">
      <c r="C340" s="31"/>
      <c r="D340" s="31"/>
      <c r="E340" s="47"/>
      <c r="F340" s="31"/>
      <c r="G340" s="31"/>
      <c r="H340" s="31"/>
    </row>
    <row r="341">
      <c r="C341" s="31"/>
      <c r="D341" s="31"/>
      <c r="E341" s="47"/>
      <c r="F341" s="31"/>
      <c r="G341" s="31"/>
      <c r="H341" s="31"/>
    </row>
    <row r="342">
      <c r="C342" s="31"/>
      <c r="D342" s="31"/>
      <c r="E342" s="47"/>
      <c r="F342" s="31"/>
      <c r="G342" s="31"/>
      <c r="H342" s="31"/>
    </row>
    <row r="343">
      <c r="C343" s="31"/>
      <c r="D343" s="31"/>
      <c r="E343" s="47"/>
      <c r="F343" s="31"/>
      <c r="G343" s="31"/>
      <c r="H343" s="31"/>
    </row>
    <row r="344">
      <c r="C344" s="31"/>
      <c r="D344" s="31"/>
      <c r="E344" s="47"/>
      <c r="F344" s="31"/>
      <c r="G344" s="31"/>
      <c r="H344" s="31"/>
    </row>
    <row r="345">
      <c r="C345" s="31"/>
      <c r="D345" s="31"/>
      <c r="E345" s="47"/>
      <c r="F345" s="31"/>
      <c r="G345" s="31"/>
      <c r="H345" s="31"/>
    </row>
    <row r="346">
      <c r="C346" s="31"/>
      <c r="D346" s="31"/>
      <c r="E346" s="47"/>
      <c r="F346" s="31"/>
      <c r="G346" s="31"/>
      <c r="H346" s="31"/>
    </row>
    <row r="347">
      <c r="C347" s="31"/>
      <c r="D347" s="31"/>
      <c r="E347" s="47"/>
      <c r="F347" s="31"/>
      <c r="G347" s="31"/>
      <c r="H347" s="31"/>
    </row>
    <row r="348">
      <c r="C348" s="31"/>
      <c r="D348" s="31"/>
      <c r="E348" s="47"/>
      <c r="F348" s="31"/>
      <c r="G348" s="31"/>
      <c r="H348" s="31"/>
    </row>
    <row r="349">
      <c r="C349" s="31"/>
      <c r="D349" s="31"/>
      <c r="E349" s="47"/>
      <c r="F349" s="31"/>
      <c r="G349" s="31"/>
      <c r="H349" s="31"/>
    </row>
    <row r="350">
      <c r="C350" s="31"/>
      <c r="D350" s="31"/>
      <c r="E350" s="47"/>
      <c r="F350" s="31"/>
      <c r="G350" s="31"/>
      <c r="H350" s="31"/>
    </row>
    <row r="351">
      <c r="C351" s="31"/>
      <c r="D351" s="31"/>
      <c r="E351" s="47"/>
      <c r="F351" s="31"/>
      <c r="G351" s="31"/>
      <c r="H351" s="31"/>
    </row>
    <row r="352">
      <c r="C352" s="31"/>
      <c r="D352" s="31"/>
      <c r="E352" s="47"/>
      <c r="F352" s="31"/>
      <c r="G352" s="31"/>
      <c r="H352" s="31"/>
    </row>
    <row r="353">
      <c r="C353" s="31"/>
      <c r="D353" s="31"/>
      <c r="E353" s="47"/>
      <c r="F353" s="31"/>
      <c r="G353" s="31"/>
      <c r="H353" s="31"/>
    </row>
    <row r="354">
      <c r="C354" s="31"/>
      <c r="D354" s="31"/>
      <c r="E354" s="47"/>
      <c r="F354" s="31"/>
      <c r="G354" s="31"/>
      <c r="H354" s="31"/>
    </row>
    <row r="355">
      <c r="C355" s="31"/>
      <c r="D355" s="31"/>
      <c r="E355" s="47"/>
      <c r="F355" s="31"/>
      <c r="G355" s="31"/>
      <c r="H355" s="31"/>
    </row>
    <row r="356">
      <c r="C356" s="31"/>
      <c r="D356" s="31"/>
      <c r="E356" s="47"/>
      <c r="F356" s="31"/>
      <c r="G356" s="31"/>
      <c r="H356" s="31"/>
    </row>
    <row r="357">
      <c r="C357" s="31"/>
      <c r="D357" s="31"/>
      <c r="E357" s="47"/>
      <c r="F357" s="31"/>
      <c r="G357" s="31"/>
      <c r="H357" s="31"/>
    </row>
    <row r="358">
      <c r="C358" s="31"/>
      <c r="D358" s="31"/>
      <c r="E358" s="47"/>
      <c r="F358" s="31"/>
      <c r="G358" s="31"/>
      <c r="H358" s="31"/>
    </row>
    <row r="359">
      <c r="C359" s="31"/>
      <c r="D359" s="31"/>
      <c r="E359" s="47"/>
      <c r="F359" s="31"/>
      <c r="G359" s="31"/>
      <c r="H359" s="31"/>
    </row>
    <row r="360">
      <c r="C360" s="31"/>
      <c r="D360" s="31"/>
      <c r="E360" s="47"/>
      <c r="F360" s="31"/>
      <c r="G360" s="31"/>
      <c r="H360" s="31"/>
    </row>
    <row r="361">
      <c r="C361" s="31"/>
      <c r="D361" s="31"/>
      <c r="E361" s="47"/>
      <c r="F361" s="31"/>
      <c r="G361" s="31"/>
      <c r="H361" s="31"/>
    </row>
    <row r="362">
      <c r="C362" s="31"/>
      <c r="D362" s="31"/>
      <c r="E362" s="47"/>
      <c r="F362" s="31"/>
      <c r="G362" s="31"/>
      <c r="H362" s="31"/>
    </row>
    <row r="363">
      <c r="C363" s="31"/>
      <c r="D363" s="31"/>
      <c r="E363" s="47"/>
      <c r="F363" s="31"/>
      <c r="G363" s="31"/>
      <c r="H363" s="31"/>
    </row>
    <row r="364">
      <c r="C364" s="31"/>
      <c r="D364" s="31"/>
      <c r="E364" s="47"/>
      <c r="F364" s="31"/>
      <c r="G364" s="31"/>
      <c r="H364" s="31"/>
    </row>
    <row r="365">
      <c r="C365" s="31"/>
      <c r="D365" s="31"/>
      <c r="E365" s="47"/>
      <c r="F365" s="31"/>
      <c r="G365" s="31"/>
      <c r="H365" s="31"/>
    </row>
    <row r="366">
      <c r="C366" s="31"/>
      <c r="D366" s="31"/>
      <c r="E366" s="47"/>
      <c r="F366" s="31"/>
      <c r="G366" s="31"/>
      <c r="H366" s="31"/>
    </row>
    <row r="367">
      <c r="C367" s="31"/>
      <c r="D367" s="31"/>
      <c r="E367" s="47"/>
      <c r="F367" s="31"/>
      <c r="G367" s="31"/>
      <c r="H367" s="31"/>
    </row>
    <row r="368">
      <c r="C368" s="31"/>
      <c r="D368" s="31"/>
      <c r="E368" s="47"/>
      <c r="F368" s="31"/>
      <c r="G368" s="31"/>
      <c r="H368" s="31"/>
    </row>
    <row r="369">
      <c r="C369" s="31"/>
      <c r="D369" s="31"/>
      <c r="E369" s="47"/>
      <c r="F369" s="31"/>
      <c r="G369" s="31"/>
      <c r="H369" s="31"/>
    </row>
    <row r="370">
      <c r="C370" s="31"/>
      <c r="D370" s="31"/>
      <c r="E370" s="47"/>
      <c r="F370" s="31"/>
      <c r="G370" s="31"/>
      <c r="H370" s="31"/>
    </row>
    <row r="371">
      <c r="C371" s="31"/>
      <c r="D371" s="31"/>
      <c r="E371" s="47"/>
      <c r="F371" s="31"/>
      <c r="G371" s="31"/>
      <c r="H371" s="31"/>
    </row>
    <row r="372">
      <c r="C372" s="31"/>
      <c r="D372" s="31"/>
      <c r="E372" s="47"/>
      <c r="F372" s="31"/>
      <c r="G372" s="31"/>
      <c r="H372" s="31"/>
    </row>
    <row r="373">
      <c r="C373" s="31"/>
      <c r="D373" s="31"/>
      <c r="E373" s="47"/>
      <c r="F373" s="31"/>
      <c r="G373" s="31"/>
      <c r="H373" s="31"/>
    </row>
    <row r="374">
      <c r="C374" s="31"/>
      <c r="D374" s="31"/>
      <c r="E374" s="47"/>
      <c r="F374" s="31"/>
      <c r="G374" s="31"/>
      <c r="H374" s="31"/>
    </row>
    <row r="375">
      <c r="C375" s="31"/>
      <c r="D375" s="31"/>
      <c r="E375" s="47"/>
      <c r="F375" s="31"/>
      <c r="G375" s="31"/>
      <c r="H375" s="31"/>
    </row>
    <row r="376">
      <c r="C376" s="31"/>
      <c r="D376" s="31"/>
      <c r="E376" s="47"/>
      <c r="F376" s="31"/>
      <c r="G376" s="31"/>
      <c r="H376" s="31"/>
    </row>
    <row r="377">
      <c r="C377" s="31"/>
      <c r="D377" s="31"/>
      <c r="E377" s="47"/>
      <c r="F377" s="31"/>
      <c r="G377" s="31"/>
      <c r="H377" s="31"/>
    </row>
    <row r="378">
      <c r="C378" s="31"/>
      <c r="D378" s="31"/>
      <c r="E378" s="47"/>
      <c r="F378" s="31"/>
      <c r="G378" s="31"/>
      <c r="H378" s="31"/>
    </row>
    <row r="379">
      <c r="C379" s="31"/>
      <c r="D379" s="31"/>
      <c r="E379" s="47"/>
      <c r="F379" s="31"/>
      <c r="G379" s="31"/>
      <c r="H379" s="31"/>
    </row>
    <row r="380">
      <c r="C380" s="31"/>
      <c r="D380" s="31"/>
      <c r="E380" s="47"/>
      <c r="F380" s="31"/>
      <c r="G380" s="31"/>
      <c r="H380" s="31"/>
    </row>
    <row r="381">
      <c r="C381" s="31"/>
      <c r="D381" s="31"/>
      <c r="E381" s="47"/>
      <c r="F381" s="31"/>
      <c r="G381" s="31"/>
      <c r="H381" s="31"/>
    </row>
    <row r="382">
      <c r="C382" s="31"/>
      <c r="D382" s="31"/>
      <c r="E382" s="47"/>
      <c r="F382" s="31"/>
      <c r="G382" s="31"/>
      <c r="H382" s="31"/>
    </row>
    <row r="383">
      <c r="C383" s="31"/>
      <c r="D383" s="31"/>
      <c r="E383" s="47"/>
      <c r="F383" s="31"/>
      <c r="G383" s="31"/>
      <c r="H383" s="31"/>
    </row>
    <row r="384">
      <c r="C384" s="31"/>
      <c r="D384" s="31"/>
      <c r="E384" s="47"/>
      <c r="F384" s="31"/>
      <c r="G384" s="31"/>
      <c r="H384" s="31"/>
    </row>
    <row r="385">
      <c r="C385" s="31"/>
      <c r="D385" s="31"/>
      <c r="E385" s="47"/>
      <c r="F385" s="31"/>
      <c r="G385" s="31"/>
      <c r="H385" s="31"/>
    </row>
    <row r="386">
      <c r="C386" s="31"/>
      <c r="D386" s="31"/>
      <c r="E386" s="47"/>
      <c r="F386" s="31"/>
      <c r="G386" s="31"/>
      <c r="H386" s="31"/>
    </row>
    <row r="387">
      <c r="C387" s="31"/>
      <c r="D387" s="31"/>
      <c r="E387" s="47"/>
      <c r="F387" s="31"/>
      <c r="G387" s="31"/>
      <c r="H387" s="31"/>
    </row>
    <row r="388">
      <c r="C388" s="31"/>
      <c r="D388" s="31"/>
      <c r="E388" s="47"/>
      <c r="F388" s="31"/>
      <c r="G388" s="31"/>
      <c r="H388" s="31"/>
    </row>
    <row r="389">
      <c r="C389" s="31"/>
      <c r="D389" s="31"/>
      <c r="E389" s="47"/>
      <c r="F389" s="31"/>
      <c r="G389" s="31"/>
      <c r="H389" s="31"/>
    </row>
    <row r="390">
      <c r="C390" s="31"/>
      <c r="D390" s="31"/>
      <c r="E390" s="47"/>
      <c r="F390" s="31"/>
      <c r="G390" s="31"/>
      <c r="H390" s="31"/>
    </row>
    <row r="391">
      <c r="C391" s="31"/>
      <c r="D391" s="31"/>
      <c r="E391" s="47"/>
      <c r="F391" s="31"/>
      <c r="G391" s="31"/>
      <c r="H391" s="31"/>
    </row>
    <row r="392">
      <c r="C392" s="31"/>
      <c r="D392" s="31"/>
      <c r="E392" s="47"/>
      <c r="F392" s="31"/>
      <c r="G392" s="31"/>
      <c r="H392" s="31"/>
    </row>
    <row r="393">
      <c r="C393" s="31"/>
      <c r="D393" s="31"/>
      <c r="E393" s="47"/>
      <c r="F393" s="31"/>
      <c r="G393" s="31"/>
      <c r="H393" s="31"/>
    </row>
    <row r="394">
      <c r="C394" s="31"/>
      <c r="D394" s="31"/>
      <c r="E394" s="47"/>
      <c r="F394" s="31"/>
      <c r="G394" s="31"/>
      <c r="H394" s="31"/>
    </row>
    <row r="395">
      <c r="C395" s="31"/>
      <c r="D395" s="31"/>
      <c r="E395" s="47"/>
      <c r="F395" s="31"/>
      <c r="G395" s="31"/>
      <c r="H395" s="31"/>
    </row>
    <row r="396">
      <c r="C396" s="31"/>
      <c r="D396" s="31"/>
      <c r="E396" s="47"/>
      <c r="F396" s="31"/>
      <c r="G396" s="31"/>
      <c r="H396" s="31"/>
    </row>
    <row r="397">
      <c r="C397" s="31"/>
      <c r="D397" s="31"/>
      <c r="E397" s="47"/>
      <c r="F397" s="31"/>
      <c r="G397" s="31"/>
      <c r="H397" s="31"/>
    </row>
    <row r="398">
      <c r="C398" s="31"/>
      <c r="D398" s="31"/>
      <c r="E398" s="47"/>
      <c r="F398" s="31"/>
      <c r="G398" s="31"/>
      <c r="H398" s="31"/>
    </row>
    <row r="399">
      <c r="C399" s="31"/>
      <c r="D399" s="31"/>
      <c r="E399" s="47"/>
      <c r="F399" s="31"/>
      <c r="G399" s="31"/>
      <c r="H399" s="31"/>
    </row>
    <row r="400">
      <c r="C400" s="31"/>
      <c r="D400" s="31"/>
      <c r="E400" s="47"/>
      <c r="F400" s="31"/>
      <c r="G400" s="31"/>
      <c r="H400" s="31"/>
    </row>
    <row r="401">
      <c r="C401" s="31"/>
      <c r="D401" s="31"/>
      <c r="E401" s="47"/>
      <c r="F401" s="31"/>
      <c r="G401" s="31"/>
      <c r="H401" s="31"/>
    </row>
    <row r="402">
      <c r="C402" s="31"/>
      <c r="D402" s="31"/>
      <c r="E402" s="47"/>
      <c r="F402" s="31"/>
      <c r="G402" s="31"/>
      <c r="H402" s="31"/>
    </row>
    <row r="403">
      <c r="C403" s="31"/>
      <c r="D403" s="31"/>
      <c r="E403" s="47"/>
      <c r="F403" s="31"/>
      <c r="G403" s="31"/>
      <c r="H403" s="31"/>
    </row>
    <row r="404">
      <c r="C404" s="31"/>
      <c r="D404" s="31"/>
      <c r="E404" s="47"/>
      <c r="F404" s="31"/>
      <c r="G404" s="31"/>
      <c r="H404" s="31"/>
    </row>
    <row r="405">
      <c r="C405" s="31"/>
      <c r="D405" s="31"/>
      <c r="E405" s="47"/>
      <c r="F405" s="31"/>
      <c r="G405" s="31"/>
      <c r="H405" s="31"/>
    </row>
    <row r="406">
      <c r="C406" s="31"/>
      <c r="D406" s="31"/>
      <c r="E406" s="47"/>
      <c r="F406" s="31"/>
      <c r="G406" s="31"/>
      <c r="H406" s="31"/>
    </row>
    <row r="407">
      <c r="C407" s="31"/>
      <c r="D407" s="31"/>
      <c r="E407" s="47"/>
      <c r="F407" s="31"/>
      <c r="G407" s="31"/>
      <c r="H407" s="31"/>
    </row>
    <row r="408">
      <c r="C408" s="31"/>
      <c r="D408" s="31"/>
      <c r="E408" s="47"/>
      <c r="F408" s="31"/>
      <c r="G408" s="31"/>
      <c r="H408" s="31"/>
    </row>
    <row r="409">
      <c r="C409" s="31"/>
      <c r="D409" s="31"/>
      <c r="E409" s="47"/>
      <c r="F409" s="31"/>
      <c r="G409" s="31"/>
      <c r="H409" s="31"/>
    </row>
    <row r="410">
      <c r="C410" s="31"/>
      <c r="D410" s="31"/>
      <c r="E410" s="47"/>
      <c r="F410" s="31"/>
      <c r="G410" s="31"/>
      <c r="H410" s="31"/>
    </row>
    <row r="411">
      <c r="C411" s="31"/>
      <c r="D411" s="31"/>
      <c r="E411" s="47"/>
      <c r="F411" s="31"/>
      <c r="G411" s="31"/>
      <c r="H411" s="31"/>
    </row>
    <row r="412">
      <c r="C412" s="31"/>
      <c r="D412" s="31"/>
      <c r="E412" s="47"/>
      <c r="F412" s="31"/>
      <c r="G412" s="31"/>
      <c r="H412" s="31"/>
    </row>
    <row r="413">
      <c r="C413" s="31"/>
      <c r="D413" s="31"/>
      <c r="E413" s="47"/>
      <c r="F413" s="31"/>
      <c r="G413" s="31"/>
      <c r="H413" s="31"/>
    </row>
    <row r="414">
      <c r="C414" s="31"/>
      <c r="D414" s="31"/>
      <c r="E414" s="47"/>
      <c r="F414" s="31"/>
      <c r="G414" s="31"/>
      <c r="H414" s="31"/>
    </row>
    <row r="415">
      <c r="C415" s="31"/>
      <c r="D415" s="31"/>
      <c r="E415" s="47"/>
      <c r="F415" s="31"/>
      <c r="G415" s="31"/>
      <c r="H415" s="31"/>
    </row>
    <row r="416">
      <c r="C416" s="31"/>
      <c r="D416" s="31"/>
      <c r="E416" s="47"/>
      <c r="F416" s="31"/>
      <c r="G416" s="31"/>
      <c r="H416" s="31"/>
    </row>
    <row r="417">
      <c r="C417" s="31"/>
      <c r="D417" s="31"/>
      <c r="E417" s="47"/>
      <c r="F417" s="31"/>
      <c r="G417" s="31"/>
      <c r="H417" s="31"/>
    </row>
    <row r="418">
      <c r="C418" s="31"/>
      <c r="D418" s="31"/>
      <c r="E418" s="47"/>
      <c r="F418" s="31"/>
      <c r="G418" s="31"/>
      <c r="H418" s="31"/>
    </row>
    <row r="419">
      <c r="C419" s="31"/>
      <c r="D419" s="31"/>
      <c r="E419" s="47"/>
      <c r="F419" s="31"/>
      <c r="G419" s="31"/>
      <c r="H419" s="31"/>
    </row>
    <row r="420">
      <c r="C420" s="31"/>
      <c r="D420" s="31"/>
      <c r="E420" s="47"/>
      <c r="F420" s="31"/>
      <c r="G420" s="31"/>
      <c r="H420" s="31"/>
    </row>
    <row r="421">
      <c r="C421" s="31"/>
      <c r="D421" s="31"/>
      <c r="E421" s="47"/>
      <c r="F421" s="31"/>
      <c r="G421" s="31"/>
      <c r="H421" s="31"/>
    </row>
    <row r="422">
      <c r="C422" s="31"/>
      <c r="D422" s="31"/>
      <c r="E422" s="47"/>
      <c r="F422" s="31"/>
      <c r="G422" s="31"/>
      <c r="H422" s="31"/>
    </row>
    <row r="423">
      <c r="C423" s="31"/>
      <c r="D423" s="31"/>
      <c r="E423" s="47"/>
      <c r="F423" s="31"/>
      <c r="G423" s="31"/>
      <c r="H423" s="31"/>
    </row>
    <row r="424">
      <c r="C424" s="31"/>
      <c r="D424" s="31"/>
      <c r="E424" s="47"/>
      <c r="F424" s="31"/>
      <c r="G424" s="31"/>
      <c r="H424" s="31"/>
    </row>
    <row r="425">
      <c r="C425" s="31"/>
      <c r="D425" s="31"/>
      <c r="E425" s="47"/>
      <c r="F425" s="31"/>
      <c r="G425" s="31"/>
      <c r="H425" s="31"/>
    </row>
    <row r="426">
      <c r="C426" s="31"/>
      <c r="D426" s="31"/>
      <c r="E426" s="47"/>
      <c r="F426" s="31"/>
      <c r="G426" s="31"/>
      <c r="H426" s="31"/>
    </row>
    <row r="427">
      <c r="C427" s="31"/>
      <c r="D427" s="31"/>
      <c r="E427" s="47"/>
      <c r="F427" s="31"/>
      <c r="G427" s="31"/>
      <c r="H427" s="31"/>
    </row>
    <row r="428">
      <c r="C428" s="31"/>
      <c r="D428" s="31"/>
      <c r="E428" s="47"/>
      <c r="F428" s="31"/>
      <c r="G428" s="31"/>
      <c r="H428" s="31"/>
    </row>
    <row r="429">
      <c r="C429" s="31"/>
      <c r="D429" s="31"/>
      <c r="E429" s="47"/>
      <c r="F429" s="31"/>
      <c r="G429" s="31"/>
      <c r="H429" s="31"/>
    </row>
    <row r="430">
      <c r="C430" s="31"/>
      <c r="D430" s="31"/>
      <c r="E430" s="47"/>
      <c r="F430" s="31"/>
      <c r="G430" s="31"/>
      <c r="H430" s="31"/>
    </row>
    <row r="431">
      <c r="C431" s="31"/>
      <c r="D431" s="31"/>
      <c r="E431" s="47"/>
      <c r="F431" s="31"/>
      <c r="G431" s="31"/>
      <c r="H431" s="31"/>
    </row>
    <row r="432">
      <c r="C432" s="31"/>
      <c r="D432" s="31"/>
      <c r="E432" s="47"/>
      <c r="F432" s="31"/>
      <c r="G432" s="31"/>
      <c r="H432" s="31"/>
    </row>
    <row r="433">
      <c r="C433" s="31"/>
      <c r="D433" s="31"/>
      <c r="E433" s="47"/>
      <c r="F433" s="31"/>
      <c r="G433" s="31"/>
      <c r="H433" s="31"/>
    </row>
    <row r="434">
      <c r="C434" s="31"/>
      <c r="D434" s="31"/>
      <c r="E434" s="47"/>
      <c r="F434" s="31"/>
      <c r="G434" s="31"/>
      <c r="H434" s="31"/>
    </row>
    <row r="435">
      <c r="C435" s="31"/>
      <c r="D435" s="31"/>
      <c r="E435" s="47"/>
      <c r="F435" s="31"/>
      <c r="G435" s="31"/>
      <c r="H435" s="31"/>
    </row>
    <row r="436">
      <c r="C436" s="31"/>
      <c r="D436" s="31"/>
      <c r="E436" s="47"/>
      <c r="F436" s="31"/>
      <c r="G436" s="31"/>
      <c r="H436" s="31"/>
    </row>
    <row r="437">
      <c r="C437" s="31"/>
      <c r="D437" s="31"/>
      <c r="E437" s="47"/>
      <c r="F437" s="31"/>
      <c r="G437" s="31"/>
      <c r="H437" s="31"/>
    </row>
    <row r="438">
      <c r="C438" s="31"/>
      <c r="D438" s="31"/>
      <c r="E438" s="47"/>
      <c r="F438" s="31"/>
      <c r="G438" s="31"/>
      <c r="H438" s="31"/>
    </row>
    <row r="439">
      <c r="C439" s="31"/>
      <c r="D439" s="31"/>
      <c r="E439" s="47"/>
      <c r="F439" s="31"/>
      <c r="G439" s="31"/>
      <c r="H439" s="31"/>
    </row>
    <row r="440">
      <c r="C440" s="31"/>
      <c r="D440" s="31"/>
      <c r="E440" s="47"/>
      <c r="F440" s="31"/>
      <c r="G440" s="31"/>
      <c r="H440" s="31"/>
    </row>
    <row r="441">
      <c r="C441" s="31"/>
      <c r="D441" s="31"/>
      <c r="E441" s="47"/>
      <c r="F441" s="31"/>
      <c r="G441" s="31"/>
      <c r="H441" s="31"/>
    </row>
    <row r="442">
      <c r="C442" s="31"/>
      <c r="D442" s="31"/>
      <c r="E442" s="47"/>
      <c r="F442" s="31"/>
      <c r="G442" s="31"/>
      <c r="H442" s="31"/>
    </row>
    <row r="443">
      <c r="C443" s="31"/>
      <c r="D443" s="31"/>
      <c r="E443" s="47"/>
      <c r="F443" s="31"/>
      <c r="G443" s="31"/>
      <c r="H443" s="31"/>
    </row>
    <row r="444">
      <c r="C444" s="31"/>
      <c r="D444" s="31"/>
      <c r="E444" s="47"/>
      <c r="F444" s="31"/>
      <c r="G444" s="31"/>
      <c r="H444" s="31"/>
    </row>
    <row r="445">
      <c r="C445" s="31"/>
      <c r="D445" s="31"/>
      <c r="E445" s="47"/>
      <c r="F445" s="31"/>
      <c r="G445" s="31"/>
      <c r="H445" s="31"/>
    </row>
    <row r="446">
      <c r="C446" s="31"/>
      <c r="D446" s="31"/>
      <c r="E446" s="47"/>
      <c r="F446" s="31"/>
      <c r="G446" s="31"/>
      <c r="H446" s="31"/>
    </row>
    <row r="447">
      <c r="C447" s="31"/>
      <c r="D447" s="31"/>
      <c r="E447" s="47"/>
      <c r="F447" s="31"/>
      <c r="G447" s="31"/>
      <c r="H447" s="31"/>
    </row>
    <row r="448">
      <c r="C448" s="31"/>
      <c r="D448" s="31"/>
      <c r="E448" s="47"/>
      <c r="F448" s="31"/>
      <c r="G448" s="31"/>
      <c r="H448" s="31"/>
    </row>
    <row r="449">
      <c r="C449" s="31"/>
      <c r="D449" s="31"/>
      <c r="E449" s="47"/>
      <c r="F449" s="31"/>
      <c r="G449" s="31"/>
      <c r="H449" s="31"/>
    </row>
    <row r="450">
      <c r="C450" s="31"/>
      <c r="D450" s="31"/>
      <c r="E450" s="47"/>
      <c r="F450" s="31"/>
      <c r="G450" s="31"/>
      <c r="H450" s="31"/>
    </row>
    <row r="451">
      <c r="C451" s="31"/>
      <c r="D451" s="31"/>
      <c r="E451" s="47"/>
      <c r="F451" s="31"/>
      <c r="G451" s="31"/>
      <c r="H451" s="31"/>
    </row>
    <row r="452">
      <c r="C452" s="31"/>
      <c r="D452" s="31"/>
      <c r="E452" s="47"/>
      <c r="F452" s="31"/>
      <c r="G452" s="31"/>
      <c r="H452" s="31"/>
    </row>
    <row r="453">
      <c r="C453" s="31"/>
      <c r="D453" s="31"/>
      <c r="E453" s="47"/>
      <c r="F453" s="31"/>
      <c r="G453" s="31"/>
      <c r="H453" s="31"/>
    </row>
    <row r="454">
      <c r="C454" s="31"/>
      <c r="D454" s="31"/>
      <c r="E454" s="47"/>
      <c r="F454" s="31"/>
      <c r="G454" s="31"/>
      <c r="H454" s="31"/>
    </row>
    <row r="455">
      <c r="C455" s="31"/>
      <c r="D455" s="31"/>
      <c r="E455" s="47"/>
      <c r="F455" s="31"/>
      <c r="G455" s="31"/>
      <c r="H455" s="31"/>
    </row>
    <row r="456">
      <c r="C456" s="31"/>
      <c r="D456" s="31"/>
      <c r="E456" s="47"/>
      <c r="F456" s="31"/>
      <c r="G456" s="31"/>
      <c r="H456" s="31"/>
    </row>
    <row r="457">
      <c r="C457" s="31"/>
      <c r="D457" s="31"/>
      <c r="E457" s="47"/>
      <c r="F457" s="31"/>
      <c r="G457" s="31"/>
      <c r="H457" s="31"/>
    </row>
    <row r="458">
      <c r="C458" s="31"/>
      <c r="D458" s="31"/>
      <c r="E458" s="47"/>
      <c r="F458" s="31"/>
      <c r="G458" s="31"/>
      <c r="H458" s="31"/>
    </row>
    <row r="459">
      <c r="C459" s="31"/>
      <c r="D459" s="31"/>
      <c r="E459" s="47"/>
      <c r="F459" s="31"/>
      <c r="G459" s="31"/>
      <c r="H459" s="31"/>
    </row>
    <row r="460">
      <c r="C460" s="31"/>
      <c r="D460" s="31"/>
      <c r="E460" s="47"/>
      <c r="F460" s="31"/>
      <c r="G460" s="31"/>
      <c r="H460" s="31"/>
    </row>
    <row r="461">
      <c r="C461" s="31"/>
      <c r="D461" s="31"/>
      <c r="E461" s="47"/>
      <c r="F461" s="31"/>
      <c r="G461" s="31"/>
      <c r="H461" s="31"/>
    </row>
    <row r="462">
      <c r="C462" s="31"/>
      <c r="D462" s="31"/>
      <c r="E462" s="47"/>
      <c r="F462" s="31"/>
      <c r="G462" s="31"/>
      <c r="H462" s="31"/>
    </row>
    <row r="463">
      <c r="C463" s="31"/>
      <c r="D463" s="31"/>
      <c r="E463" s="47"/>
      <c r="F463" s="31"/>
      <c r="G463" s="31"/>
      <c r="H463" s="31"/>
    </row>
    <row r="464">
      <c r="C464" s="31"/>
      <c r="D464" s="31"/>
      <c r="E464" s="47"/>
      <c r="F464" s="31"/>
      <c r="G464" s="31"/>
      <c r="H464" s="31"/>
    </row>
    <row r="465">
      <c r="C465" s="31"/>
      <c r="D465" s="31"/>
      <c r="E465" s="47"/>
      <c r="F465" s="31"/>
      <c r="G465" s="31"/>
      <c r="H465" s="31"/>
    </row>
    <row r="466">
      <c r="C466" s="31"/>
      <c r="D466" s="31"/>
      <c r="E466" s="47"/>
      <c r="F466" s="31"/>
      <c r="G466" s="31"/>
      <c r="H466" s="31"/>
    </row>
    <row r="467">
      <c r="C467" s="31"/>
      <c r="D467" s="31"/>
      <c r="E467" s="47"/>
      <c r="F467" s="31"/>
      <c r="G467" s="31"/>
      <c r="H467" s="31"/>
    </row>
    <row r="468">
      <c r="C468" s="31"/>
      <c r="D468" s="31"/>
      <c r="E468" s="47"/>
      <c r="F468" s="31"/>
      <c r="G468" s="31"/>
      <c r="H468" s="31"/>
    </row>
    <row r="469">
      <c r="C469" s="31"/>
      <c r="D469" s="31"/>
      <c r="E469" s="47"/>
      <c r="F469" s="31"/>
      <c r="G469" s="31"/>
      <c r="H469" s="31"/>
    </row>
    <row r="470">
      <c r="C470" s="31"/>
      <c r="D470" s="31"/>
      <c r="E470" s="47"/>
      <c r="F470" s="31"/>
      <c r="G470" s="31"/>
      <c r="H470" s="31"/>
    </row>
    <row r="471">
      <c r="C471" s="31"/>
      <c r="D471" s="31"/>
      <c r="E471" s="47"/>
      <c r="F471" s="31"/>
      <c r="G471" s="31"/>
      <c r="H471" s="31"/>
    </row>
    <row r="472">
      <c r="C472" s="31"/>
      <c r="D472" s="31"/>
      <c r="E472" s="47"/>
      <c r="F472" s="31"/>
      <c r="G472" s="31"/>
      <c r="H472" s="31"/>
    </row>
    <row r="473">
      <c r="C473" s="31"/>
      <c r="D473" s="31"/>
      <c r="E473" s="47"/>
      <c r="F473" s="31"/>
      <c r="G473" s="31"/>
      <c r="H473" s="31"/>
    </row>
    <row r="474">
      <c r="C474" s="31"/>
      <c r="D474" s="31"/>
      <c r="E474" s="47"/>
      <c r="F474" s="31"/>
      <c r="G474" s="31"/>
      <c r="H474" s="31"/>
    </row>
    <row r="475">
      <c r="C475" s="31"/>
      <c r="D475" s="31"/>
      <c r="E475" s="47"/>
      <c r="F475" s="31"/>
      <c r="G475" s="31"/>
      <c r="H475" s="31"/>
    </row>
    <row r="476">
      <c r="C476" s="31"/>
      <c r="D476" s="31"/>
      <c r="E476" s="47"/>
      <c r="F476" s="31"/>
      <c r="G476" s="31"/>
      <c r="H476" s="31"/>
    </row>
    <row r="477">
      <c r="C477" s="31"/>
      <c r="D477" s="31"/>
      <c r="E477" s="47"/>
      <c r="F477" s="31"/>
      <c r="G477" s="31"/>
      <c r="H477" s="31"/>
    </row>
    <row r="478">
      <c r="C478" s="31"/>
      <c r="D478" s="31"/>
      <c r="E478" s="47"/>
      <c r="F478" s="31"/>
      <c r="G478" s="31"/>
      <c r="H478" s="31"/>
    </row>
    <row r="479">
      <c r="C479" s="31"/>
      <c r="D479" s="31"/>
      <c r="E479" s="47"/>
      <c r="F479" s="31"/>
      <c r="G479" s="31"/>
      <c r="H479" s="31"/>
    </row>
    <row r="480">
      <c r="C480" s="31"/>
      <c r="D480" s="31"/>
      <c r="E480" s="47"/>
      <c r="F480" s="31"/>
      <c r="G480" s="31"/>
      <c r="H480" s="31"/>
    </row>
    <row r="481">
      <c r="C481" s="31"/>
      <c r="D481" s="31"/>
      <c r="E481" s="47"/>
      <c r="F481" s="31"/>
      <c r="G481" s="31"/>
      <c r="H481" s="31"/>
    </row>
    <row r="482">
      <c r="C482" s="31"/>
      <c r="D482" s="31"/>
      <c r="E482" s="47"/>
      <c r="F482" s="31"/>
      <c r="G482" s="31"/>
      <c r="H482" s="31"/>
    </row>
    <row r="483">
      <c r="C483" s="31"/>
      <c r="D483" s="31"/>
      <c r="E483" s="47"/>
      <c r="F483" s="31"/>
      <c r="G483" s="31"/>
      <c r="H483" s="31"/>
    </row>
    <row r="484">
      <c r="C484" s="31"/>
      <c r="D484" s="31"/>
      <c r="E484" s="47"/>
      <c r="F484" s="31"/>
      <c r="G484" s="31"/>
      <c r="H484" s="31"/>
    </row>
    <row r="485">
      <c r="C485" s="31"/>
      <c r="D485" s="31"/>
      <c r="E485" s="47"/>
      <c r="F485" s="31"/>
      <c r="G485" s="31"/>
      <c r="H485" s="31"/>
    </row>
    <row r="486">
      <c r="C486" s="31"/>
      <c r="D486" s="31"/>
      <c r="E486" s="47"/>
      <c r="F486" s="31"/>
      <c r="G486" s="31"/>
      <c r="H486" s="31"/>
    </row>
    <row r="487">
      <c r="C487" s="31"/>
      <c r="D487" s="31"/>
      <c r="E487" s="47"/>
      <c r="F487" s="31"/>
      <c r="G487" s="31"/>
      <c r="H487" s="31"/>
    </row>
    <row r="488">
      <c r="C488" s="31"/>
      <c r="D488" s="31"/>
      <c r="E488" s="47"/>
      <c r="F488" s="31"/>
      <c r="G488" s="31"/>
      <c r="H488" s="31"/>
    </row>
    <row r="489">
      <c r="C489" s="31"/>
      <c r="D489" s="31"/>
      <c r="E489" s="47"/>
      <c r="F489" s="31"/>
      <c r="G489" s="31"/>
      <c r="H489" s="31"/>
    </row>
    <row r="490">
      <c r="C490" s="31"/>
      <c r="D490" s="31"/>
      <c r="E490" s="47"/>
      <c r="F490" s="31"/>
      <c r="G490" s="31"/>
      <c r="H490" s="31"/>
    </row>
    <row r="491">
      <c r="C491" s="31"/>
      <c r="D491" s="31"/>
      <c r="E491" s="47"/>
      <c r="F491" s="31"/>
      <c r="G491" s="31"/>
      <c r="H491" s="31"/>
    </row>
    <row r="492">
      <c r="C492" s="31"/>
      <c r="D492" s="31"/>
      <c r="E492" s="47"/>
      <c r="F492" s="31"/>
      <c r="G492" s="31"/>
      <c r="H492" s="31"/>
    </row>
    <row r="493">
      <c r="C493" s="31"/>
      <c r="D493" s="31"/>
      <c r="E493" s="47"/>
      <c r="F493" s="31"/>
      <c r="G493" s="31"/>
      <c r="H493" s="31"/>
    </row>
    <row r="494">
      <c r="C494" s="31"/>
      <c r="D494" s="31"/>
      <c r="E494" s="47"/>
      <c r="F494" s="31"/>
      <c r="G494" s="31"/>
      <c r="H494" s="31"/>
    </row>
    <row r="495">
      <c r="C495" s="31"/>
      <c r="D495" s="31"/>
      <c r="E495" s="47"/>
      <c r="F495" s="31"/>
      <c r="G495" s="31"/>
      <c r="H495" s="31"/>
    </row>
    <row r="496">
      <c r="C496" s="31"/>
      <c r="D496" s="31"/>
      <c r="E496" s="47"/>
      <c r="F496" s="31"/>
      <c r="G496" s="31"/>
      <c r="H496" s="31"/>
    </row>
    <row r="497">
      <c r="C497" s="31"/>
      <c r="D497" s="31"/>
      <c r="E497" s="47"/>
      <c r="F497" s="31"/>
      <c r="G497" s="31"/>
      <c r="H497" s="31"/>
    </row>
    <row r="498">
      <c r="C498" s="31"/>
      <c r="D498" s="31"/>
      <c r="E498" s="47"/>
      <c r="F498" s="31"/>
      <c r="G498" s="31"/>
      <c r="H498" s="31"/>
    </row>
    <row r="499">
      <c r="C499" s="31"/>
      <c r="D499" s="31"/>
      <c r="E499" s="47"/>
      <c r="F499" s="31"/>
      <c r="G499" s="31"/>
      <c r="H499" s="31"/>
    </row>
    <row r="500">
      <c r="C500" s="31"/>
      <c r="D500" s="31"/>
      <c r="E500" s="47"/>
      <c r="F500" s="31"/>
      <c r="G500" s="31"/>
      <c r="H500" s="31"/>
    </row>
    <row r="501">
      <c r="C501" s="31"/>
      <c r="D501" s="31"/>
      <c r="E501" s="47"/>
      <c r="F501" s="31"/>
      <c r="G501" s="31"/>
      <c r="H501" s="31"/>
    </row>
    <row r="502">
      <c r="C502" s="31"/>
      <c r="D502" s="31"/>
      <c r="E502" s="47"/>
      <c r="F502" s="31"/>
      <c r="G502" s="31"/>
      <c r="H502" s="31"/>
    </row>
    <row r="503">
      <c r="C503" s="31"/>
      <c r="D503" s="31"/>
      <c r="E503" s="47"/>
      <c r="F503" s="31"/>
      <c r="G503" s="31"/>
      <c r="H503" s="31"/>
    </row>
    <row r="504">
      <c r="C504" s="31"/>
      <c r="D504" s="31"/>
      <c r="E504" s="47"/>
      <c r="F504" s="31"/>
      <c r="G504" s="31"/>
      <c r="H504" s="31"/>
    </row>
    <row r="505">
      <c r="C505" s="31"/>
      <c r="D505" s="31"/>
      <c r="E505" s="47"/>
      <c r="F505" s="31"/>
      <c r="G505" s="31"/>
      <c r="H505" s="31"/>
    </row>
    <row r="506">
      <c r="C506" s="31"/>
      <c r="D506" s="31"/>
      <c r="E506" s="47"/>
      <c r="F506" s="31"/>
      <c r="G506" s="31"/>
      <c r="H506" s="31"/>
    </row>
    <row r="507">
      <c r="C507" s="31"/>
      <c r="D507" s="31"/>
      <c r="E507" s="47"/>
      <c r="F507" s="31"/>
      <c r="G507" s="31"/>
      <c r="H507" s="31"/>
    </row>
    <row r="508">
      <c r="C508" s="31"/>
      <c r="D508" s="31"/>
      <c r="E508" s="47"/>
      <c r="F508" s="31"/>
      <c r="G508" s="31"/>
      <c r="H508" s="31"/>
    </row>
    <row r="509">
      <c r="C509" s="31"/>
      <c r="D509" s="31"/>
      <c r="E509" s="47"/>
      <c r="F509" s="31"/>
      <c r="G509" s="31"/>
      <c r="H509" s="31"/>
    </row>
    <row r="510">
      <c r="C510" s="31"/>
      <c r="D510" s="31"/>
      <c r="E510" s="47"/>
      <c r="F510" s="31"/>
      <c r="G510" s="31"/>
      <c r="H510" s="31"/>
    </row>
    <row r="511">
      <c r="C511" s="31"/>
      <c r="D511" s="31"/>
      <c r="E511" s="47"/>
      <c r="F511" s="31"/>
      <c r="G511" s="31"/>
      <c r="H511" s="31"/>
    </row>
    <row r="512">
      <c r="C512" s="31"/>
      <c r="D512" s="31"/>
      <c r="E512" s="47"/>
      <c r="F512" s="31"/>
      <c r="G512" s="31"/>
      <c r="H512" s="31"/>
    </row>
    <row r="513">
      <c r="C513" s="31"/>
      <c r="D513" s="31"/>
      <c r="E513" s="47"/>
      <c r="F513" s="31"/>
      <c r="G513" s="31"/>
      <c r="H513" s="31"/>
    </row>
    <row r="514">
      <c r="C514" s="31"/>
      <c r="D514" s="31"/>
      <c r="E514" s="47"/>
      <c r="F514" s="31"/>
      <c r="G514" s="31"/>
      <c r="H514" s="31"/>
    </row>
    <row r="515">
      <c r="C515" s="31"/>
      <c r="D515" s="31"/>
      <c r="E515" s="47"/>
      <c r="F515" s="31"/>
      <c r="G515" s="31"/>
      <c r="H515" s="31"/>
    </row>
    <row r="516">
      <c r="C516" s="31"/>
      <c r="D516" s="31"/>
      <c r="E516" s="47"/>
      <c r="F516" s="31"/>
      <c r="G516" s="31"/>
      <c r="H516" s="31"/>
    </row>
    <row r="517">
      <c r="C517" s="31"/>
      <c r="D517" s="31"/>
      <c r="E517" s="47"/>
      <c r="F517" s="31"/>
      <c r="G517" s="31"/>
      <c r="H517" s="31"/>
    </row>
    <row r="518">
      <c r="C518" s="31"/>
      <c r="D518" s="31"/>
      <c r="E518" s="47"/>
      <c r="F518" s="31"/>
      <c r="G518" s="31"/>
      <c r="H518" s="31"/>
    </row>
    <row r="519">
      <c r="C519" s="31"/>
      <c r="D519" s="31"/>
      <c r="E519" s="47"/>
      <c r="F519" s="31"/>
      <c r="G519" s="31"/>
      <c r="H519" s="31"/>
    </row>
    <row r="520">
      <c r="C520" s="31"/>
      <c r="D520" s="31"/>
      <c r="E520" s="47"/>
      <c r="F520" s="31"/>
      <c r="G520" s="31"/>
      <c r="H520" s="31"/>
    </row>
    <row r="521">
      <c r="C521" s="31"/>
      <c r="D521" s="31"/>
      <c r="E521" s="47"/>
      <c r="F521" s="31"/>
      <c r="G521" s="31"/>
      <c r="H521" s="31"/>
    </row>
    <row r="522">
      <c r="C522" s="31"/>
      <c r="D522" s="31"/>
      <c r="E522" s="47"/>
      <c r="F522" s="31"/>
      <c r="G522" s="31"/>
      <c r="H522" s="31"/>
    </row>
    <row r="523">
      <c r="C523" s="31"/>
      <c r="D523" s="31"/>
      <c r="E523" s="47"/>
      <c r="F523" s="31"/>
      <c r="G523" s="31"/>
      <c r="H523" s="31"/>
    </row>
    <row r="524">
      <c r="C524" s="31"/>
      <c r="D524" s="31"/>
      <c r="E524" s="47"/>
      <c r="F524" s="31"/>
      <c r="G524" s="31"/>
      <c r="H524" s="31"/>
    </row>
    <row r="525">
      <c r="C525" s="31"/>
      <c r="D525" s="31"/>
      <c r="E525" s="47"/>
      <c r="F525" s="31"/>
      <c r="G525" s="31"/>
      <c r="H525" s="31"/>
    </row>
    <row r="526">
      <c r="C526" s="31"/>
      <c r="D526" s="31"/>
      <c r="E526" s="47"/>
      <c r="F526" s="31"/>
      <c r="G526" s="31"/>
      <c r="H526" s="31"/>
    </row>
    <row r="527">
      <c r="C527" s="31"/>
      <c r="D527" s="31"/>
      <c r="E527" s="47"/>
      <c r="F527" s="31"/>
      <c r="G527" s="31"/>
      <c r="H527" s="31"/>
    </row>
    <row r="528">
      <c r="C528" s="31"/>
      <c r="D528" s="31"/>
      <c r="E528" s="47"/>
      <c r="F528" s="31"/>
      <c r="G528" s="31"/>
      <c r="H528" s="31"/>
    </row>
    <row r="529">
      <c r="C529" s="31"/>
      <c r="D529" s="31"/>
      <c r="E529" s="47"/>
      <c r="F529" s="31"/>
      <c r="G529" s="31"/>
      <c r="H529" s="31"/>
    </row>
    <row r="530">
      <c r="C530" s="31"/>
      <c r="D530" s="31"/>
      <c r="E530" s="47"/>
      <c r="F530" s="31"/>
      <c r="G530" s="31"/>
      <c r="H530" s="31"/>
    </row>
    <row r="531">
      <c r="C531" s="31"/>
      <c r="D531" s="31"/>
      <c r="E531" s="47"/>
      <c r="F531" s="31"/>
      <c r="G531" s="31"/>
      <c r="H531" s="31"/>
    </row>
    <row r="532">
      <c r="C532" s="31"/>
      <c r="D532" s="31"/>
      <c r="E532" s="47"/>
      <c r="F532" s="31"/>
      <c r="G532" s="31"/>
      <c r="H532" s="31"/>
    </row>
    <row r="533">
      <c r="C533" s="31"/>
      <c r="D533" s="31"/>
      <c r="E533" s="47"/>
      <c r="F533" s="31"/>
      <c r="G533" s="31"/>
      <c r="H533" s="31"/>
    </row>
    <row r="534">
      <c r="C534" s="31"/>
      <c r="D534" s="31"/>
      <c r="E534" s="47"/>
      <c r="F534" s="31"/>
      <c r="G534" s="31"/>
      <c r="H534" s="31"/>
    </row>
    <row r="535">
      <c r="C535" s="31"/>
      <c r="D535" s="31"/>
      <c r="E535" s="47"/>
      <c r="F535" s="31"/>
      <c r="G535" s="31"/>
      <c r="H535" s="31"/>
    </row>
    <row r="536">
      <c r="C536" s="31"/>
      <c r="D536" s="31"/>
      <c r="E536" s="47"/>
      <c r="F536" s="31"/>
      <c r="G536" s="31"/>
      <c r="H536" s="31"/>
    </row>
    <row r="537">
      <c r="C537" s="31"/>
      <c r="D537" s="31"/>
      <c r="E537" s="47"/>
      <c r="F537" s="31"/>
      <c r="G537" s="31"/>
      <c r="H537" s="31"/>
    </row>
    <row r="538">
      <c r="C538" s="31"/>
      <c r="D538" s="31"/>
      <c r="E538" s="47"/>
      <c r="F538" s="31"/>
      <c r="G538" s="31"/>
      <c r="H538" s="31"/>
    </row>
    <row r="539">
      <c r="C539" s="31"/>
      <c r="D539" s="31"/>
      <c r="E539" s="47"/>
      <c r="F539" s="31"/>
      <c r="G539" s="31"/>
      <c r="H539" s="31"/>
    </row>
    <row r="540">
      <c r="C540" s="31"/>
      <c r="D540" s="31"/>
      <c r="E540" s="47"/>
      <c r="F540" s="31"/>
      <c r="G540" s="31"/>
      <c r="H540" s="31"/>
    </row>
    <row r="541">
      <c r="C541" s="31"/>
      <c r="D541" s="31"/>
      <c r="E541" s="47"/>
      <c r="F541" s="31"/>
      <c r="G541" s="31"/>
      <c r="H541" s="31"/>
    </row>
    <row r="542">
      <c r="C542" s="31"/>
      <c r="D542" s="31"/>
      <c r="E542" s="47"/>
      <c r="F542" s="31"/>
      <c r="G542" s="31"/>
      <c r="H542" s="31"/>
    </row>
    <row r="543">
      <c r="C543" s="31"/>
      <c r="D543" s="31"/>
      <c r="E543" s="47"/>
      <c r="F543" s="31"/>
      <c r="G543" s="31"/>
      <c r="H543" s="31"/>
    </row>
    <row r="544">
      <c r="C544" s="31"/>
      <c r="D544" s="31"/>
      <c r="E544" s="47"/>
      <c r="F544" s="31"/>
      <c r="G544" s="31"/>
      <c r="H544" s="31"/>
    </row>
    <row r="545">
      <c r="C545" s="31"/>
      <c r="D545" s="31"/>
      <c r="E545" s="47"/>
      <c r="F545" s="31"/>
      <c r="G545" s="31"/>
      <c r="H545" s="31"/>
    </row>
    <row r="546">
      <c r="C546" s="31"/>
      <c r="D546" s="31"/>
      <c r="E546" s="47"/>
      <c r="F546" s="31"/>
      <c r="G546" s="31"/>
      <c r="H546" s="31"/>
    </row>
    <row r="547">
      <c r="C547" s="31"/>
      <c r="D547" s="31"/>
      <c r="E547" s="47"/>
      <c r="F547" s="31"/>
      <c r="G547" s="31"/>
      <c r="H547" s="31"/>
    </row>
    <row r="548">
      <c r="C548" s="31"/>
      <c r="D548" s="31"/>
      <c r="E548" s="47"/>
      <c r="F548" s="31"/>
      <c r="G548" s="31"/>
      <c r="H548" s="31"/>
    </row>
    <row r="549">
      <c r="C549" s="31"/>
      <c r="D549" s="31"/>
      <c r="E549" s="47"/>
      <c r="F549" s="31"/>
      <c r="G549" s="31"/>
      <c r="H549" s="31"/>
    </row>
    <row r="550">
      <c r="C550" s="31"/>
      <c r="D550" s="31"/>
      <c r="E550" s="47"/>
      <c r="F550" s="31"/>
      <c r="G550" s="31"/>
      <c r="H550" s="31"/>
    </row>
    <row r="551">
      <c r="C551" s="31"/>
      <c r="D551" s="31"/>
      <c r="E551" s="47"/>
      <c r="F551" s="31"/>
      <c r="G551" s="31"/>
      <c r="H551" s="31"/>
    </row>
    <row r="552">
      <c r="C552" s="31"/>
      <c r="D552" s="31"/>
      <c r="E552" s="47"/>
      <c r="F552" s="31"/>
      <c r="G552" s="31"/>
      <c r="H552" s="31"/>
    </row>
    <row r="553">
      <c r="C553" s="31"/>
      <c r="D553" s="31"/>
      <c r="E553" s="47"/>
      <c r="F553" s="31"/>
      <c r="G553" s="31"/>
      <c r="H553" s="31"/>
    </row>
    <row r="554">
      <c r="C554" s="31"/>
      <c r="D554" s="31"/>
      <c r="E554" s="47"/>
      <c r="F554" s="31"/>
      <c r="G554" s="31"/>
      <c r="H554" s="31"/>
    </row>
    <row r="555">
      <c r="C555" s="31"/>
      <c r="D555" s="31"/>
      <c r="E555" s="47"/>
      <c r="F555" s="31"/>
      <c r="G555" s="31"/>
      <c r="H555" s="31"/>
    </row>
    <row r="556">
      <c r="C556" s="31"/>
      <c r="D556" s="31"/>
      <c r="E556" s="47"/>
      <c r="F556" s="31"/>
      <c r="G556" s="31"/>
      <c r="H556" s="31"/>
    </row>
    <row r="557">
      <c r="C557" s="31"/>
      <c r="D557" s="31"/>
      <c r="E557" s="47"/>
      <c r="F557" s="31"/>
      <c r="G557" s="31"/>
      <c r="H557" s="31"/>
    </row>
    <row r="558">
      <c r="C558" s="31"/>
      <c r="D558" s="31"/>
      <c r="E558" s="47"/>
      <c r="F558" s="31"/>
      <c r="G558" s="31"/>
      <c r="H558" s="31"/>
    </row>
    <row r="559">
      <c r="C559" s="31"/>
      <c r="D559" s="31"/>
      <c r="E559" s="47"/>
      <c r="F559" s="31"/>
      <c r="G559" s="31"/>
      <c r="H559" s="31"/>
    </row>
    <row r="560">
      <c r="C560" s="31"/>
      <c r="D560" s="31"/>
      <c r="E560" s="47"/>
      <c r="F560" s="31"/>
      <c r="G560" s="31"/>
      <c r="H560" s="31"/>
    </row>
    <row r="561">
      <c r="C561" s="31"/>
      <c r="D561" s="31"/>
      <c r="E561" s="47"/>
      <c r="F561" s="31"/>
      <c r="G561" s="31"/>
      <c r="H561" s="31"/>
    </row>
    <row r="562">
      <c r="C562" s="31"/>
      <c r="D562" s="31"/>
      <c r="E562" s="47"/>
      <c r="F562" s="31"/>
      <c r="G562" s="31"/>
      <c r="H562" s="31"/>
    </row>
    <row r="563">
      <c r="C563" s="31"/>
      <c r="D563" s="31"/>
      <c r="E563" s="47"/>
      <c r="F563" s="31"/>
      <c r="G563" s="31"/>
      <c r="H563" s="31"/>
    </row>
    <row r="564">
      <c r="C564" s="31"/>
      <c r="D564" s="31"/>
      <c r="E564" s="47"/>
      <c r="F564" s="31"/>
      <c r="G564" s="31"/>
      <c r="H564" s="31"/>
    </row>
    <row r="565">
      <c r="C565" s="31"/>
      <c r="D565" s="31"/>
      <c r="E565" s="47"/>
      <c r="F565" s="31"/>
      <c r="G565" s="31"/>
      <c r="H565" s="31"/>
    </row>
    <row r="566">
      <c r="C566" s="31"/>
      <c r="D566" s="31"/>
      <c r="E566" s="47"/>
      <c r="F566" s="31"/>
      <c r="G566" s="31"/>
      <c r="H566" s="31"/>
    </row>
    <row r="567">
      <c r="C567" s="31"/>
      <c r="D567" s="31"/>
      <c r="E567" s="47"/>
      <c r="F567" s="31"/>
      <c r="G567" s="31"/>
      <c r="H567" s="31"/>
    </row>
    <row r="568">
      <c r="C568" s="31"/>
      <c r="D568" s="31"/>
      <c r="E568" s="47"/>
      <c r="F568" s="31"/>
      <c r="G568" s="31"/>
      <c r="H568" s="31"/>
    </row>
    <row r="569">
      <c r="C569" s="31"/>
      <c r="D569" s="31"/>
      <c r="E569" s="47"/>
      <c r="F569" s="31"/>
      <c r="G569" s="31"/>
      <c r="H569" s="31"/>
    </row>
    <row r="570">
      <c r="C570" s="31"/>
      <c r="D570" s="31"/>
      <c r="E570" s="47"/>
      <c r="F570" s="31"/>
      <c r="G570" s="31"/>
      <c r="H570" s="31"/>
    </row>
    <row r="571">
      <c r="C571" s="31"/>
      <c r="D571" s="31"/>
      <c r="E571" s="47"/>
      <c r="F571" s="31"/>
      <c r="G571" s="31"/>
      <c r="H571" s="31"/>
    </row>
    <row r="572">
      <c r="C572" s="31"/>
      <c r="D572" s="31"/>
      <c r="E572" s="47"/>
      <c r="F572" s="31"/>
      <c r="G572" s="31"/>
      <c r="H572" s="31"/>
    </row>
    <row r="573">
      <c r="C573" s="31"/>
      <c r="D573" s="31"/>
      <c r="E573" s="47"/>
      <c r="F573" s="31"/>
      <c r="G573" s="31"/>
      <c r="H573" s="31"/>
    </row>
    <row r="574">
      <c r="C574" s="31"/>
      <c r="D574" s="31"/>
      <c r="E574" s="47"/>
      <c r="F574" s="31"/>
      <c r="G574" s="31"/>
      <c r="H574" s="31"/>
    </row>
    <row r="575">
      <c r="C575" s="31"/>
      <c r="D575" s="31"/>
      <c r="E575" s="47"/>
      <c r="F575" s="31"/>
      <c r="G575" s="31"/>
      <c r="H575" s="31"/>
    </row>
    <row r="576">
      <c r="C576" s="31"/>
      <c r="D576" s="31"/>
      <c r="E576" s="47"/>
      <c r="F576" s="31"/>
      <c r="G576" s="31"/>
      <c r="H576" s="31"/>
    </row>
    <row r="577">
      <c r="C577" s="31"/>
      <c r="D577" s="31"/>
      <c r="E577" s="47"/>
      <c r="F577" s="31"/>
      <c r="G577" s="31"/>
      <c r="H577" s="31"/>
    </row>
    <row r="578">
      <c r="C578" s="31"/>
      <c r="D578" s="31"/>
      <c r="E578" s="47"/>
      <c r="F578" s="31"/>
      <c r="G578" s="31"/>
      <c r="H578" s="31"/>
    </row>
    <row r="579">
      <c r="C579" s="31"/>
      <c r="D579" s="31"/>
      <c r="E579" s="47"/>
      <c r="F579" s="31"/>
      <c r="G579" s="31"/>
      <c r="H579" s="31"/>
    </row>
    <row r="580">
      <c r="C580" s="31"/>
      <c r="D580" s="31"/>
      <c r="E580" s="47"/>
      <c r="F580" s="31"/>
      <c r="G580" s="31"/>
      <c r="H580" s="31"/>
    </row>
    <row r="581">
      <c r="C581" s="31"/>
      <c r="D581" s="31"/>
      <c r="E581" s="47"/>
      <c r="F581" s="31"/>
      <c r="G581" s="31"/>
      <c r="H581" s="31"/>
    </row>
    <row r="582">
      <c r="C582" s="31"/>
      <c r="D582" s="31"/>
      <c r="E582" s="47"/>
      <c r="F582" s="31"/>
      <c r="G582" s="31"/>
      <c r="H582" s="31"/>
    </row>
    <row r="583">
      <c r="C583" s="31"/>
      <c r="D583" s="31"/>
      <c r="E583" s="47"/>
      <c r="F583" s="31"/>
      <c r="G583" s="31"/>
      <c r="H583" s="31"/>
    </row>
    <row r="584">
      <c r="C584" s="31"/>
      <c r="D584" s="31"/>
      <c r="E584" s="47"/>
      <c r="F584" s="31"/>
      <c r="G584" s="31"/>
      <c r="H584" s="31"/>
    </row>
    <row r="585">
      <c r="C585" s="31"/>
      <c r="D585" s="31"/>
      <c r="E585" s="47"/>
      <c r="F585" s="31"/>
      <c r="G585" s="31"/>
      <c r="H585" s="31"/>
    </row>
    <row r="586">
      <c r="C586" s="31"/>
      <c r="D586" s="31"/>
      <c r="E586" s="47"/>
      <c r="F586" s="31"/>
      <c r="G586" s="31"/>
      <c r="H586" s="31"/>
    </row>
    <row r="587">
      <c r="C587" s="31"/>
      <c r="D587" s="31"/>
      <c r="E587" s="47"/>
      <c r="F587" s="31"/>
      <c r="G587" s="31"/>
      <c r="H587" s="31"/>
    </row>
    <row r="588">
      <c r="C588" s="31"/>
      <c r="D588" s="31"/>
      <c r="E588" s="47"/>
      <c r="F588" s="31"/>
      <c r="G588" s="31"/>
      <c r="H588" s="31"/>
    </row>
    <row r="589">
      <c r="C589" s="31"/>
      <c r="D589" s="31"/>
      <c r="E589" s="47"/>
      <c r="F589" s="31"/>
      <c r="G589" s="31"/>
      <c r="H589" s="31"/>
    </row>
    <row r="590">
      <c r="C590" s="31"/>
      <c r="D590" s="31"/>
      <c r="E590" s="47"/>
      <c r="F590" s="31"/>
      <c r="G590" s="31"/>
      <c r="H590" s="31"/>
    </row>
    <row r="591">
      <c r="C591" s="31"/>
      <c r="D591" s="31"/>
      <c r="E591" s="47"/>
      <c r="F591" s="31"/>
      <c r="G591" s="31"/>
      <c r="H591" s="31"/>
    </row>
    <row r="592">
      <c r="C592" s="31"/>
      <c r="D592" s="31"/>
      <c r="E592" s="47"/>
      <c r="F592" s="31"/>
      <c r="G592" s="31"/>
      <c r="H592" s="31"/>
    </row>
    <row r="593">
      <c r="C593" s="31"/>
      <c r="D593" s="31"/>
      <c r="E593" s="47"/>
      <c r="F593" s="31"/>
      <c r="G593" s="31"/>
      <c r="H593" s="31"/>
    </row>
    <row r="594">
      <c r="C594" s="31"/>
      <c r="D594" s="31"/>
      <c r="E594" s="47"/>
      <c r="F594" s="31"/>
      <c r="G594" s="31"/>
      <c r="H594" s="31"/>
    </row>
    <row r="595">
      <c r="C595" s="31"/>
      <c r="D595" s="31"/>
      <c r="E595" s="47"/>
      <c r="F595" s="31"/>
      <c r="G595" s="31"/>
      <c r="H595" s="31"/>
    </row>
    <row r="596">
      <c r="C596" s="31"/>
      <c r="D596" s="31"/>
      <c r="E596" s="47"/>
      <c r="F596" s="31"/>
      <c r="G596" s="31"/>
      <c r="H596" s="31"/>
    </row>
    <row r="597">
      <c r="C597" s="31"/>
      <c r="D597" s="31"/>
      <c r="E597" s="47"/>
      <c r="F597" s="31"/>
      <c r="G597" s="31"/>
      <c r="H597" s="31"/>
    </row>
    <row r="598">
      <c r="C598" s="31"/>
      <c r="D598" s="31"/>
      <c r="E598" s="47"/>
      <c r="F598" s="31"/>
      <c r="G598" s="31"/>
      <c r="H598" s="31"/>
    </row>
    <row r="599">
      <c r="C599" s="31"/>
      <c r="D599" s="31"/>
      <c r="E599" s="47"/>
      <c r="F599" s="31"/>
      <c r="G599" s="31"/>
      <c r="H599" s="31"/>
    </row>
    <row r="600">
      <c r="C600" s="31"/>
      <c r="D600" s="31"/>
      <c r="E600" s="47"/>
      <c r="F600" s="31"/>
      <c r="G600" s="31"/>
      <c r="H600" s="31"/>
    </row>
    <row r="601">
      <c r="C601" s="31"/>
      <c r="D601" s="31"/>
      <c r="E601" s="47"/>
      <c r="F601" s="31"/>
      <c r="G601" s="31"/>
      <c r="H601" s="31"/>
    </row>
    <row r="602">
      <c r="C602" s="31"/>
      <c r="D602" s="31"/>
      <c r="E602" s="47"/>
      <c r="F602" s="31"/>
      <c r="G602" s="31"/>
      <c r="H602" s="31"/>
    </row>
    <row r="603">
      <c r="C603" s="31"/>
      <c r="D603" s="31"/>
      <c r="E603" s="47"/>
      <c r="F603" s="31"/>
      <c r="G603" s="31"/>
      <c r="H603" s="31"/>
    </row>
    <row r="604">
      <c r="C604" s="31"/>
      <c r="D604" s="31"/>
      <c r="E604" s="47"/>
      <c r="F604" s="31"/>
      <c r="G604" s="31"/>
      <c r="H604" s="31"/>
    </row>
    <row r="605">
      <c r="C605" s="31"/>
      <c r="D605" s="31"/>
      <c r="E605" s="47"/>
      <c r="F605" s="31"/>
      <c r="G605" s="31"/>
      <c r="H605" s="31"/>
    </row>
    <row r="606">
      <c r="C606" s="31"/>
      <c r="D606" s="31"/>
      <c r="E606" s="47"/>
      <c r="F606" s="31"/>
      <c r="G606" s="31"/>
      <c r="H606" s="31"/>
    </row>
    <row r="607">
      <c r="C607" s="31"/>
      <c r="D607" s="31"/>
      <c r="E607" s="47"/>
      <c r="F607" s="31"/>
      <c r="G607" s="31"/>
      <c r="H607" s="31"/>
    </row>
    <row r="608">
      <c r="C608" s="31"/>
      <c r="D608" s="31"/>
      <c r="E608" s="47"/>
      <c r="F608" s="31"/>
      <c r="G608" s="31"/>
      <c r="H608" s="31"/>
    </row>
    <row r="609">
      <c r="C609" s="31"/>
      <c r="D609" s="31"/>
      <c r="E609" s="47"/>
      <c r="F609" s="31"/>
      <c r="G609" s="31"/>
      <c r="H609" s="31"/>
    </row>
    <row r="610">
      <c r="C610" s="31"/>
      <c r="D610" s="31"/>
      <c r="E610" s="47"/>
      <c r="F610" s="31"/>
      <c r="G610" s="31"/>
      <c r="H610" s="31"/>
    </row>
    <row r="611">
      <c r="C611" s="31"/>
      <c r="D611" s="31"/>
      <c r="E611" s="47"/>
      <c r="F611" s="31"/>
      <c r="G611" s="31"/>
      <c r="H611" s="31"/>
    </row>
    <row r="612">
      <c r="C612" s="31"/>
      <c r="D612" s="31"/>
      <c r="E612" s="47"/>
      <c r="F612" s="31"/>
      <c r="G612" s="31"/>
      <c r="H612" s="31"/>
    </row>
    <row r="613">
      <c r="C613" s="31"/>
      <c r="D613" s="31"/>
      <c r="E613" s="47"/>
      <c r="F613" s="31"/>
      <c r="G613" s="31"/>
      <c r="H613" s="31"/>
    </row>
    <row r="614">
      <c r="C614" s="31"/>
      <c r="D614" s="31"/>
      <c r="E614" s="47"/>
      <c r="F614" s="31"/>
      <c r="G614" s="31"/>
      <c r="H614" s="31"/>
    </row>
    <row r="615">
      <c r="C615" s="31"/>
      <c r="D615" s="31"/>
      <c r="E615" s="47"/>
      <c r="F615" s="31"/>
      <c r="G615" s="31"/>
      <c r="H615" s="31"/>
    </row>
    <row r="616">
      <c r="C616" s="31"/>
      <c r="D616" s="31"/>
      <c r="E616" s="47"/>
      <c r="F616" s="31"/>
      <c r="G616" s="31"/>
      <c r="H616" s="31"/>
    </row>
    <row r="617">
      <c r="C617" s="31"/>
      <c r="D617" s="31"/>
      <c r="E617" s="47"/>
      <c r="F617" s="31"/>
      <c r="G617" s="31"/>
      <c r="H617" s="31"/>
    </row>
    <row r="618">
      <c r="C618" s="31"/>
      <c r="D618" s="31"/>
      <c r="E618" s="47"/>
      <c r="F618" s="31"/>
      <c r="G618" s="31"/>
      <c r="H618" s="31"/>
    </row>
    <row r="619">
      <c r="C619" s="31"/>
      <c r="D619" s="31"/>
      <c r="E619" s="47"/>
      <c r="F619" s="31"/>
      <c r="G619" s="31"/>
      <c r="H619" s="31"/>
    </row>
    <row r="620">
      <c r="C620" s="31"/>
      <c r="D620" s="31"/>
      <c r="E620" s="47"/>
      <c r="F620" s="31"/>
      <c r="G620" s="31"/>
      <c r="H620" s="31"/>
    </row>
    <row r="621">
      <c r="C621" s="31"/>
      <c r="D621" s="31"/>
      <c r="E621" s="47"/>
      <c r="F621" s="31"/>
      <c r="G621" s="31"/>
      <c r="H621" s="31"/>
    </row>
    <row r="622">
      <c r="C622" s="31"/>
      <c r="D622" s="31"/>
      <c r="E622" s="47"/>
      <c r="F622" s="31"/>
      <c r="G622" s="31"/>
      <c r="H622" s="31"/>
    </row>
    <row r="623">
      <c r="C623" s="31"/>
      <c r="D623" s="31"/>
      <c r="E623" s="47"/>
      <c r="F623" s="31"/>
      <c r="G623" s="31"/>
      <c r="H623" s="31"/>
    </row>
    <row r="624">
      <c r="C624" s="31"/>
      <c r="D624" s="31"/>
      <c r="E624" s="47"/>
      <c r="F624" s="31"/>
      <c r="G624" s="31"/>
      <c r="H624" s="31"/>
    </row>
    <row r="625">
      <c r="C625" s="31"/>
      <c r="D625" s="31"/>
      <c r="E625" s="47"/>
      <c r="F625" s="31"/>
      <c r="G625" s="31"/>
      <c r="H625" s="31"/>
    </row>
    <row r="626">
      <c r="C626" s="31"/>
      <c r="D626" s="31"/>
      <c r="E626" s="47"/>
      <c r="F626" s="31"/>
      <c r="G626" s="31"/>
      <c r="H626" s="31"/>
    </row>
    <row r="627">
      <c r="C627" s="31"/>
      <c r="D627" s="31"/>
      <c r="E627" s="47"/>
      <c r="F627" s="31"/>
      <c r="G627" s="31"/>
      <c r="H627" s="31"/>
    </row>
    <row r="628">
      <c r="C628" s="31"/>
      <c r="D628" s="31"/>
      <c r="E628" s="47"/>
      <c r="F628" s="31"/>
      <c r="G628" s="31"/>
      <c r="H628" s="31"/>
    </row>
    <row r="629">
      <c r="C629" s="31"/>
      <c r="D629" s="31"/>
      <c r="E629" s="47"/>
      <c r="F629" s="31"/>
      <c r="G629" s="31"/>
      <c r="H629" s="31"/>
    </row>
    <row r="630">
      <c r="C630" s="31"/>
      <c r="D630" s="31"/>
      <c r="E630" s="47"/>
      <c r="F630" s="31"/>
      <c r="G630" s="31"/>
      <c r="H630" s="31"/>
    </row>
    <row r="631">
      <c r="C631" s="31"/>
      <c r="D631" s="31"/>
      <c r="E631" s="47"/>
      <c r="F631" s="31"/>
      <c r="G631" s="31"/>
      <c r="H631" s="31"/>
    </row>
    <row r="632">
      <c r="C632" s="31"/>
      <c r="D632" s="31"/>
      <c r="E632" s="47"/>
      <c r="F632" s="31"/>
      <c r="G632" s="31"/>
      <c r="H632" s="31"/>
    </row>
    <row r="633">
      <c r="C633" s="31"/>
      <c r="D633" s="31"/>
      <c r="E633" s="47"/>
      <c r="F633" s="31"/>
      <c r="G633" s="31"/>
      <c r="H633" s="31"/>
    </row>
    <row r="634">
      <c r="C634" s="31"/>
      <c r="D634" s="31"/>
      <c r="E634" s="47"/>
      <c r="F634" s="31"/>
      <c r="G634" s="31"/>
      <c r="H634" s="31"/>
    </row>
    <row r="635">
      <c r="C635" s="31"/>
      <c r="D635" s="31"/>
      <c r="E635" s="47"/>
      <c r="F635" s="31"/>
      <c r="G635" s="31"/>
      <c r="H635" s="31"/>
    </row>
    <row r="636">
      <c r="C636" s="31"/>
      <c r="D636" s="31"/>
      <c r="E636" s="47"/>
      <c r="F636" s="31"/>
      <c r="G636" s="31"/>
      <c r="H636" s="31"/>
    </row>
    <row r="637">
      <c r="C637" s="31"/>
      <c r="D637" s="31"/>
      <c r="E637" s="47"/>
      <c r="F637" s="31"/>
      <c r="G637" s="31"/>
      <c r="H637" s="31"/>
    </row>
    <row r="638">
      <c r="C638" s="31"/>
      <c r="D638" s="31"/>
      <c r="E638" s="47"/>
      <c r="F638" s="31"/>
      <c r="G638" s="31"/>
      <c r="H638" s="31"/>
    </row>
    <row r="639">
      <c r="C639" s="31"/>
      <c r="D639" s="31"/>
      <c r="E639" s="47"/>
      <c r="F639" s="31"/>
      <c r="G639" s="31"/>
      <c r="H639" s="31"/>
    </row>
    <row r="640">
      <c r="C640" s="31"/>
      <c r="D640" s="31"/>
      <c r="E640" s="47"/>
      <c r="F640" s="31"/>
      <c r="G640" s="31"/>
      <c r="H640" s="31"/>
    </row>
    <row r="641">
      <c r="C641" s="31"/>
      <c r="D641" s="31"/>
      <c r="E641" s="47"/>
      <c r="F641" s="31"/>
      <c r="G641" s="31"/>
      <c r="H641" s="31"/>
    </row>
    <row r="642">
      <c r="C642" s="31"/>
      <c r="D642" s="31"/>
      <c r="E642" s="47"/>
      <c r="F642" s="31"/>
      <c r="G642" s="31"/>
      <c r="H642" s="31"/>
    </row>
    <row r="643">
      <c r="C643" s="31"/>
      <c r="D643" s="31"/>
      <c r="E643" s="47"/>
      <c r="F643" s="31"/>
      <c r="G643" s="31"/>
      <c r="H643" s="31"/>
    </row>
    <row r="644">
      <c r="C644" s="31"/>
      <c r="D644" s="31"/>
      <c r="E644" s="47"/>
      <c r="F644" s="31"/>
      <c r="G644" s="31"/>
      <c r="H644" s="31"/>
    </row>
    <row r="645">
      <c r="C645" s="31"/>
      <c r="D645" s="31"/>
      <c r="E645" s="47"/>
      <c r="F645" s="31"/>
      <c r="G645" s="31"/>
      <c r="H645" s="31"/>
    </row>
    <row r="646">
      <c r="C646" s="31"/>
      <c r="D646" s="31"/>
      <c r="E646" s="47"/>
      <c r="F646" s="31"/>
      <c r="G646" s="31"/>
      <c r="H646" s="31"/>
    </row>
    <row r="647">
      <c r="C647" s="31"/>
      <c r="D647" s="31"/>
      <c r="E647" s="47"/>
      <c r="F647" s="31"/>
      <c r="G647" s="31"/>
      <c r="H647" s="31"/>
    </row>
    <row r="648">
      <c r="C648" s="31"/>
      <c r="D648" s="31"/>
      <c r="E648" s="47"/>
      <c r="F648" s="31"/>
      <c r="G648" s="31"/>
      <c r="H648" s="31"/>
    </row>
    <row r="649">
      <c r="C649" s="31"/>
      <c r="D649" s="31"/>
      <c r="E649" s="47"/>
      <c r="F649" s="31"/>
      <c r="G649" s="31"/>
      <c r="H649" s="31"/>
    </row>
    <row r="650">
      <c r="C650" s="31"/>
      <c r="D650" s="31"/>
      <c r="E650" s="47"/>
      <c r="F650" s="31"/>
      <c r="G650" s="31"/>
      <c r="H650" s="31"/>
    </row>
    <row r="651">
      <c r="C651" s="31"/>
      <c r="D651" s="31"/>
      <c r="E651" s="47"/>
      <c r="F651" s="31"/>
      <c r="G651" s="31"/>
      <c r="H651" s="31"/>
    </row>
    <row r="652">
      <c r="C652" s="31"/>
      <c r="D652" s="31"/>
      <c r="E652" s="47"/>
      <c r="F652" s="31"/>
      <c r="G652" s="31"/>
      <c r="H652" s="31"/>
    </row>
    <row r="653">
      <c r="C653" s="31"/>
      <c r="D653" s="31"/>
      <c r="E653" s="47"/>
      <c r="F653" s="31"/>
      <c r="G653" s="31"/>
      <c r="H653" s="31"/>
    </row>
    <row r="654">
      <c r="C654" s="31"/>
      <c r="D654" s="31"/>
      <c r="E654" s="47"/>
      <c r="F654" s="31"/>
      <c r="G654" s="31"/>
      <c r="H654" s="31"/>
    </row>
    <row r="655">
      <c r="C655" s="31"/>
      <c r="D655" s="31"/>
      <c r="E655" s="47"/>
      <c r="F655" s="31"/>
      <c r="G655" s="31"/>
      <c r="H655" s="31"/>
    </row>
    <row r="656">
      <c r="C656" s="31"/>
      <c r="D656" s="31"/>
      <c r="E656" s="47"/>
      <c r="F656" s="31"/>
      <c r="G656" s="31"/>
      <c r="H656" s="31"/>
    </row>
    <row r="657">
      <c r="C657" s="31"/>
      <c r="D657" s="31"/>
      <c r="E657" s="47"/>
      <c r="F657" s="31"/>
      <c r="G657" s="31"/>
      <c r="H657" s="31"/>
    </row>
    <row r="658">
      <c r="C658" s="31"/>
      <c r="D658" s="31"/>
      <c r="E658" s="47"/>
      <c r="F658" s="31"/>
      <c r="G658" s="31"/>
      <c r="H658" s="31"/>
    </row>
    <row r="659">
      <c r="C659" s="31"/>
      <c r="D659" s="31"/>
      <c r="E659" s="47"/>
      <c r="F659" s="31"/>
      <c r="G659" s="31"/>
      <c r="H659" s="31"/>
    </row>
    <row r="660">
      <c r="C660" s="31"/>
      <c r="D660" s="31"/>
      <c r="E660" s="47"/>
      <c r="F660" s="31"/>
      <c r="G660" s="31"/>
      <c r="H660" s="31"/>
    </row>
    <row r="661">
      <c r="C661" s="31"/>
      <c r="D661" s="31"/>
      <c r="E661" s="47"/>
      <c r="F661" s="31"/>
      <c r="G661" s="31"/>
      <c r="H661" s="31"/>
    </row>
    <row r="662">
      <c r="C662" s="31"/>
      <c r="D662" s="31"/>
      <c r="E662" s="47"/>
      <c r="F662" s="31"/>
      <c r="G662" s="31"/>
      <c r="H662" s="31"/>
    </row>
    <row r="663">
      <c r="C663" s="31"/>
      <c r="D663" s="31"/>
      <c r="E663" s="47"/>
      <c r="F663" s="31"/>
      <c r="G663" s="31"/>
      <c r="H663" s="31"/>
    </row>
    <row r="664">
      <c r="C664" s="31"/>
      <c r="D664" s="31"/>
      <c r="E664" s="47"/>
      <c r="F664" s="31"/>
      <c r="G664" s="31"/>
      <c r="H664" s="31"/>
    </row>
    <row r="665">
      <c r="C665" s="31"/>
      <c r="D665" s="31"/>
      <c r="E665" s="47"/>
      <c r="F665" s="31"/>
      <c r="G665" s="31"/>
      <c r="H665" s="31"/>
    </row>
    <row r="666">
      <c r="C666" s="31"/>
      <c r="D666" s="31"/>
      <c r="E666" s="47"/>
      <c r="F666" s="31"/>
      <c r="G666" s="31"/>
      <c r="H666" s="31"/>
    </row>
    <row r="667">
      <c r="C667" s="31"/>
      <c r="D667" s="31"/>
      <c r="E667" s="47"/>
      <c r="F667" s="31"/>
      <c r="G667" s="31"/>
      <c r="H667" s="31"/>
    </row>
    <row r="668">
      <c r="C668" s="31"/>
      <c r="D668" s="31"/>
      <c r="E668" s="47"/>
      <c r="F668" s="31"/>
      <c r="G668" s="31"/>
      <c r="H668" s="31"/>
    </row>
    <row r="669">
      <c r="C669" s="31"/>
      <c r="D669" s="31"/>
      <c r="E669" s="47"/>
      <c r="F669" s="31"/>
      <c r="G669" s="31"/>
      <c r="H669" s="31"/>
    </row>
    <row r="670">
      <c r="C670" s="31"/>
      <c r="D670" s="31"/>
      <c r="E670" s="47"/>
      <c r="F670" s="31"/>
      <c r="G670" s="31"/>
      <c r="H670" s="31"/>
    </row>
    <row r="671">
      <c r="C671" s="31"/>
      <c r="D671" s="31"/>
      <c r="E671" s="47"/>
      <c r="F671" s="31"/>
      <c r="G671" s="31"/>
      <c r="H671" s="31"/>
    </row>
    <row r="672">
      <c r="C672" s="31"/>
      <c r="D672" s="31"/>
      <c r="E672" s="47"/>
      <c r="F672" s="31"/>
      <c r="G672" s="31"/>
      <c r="H672" s="31"/>
    </row>
    <row r="673">
      <c r="C673" s="31"/>
      <c r="D673" s="31"/>
      <c r="E673" s="47"/>
      <c r="F673" s="31"/>
      <c r="G673" s="31"/>
      <c r="H673" s="31"/>
    </row>
    <row r="674">
      <c r="C674" s="31"/>
      <c r="D674" s="31"/>
      <c r="E674" s="47"/>
      <c r="F674" s="31"/>
      <c r="G674" s="31"/>
      <c r="H674" s="31"/>
    </row>
    <row r="675">
      <c r="C675" s="31"/>
      <c r="D675" s="31"/>
      <c r="E675" s="47"/>
      <c r="F675" s="31"/>
      <c r="G675" s="31"/>
      <c r="H675" s="31"/>
    </row>
    <row r="676">
      <c r="C676" s="31"/>
      <c r="D676" s="31"/>
      <c r="E676" s="47"/>
      <c r="F676" s="31"/>
      <c r="G676" s="31"/>
      <c r="H676" s="31"/>
    </row>
    <row r="677">
      <c r="C677" s="31"/>
      <c r="D677" s="31"/>
      <c r="E677" s="47"/>
      <c r="F677" s="31"/>
      <c r="G677" s="31"/>
      <c r="H677" s="31"/>
    </row>
    <row r="678">
      <c r="C678" s="31"/>
      <c r="D678" s="31"/>
      <c r="E678" s="47"/>
      <c r="F678" s="31"/>
      <c r="G678" s="31"/>
      <c r="H678" s="31"/>
    </row>
    <row r="679">
      <c r="C679" s="31"/>
      <c r="D679" s="31"/>
      <c r="E679" s="47"/>
      <c r="F679" s="31"/>
      <c r="G679" s="31"/>
      <c r="H679" s="31"/>
    </row>
    <row r="680">
      <c r="C680" s="31"/>
      <c r="D680" s="31"/>
      <c r="E680" s="47"/>
      <c r="F680" s="31"/>
      <c r="G680" s="31"/>
      <c r="H680" s="31"/>
    </row>
    <row r="681">
      <c r="C681" s="31"/>
      <c r="D681" s="31"/>
      <c r="E681" s="47"/>
      <c r="F681" s="31"/>
      <c r="G681" s="31"/>
      <c r="H681" s="31"/>
    </row>
    <row r="682">
      <c r="C682" s="31"/>
      <c r="D682" s="31"/>
      <c r="E682" s="47"/>
      <c r="F682" s="31"/>
      <c r="G682" s="31"/>
      <c r="H682" s="31"/>
    </row>
    <row r="683">
      <c r="C683" s="31"/>
      <c r="D683" s="31"/>
      <c r="E683" s="47"/>
      <c r="F683" s="31"/>
      <c r="G683" s="31"/>
      <c r="H683" s="31"/>
    </row>
    <row r="684">
      <c r="C684" s="31"/>
      <c r="D684" s="31"/>
      <c r="E684" s="47"/>
      <c r="F684" s="31"/>
      <c r="G684" s="31"/>
      <c r="H684" s="31"/>
    </row>
    <row r="685">
      <c r="C685" s="31"/>
      <c r="D685" s="31"/>
      <c r="E685" s="47"/>
      <c r="F685" s="31"/>
      <c r="G685" s="31"/>
      <c r="H685" s="31"/>
    </row>
    <row r="686">
      <c r="C686" s="31"/>
      <c r="D686" s="31"/>
      <c r="E686" s="47"/>
      <c r="F686" s="31"/>
      <c r="G686" s="31"/>
      <c r="H686" s="31"/>
    </row>
    <row r="687">
      <c r="C687" s="31"/>
      <c r="D687" s="31"/>
      <c r="E687" s="47"/>
      <c r="F687" s="31"/>
      <c r="G687" s="31"/>
      <c r="H687" s="31"/>
    </row>
    <row r="688">
      <c r="C688" s="31"/>
      <c r="D688" s="31"/>
      <c r="E688" s="47"/>
      <c r="F688" s="31"/>
      <c r="G688" s="31"/>
      <c r="H688" s="31"/>
    </row>
    <row r="689">
      <c r="C689" s="31"/>
      <c r="D689" s="31"/>
      <c r="E689" s="47"/>
      <c r="F689" s="31"/>
      <c r="G689" s="31"/>
      <c r="H689" s="31"/>
    </row>
    <row r="690">
      <c r="C690" s="31"/>
      <c r="D690" s="31"/>
      <c r="E690" s="47"/>
      <c r="F690" s="31"/>
      <c r="G690" s="31"/>
      <c r="H690" s="31"/>
    </row>
    <row r="691">
      <c r="C691" s="31"/>
      <c r="D691" s="31"/>
      <c r="E691" s="47"/>
      <c r="F691" s="31"/>
      <c r="G691" s="31"/>
      <c r="H691" s="31"/>
    </row>
    <row r="692">
      <c r="C692" s="31"/>
      <c r="D692" s="31"/>
      <c r="E692" s="47"/>
      <c r="F692" s="31"/>
      <c r="G692" s="31"/>
      <c r="H692" s="31"/>
    </row>
    <row r="693">
      <c r="C693" s="31"/>
      <c r="D693" s="31"/>
      <c r="E693" s="47"/>
      <c r="F693" s="31"/>
      <c r="G693" s="31"/>
      <c r="H693" s="31"/>
    </row>
    <row r="694">
      <c r="C694" s="31"/>
      <c r="D694" s="31"/>
      <c r="E694" s="47"/>
      <c r="F694" s="31"/>
      <c r="G694" s="31"/>
      <c r="H694" s="31"/>
    </row>
    <row r="695">
      <c r="C695" s="31"/>
      <c r="D695" s="31"/>
      <c r="E695" s="47"/>
      <c r="F695" s="31"/>
      <c r="G695" s="31"/>
      <c r="H695" s="31"/>
    </row>
    <row r="696">
      <c r="C696" s="31"/>
      <c r="D696" s="31"/>
      <c r="E696" s="47"/>
      <c r="F696" s="31"/>
      <c r="G696" s="31"/>
      <c r="H696" s="31"/>
    </row>
    <row r="697">
      <c r="C697" s="31"/>
      <c r="D697" s="31"/>
      <c r="E697" s="47"/>
      <c r="F697" s="31"/>
      <c r="G697" s="31"/>
      <c r="H697" s="31"/>
    </row>
    <row r="698">
      <c r="C698" s="31"/>
      <c r="D698" s="31"/>
      <c r="E698" s="47"/>
      <c r="F698" s="31"/>
      <c r="G698" s="31"/>
      <c r="H698" s="31"/>
    </row>
    <row r="699">
      <c r="C699" s="31"/>
      <c r="D699" s="31"/>
      <c r="E699" s="47"/>
      <c r="F699" s="31"/>
      <c r="G699" s="31"/>
      <c r="H699" s="31"/>
    </row>
    <row r="700">
      <c r="C700" s="31"/>
      <c r="D700" s="31"/>
      <c r="E700" s="47"/>
      <c r="F700" s="31"/>
      <c r="G700" s="31"/>
      <c r="H700" s="31"/>
    </row>
    <row r="701">
      <c r="C701" s="31"/>
      <c r="D701" s="31"/>
      <c r="E701" s="47"/>
      <c r="F701" s="31"/>
      <c r="G701" s="31"/>
      <c r="H701" s="31"/>
    </row>
    <row r="702">
      <c r="C702" s="31"/>
      <c r="D702" s="31"/>
      <c r="E702" s="47"/>
      <c r="F702" s="31"/>
      <c r="G702" s="31"/>
      <c r="H702" s="31"/>
    </row>
    <row r="703">
      <c r="C703" s="31"/>
      <c r="D703" s="31"/>
      <c r="E703" s="47"/>
      <c r="F703" s="31"/>
      <c r="G703" s="31"/>
      <c r="H703" s="31"/>
    </row>
    <row r="704">
      <c r="C704" s="31"/>
      <c r="D704" s="31"/>
      <c r="E704" s="47"/>
      <c r="F704" s="31"/>
      <c r="G704" s="31"/>
      <c r="H704" s="31"/>
    </row>
    <row r="705">
      <c r="C705" s="31"/>
      <c r="D705" s="31"/>
      <c r="E705" s="47"/>
      <c r="F705" s="31"/>
      <c r="G705" s="31"/>
      <c r="H705" s="31"/>
    </row>
    <row r="706">
      <c r="C706" s="31"/>
      <c r="D706" s="31"/>
      <c r="E706" s="47"/>
      <c r="F706" s="31"/>
      <c r="G706" s="31"/>
      <c r="H706" s="31"/>
    </row>
    <row r="707">
      <c r="C707" s="31"/>
      <c r="D707" s="31"/>
      <c r="E707" s="47"/>
      <c r="F707" s="31"/>
      <c r="G707" s="31"/>
      <c r="H707" s="31"/>
    </row>
    <row r="708">
      <c r="C708" s="31"/>
      <c r="D708" s="31"/>
      <c r="E708" s="47"/>
      <c r="F708" s="31"/>
      <c r="G708" s="31"/>
      <c r="H708" s="31"/>
    </row>
    <row r="709">
      <c r="C709" s="31"/>
      <c r="D709" s="31"/>
      <c r="E709" s="47"/>
      <c r="F709" s="31"/>
      <c r="G709" s="31"/>
      <c r="H709" s="31"/>
    </row>
    <row r="710">
      <c r="C710" s="31"/>
      <c r="D710" s="31"/>
      <c r="E710" s="47"/>
      <c r="F710" s="31"/>
      <c r="G710" s="31"/>
      <c r="H710" s="31"/>
    </row>
    <row r="711">
      <c r="C711" s="31"/>
      <c r="D711" s="31"/>
      <c r="E711" s="47"/>
      <c r="F711" s="31"/>
      <c r="G711" s="31"/>
      <c r="H711" s="31"/>
    </row>
    <row r="712">
      <c r="C712" s="31"/>
      <c r="D712" s="31"/>
      <c r="E712" s="47"/>
      <c r="F712" s="31"/>
      <c r="G712" s="31"/>
      <c r="H712" s="31"/>
    </row>
    <row r="713">
      <c r="C713" s="31"/>
      <c r="D713" s="31"/>
      <c r="E713" s="47"/>
      <c r="F713" s="31"/>
      <c r="G713" s="31"/>
      <c r="H713" s="31"/>
    </row>
    <row r="714">
      <c r="C714" s="31"/>
      <c r="D714" s="31"/>
      <c r="E714" s="47"/>
      <c r="F714" s="31"/>
      <c r="G714" s="31"/>
      <c r="H714" s="31"/>
    </row>
    <row r="715">
      <c r="C715" s="31"/>
      <c r="D715" s="31"/>
      <c r="E715" s="47"/>
      <c r="F715" s="31"/>
      <c r="G715" s="31"/>
      <c r="H715" s="31"/>
    </row>
    <row r="716">
      <c r="C716" s="31"/>
      <c r="D716" s="31"/>
      <c r="E716" s="47"/>
      <c r="F716" s="31"/>
      <c r="G716" s="31"/>
      <c r="H716" s="31"/>
    </row>
    <row r="717">
      <c r="C717" s="31"/>
      <c r="D717" s="31"/>
      <c r="E717" s="47"/>
      <c r="F717" s="31"/>
      <c r="G717" s="31"/>
      <c r="H717" s="31"/>
    </row>
    <row r="718">
      <c r="C718" s="31"/>
      <c r="D718" s="31"/>
      <c r="E718" s="47"/>
      <c r="F718" s="31"/>
      <c r="G718" s="31"/>
      <c r="H718" s="31"/>
    </row>
    <row r="719">
      <c r="C719" s="31"/>
      <c r="D719" s="31"/>
      <c r="E719" s="47"/>
      <c r="F719" s="31"/>
      <c r="G719" s="31"/>
      <c r="H719" s="31"/>
    </row>
    <row r="720">
      <c r="C720" s="31"/>
      <c r="D720" s="31"/>
      <c r="E720" s="47"/>
      <c r="F720" s="31"/>
      <c r="G720" s="31"/>
      <c r="H720" s="31"/>
    </row>
    <row r="721">
      <c r="C721" s="31"/>
      <c r="D721" s="31"/>
      <c r="E721" s="47"/>
      <c r="F721" s="31"/>
      <c r="G721" s="31"/>
      <c r="H721" s="31"/>
    </row>
    <row r="722">
      <c r="C722" s="31"/>
      <c r="D722" s="31"/>
      <c r="E722" s="47"/>
      <c r="F722" s="31"/>
      <c r="G722" s="31"/>
      <c r="H722" s="31"/>
    </row>
    <row r="723">
      <c r="C723" s="31"/>
      <c r="D723" s="31"/>
      <c r="E723" s="47"/>
      <c r="F723" s="31"/>
      <c r="G723" s="31"/>
      <c r="H723" s="31"/>
    </row>
    <row r="724">
      <c r="C724" s="31"/>
      <c r="D724" s="31"/>
      <c r="E724" s="47"/>
      <c r="F724" s="31"/>
      <c r="G724" s="31"/>
      <c r="H724" s="31"/>
    </row>
    <row r="725">
      <c r="C725" s="31"/>
      <c r="D725" s="31"/>
      <c r="E725" s="47"/>
      <c r="F725" s="31"/>
      <c r="G725" s="31"/>
      <c r="H725" s="31"/>
    </row>
    <row r="726">
      <c r="C726" s="31"/>
      <c r="D726" s="31"/>
      <c r="E726" s="47"/>
      <c r="F726" s="31"/>
      <c r="G726" s="31"/>
      <c r="H726" s="31"/>
    </row>
    <row r="727">
      <c r="C727" s="31"/>
      <c r="D727" s="31"/>
      <c r="E727" s="47"/>
      <c r="F727" s="31"/>
      <c r="G727" s="31"/>
      <c r="H727" s="31"/>
    </row>
    <row r="728">
      <c r="C728" s="31"/>
      <c r="D728" s="31"/>
      <c r="E728" s="47"/>
      <c r="F728" s="31"/>
      <c r="G728" s="31"/>
      <c r="H728" s="31"/>
    </row>
    <row r="729">
      <c r="C729" s="31"/>
      <c r="D729" s="31"/>
      <c r="E729" s="47"/>
      <c r="F729" s="31"/>
      <c r="G729" s="31"/>
      <c r="H729" s="31"/>
    </row>
    <row r="730">
      <c r="C730" s="31"/>
      <c r="D730" s="31"/>
      <c r="E730" s="47"/>
      <c r="F730" s="31"/>
      <c r="G730" s="31"/>
      <c r="H730" s="31"/>
    </row>
    <row r="731">
      <c r="C731" s="31"/>
      <c r="D731" s="31"/>
      <c r="E731" s="47"/>
      <c r="F731" s="31"/>
      <c r="G731" s="31"/>
      <c r="H731" s="31"/>
    </row>
    <row r="732">
      <c r="C732" s="31"/>
      <c r="D732" s="31"/>
      <c r="E732" s="47"/>
      <c r="F732" s="31"/>
      <c r="G732" s="31"/>
      <c r="H732" s="31"/>
    </row>
    <row r="733">
      <c r="C733" s="31"/>
      <c r="D733" s="31"/>
      <c r="E733" s="47"/>
      <c r="F733" s="31"/>
      <c r="G733" s="31"/>
      <c r="H733" s="31"/>
    </row>
    <row r="734">
      <c r="C734" s="31"/>
      <c r="D734" s="31"/>
      <c r="E734" s="47"/>
      <c r="F734" s="31"/>
      <c r="G734" s="31"/>
      <c r="H734" s="31"/>
    </row>
    <row r="735">
      <c r="C735" s="31"/>
      <c r="D735" s="31"/>
      <c r="E735" s="47"/>
      <c r="F735" s="31"/>
      <c r="G735" s="31"/>
      <c r="H735" s="31"/>
    </row>
    <row r="736">
      <c r="C736" s="31"/>
      <c r="D736" s="31"/>
      <c r="E736" s="47"/>
      <c r="F736" s="31"/>
      <c r="G736" s="31"/>
      <c r="H736" s="31"/>
    </row>
    <row r="737">
      <c r="C737" s="31"/>
      <c r="D737" s="31"/>
      <c r="E737" s="47"/>
      <c r="F737" s="31"/>
      <c r="G737" s="31"/>
      <c r="H737" s="31"/>
    </row>
    <row r="738">
      <c r="C738" s="31"/>
      <c r="D738" s="31"/>
      <c r="E738" s="47"/>
      <c r="F738" s="31"/>
      <c r="G738" s="31"/>
      <c r="H738" s="31"/>
    </row>
    <row r="739">
      <c r="C739" s="31"/>
      <c r="D739" s="31"/>
      <c r="E739" s="47"/>
      <c r="F739" s="31"/>
      <c r="G739" s="31"/>
      <c r="H739" s="31"/>
    </row>
    <row r="740">
      <c r="C740" s="31"/>
      <c r="D740" s="31"/>
      <c r="E740" s="47"/>
      <c r="F740" s="31"/>
      <c r="G740" s="31"/>
      <c r="H740" s="31"/>
    </row>
    <row r="741">
      <c r="C741" s="31"/>
      <c r="D741" s="31"/>
      <c r="E741" s="47"/>
      <c r="F741" s="31"/>
      <c r="G741" s="31"/>
      <c r="H741" s="31"/>
    </row>
    <row r="742">
      <c r="C742" s="31"/>
      <c r="D742" s="31"/>
      <c r="E742" s="47"/>
      <c r="F742" s="31"/>
      <c r="G742" s="31"/>
      <c r="H742" s="31"/>
    </row>
    <row r="743">
      <c r="C743" s="31"/>
      <c r="D743" s="31"/>
      <c r="E743" s="47"/>
      <c r="F743" s="31"/>
      <c r="G743" s="31"/>
      <c r="H743" s="31"/>
    </row>
    <row r="744">
      <c r="C744" s="31"/>
      <c r="D744" s="31"/>
      <c r="E744" s="47"/>
      <c r="F744" s="31"/>
      <c r="G744" s="31"/>
      <c r="H744" s="31"/>
    </row>
    <row r="745">
      <c r="C745" s="31"/>
      <c r="D745" s="31"/>
      <c r="E745" s="47"/>
      <c r="F745" s="31"/>
      <c r="G745" s="31"/>
      <c r="H745" s="31"/>
    </row>
    <row r="746">
      <c r="C746" s="31"/>
      <c r="D746" s="31"/>
      <c r="E746" s="47"/>
      <c r="F746" s="31"/>
      <c r="G746" s="31"/>
      <c r="H746" s="31"/>
    </row>
    <row r="747">
      <c r="C747" s="31"/>
      <c r="D747" s="31"/>
      <c r="E747" s="47"/>
      <c r="F747" s="31"/>
      <c r="G747" s="31"/>
      <c r="H747" s="31"/>
    </row>
    <row r="748">
      <c r="C748" s="31"/>
      <c r="D748" s="31"/>
      <c r="E748" s="47"/>
      <c r="F748" s="31"/>
      <c r="G748" s="31"/>
      <c r="H748" s="31"/>
    </row>
    <row r="749">
      <c r="C749" s="31"/>
      <c r="D749" s="31"/>
      <c r="E749" s="47"/>
      <c r="F749" s="31"/>
      <c r="G749" s="31"/>
      <c r="H749" s="31"/>
    </row>
    <row r="750">
      <c r="C750" s="31"/>
      <c r="D750" s="31"/>
      <c r="E750" s="47"/>
      <c r="F750" s="31"/>
      <c r="G750" s="31"/>
      <c r="H750" s="31"/>
    </row>
    <row r="751">
      <c r="C751" s="31"/>
      <c r="D751" s="31"/>
      <c r="E751" s="47"/>
      <c r="F751" s="31"/>
      <c r="G751" s="31"/>
      <c r="H751" s="31"/>
    </row>
    <row r="752">
      <c r="C752" s="31"/>
      <c r="D752" s="31"/>
      <c r="E752" s="47"/>
      <c r="F752" s="31"/>
      <c r="G752" s="31"/>
      <c r="H752" s="31"/>
    </row>
    <row r="753">
      <c r="C753" s="31"/>
      <c r="D753" s="31"/>
      <c r="E753" s="47"/>
      <c r="F753" s="31"/>
      <c r="G753" s="31"/>
      <c r="H753" s="31"/>
    </row>
    <row r="754">
      <c r="C754" s="31"/>
      <c r="D754" s="31"/>
      <c r="E754" s="47"/>
      <c r="F754" s="31"/>
      <c r="G754" s="31"/>
      <c r="H754" s="31"/>
    </row>
    <row r="755">
      <c r="C755" s="31"/>
      <c r="D755" s="31"/>
      <c r="E755" s="47"/>
      <c r="F755" s="31"/>
      <c r="G755" s="31"/>
      <c r="H755" s="31"/>
    </row>
    <row r="756">
      <c r="C756" s="31"/>
      <c r="D756" s="31"/>
      <c r="E756" s="47"/>
      <c r="F756" s="31"/>
      <c r="G756" s="31"/>
      <c r="H756" s="31"/>
    </row>
    <row r="757">
      <c r="C757" s="31"/>
      <c r="D757" s="31"/>
      <c r="E757" s="47"/>
      <c r="F757" s="31"/>
      <c r="G757" s="31"/>
      <c r="H757" s="31"/>
    </row>
    <row r="758">
      <c r="C758" s="31"/>
      <c r="D758" s="31"/>
      <c r="E758" s="47"/>
      <c r="F758" s="31"/>
      <c r="G758" s="31"/>
      <c r="H758" s="31"/>
    </row>
    <row r="759">
      <c r="C759" s="31"/>
      <c r="D759" s="31"/>
      <c r="E759" s="47"/>
      <c r="F759" s="31"/>
      <c r="G759" s="31"/>
      <c r="H759" s="31"/>
    </row>
    <row r="760">
      <c r="C760" s="31"/>
      <c r="D760" s="31"/>
      <c r="E760" s="47"/>
      <c r="F760" s="31"/>
      <c r="G760" s="31"/>
      <c r="H760" s="31"/>
    </row>
    <row r="761">
      <c r="C761" s="31"/>
      <c r="D761" s="31"/>
      <c r="E761" s="47"/>
      <c r="F761" s="31"/>
      <c r="G761" s="31"/>
      <c r="H761" s="31"/>
    </row>
    <row r="762">
      <c r="C762" s="31"/>
      <c r="D762" s="31"/>
      <c r="E762" s="47"/>
      <c r="F762" s="31"/>
      <c r="G762" s="31"/>
      <c r="H762" s="31"/>
    </row>
    <row r="763">
      <c r="C763" s="31"/>
      <c r="D763" s="31"/>
      <c r="E763" s="47"/>
      <c r="F763" s="31"/>
      <c r="G763" s="31"/>
      <c r="H763" s="31"/>
    </row>
    <row r="764">
      <c r="C764" s="31"/>
      <c r="D764" s="31"/>
      <c r="E764" s="47"/>
      <c r="F764" s="31"/>
      <c r="G764" s="31"/>
      <c r="H764" s="31"/>
    </row>
    <row r="765">
      <c r="C765" s="31"/>
      <c r="D765" s="31"/>
      <c r="E765" s="47"/>
      <c r="F765" s="31"/>
      <c r="G765" s="31"/>
      <c r="H765" s="31"/>
    </row>
    <row r="766">
      <c r="C766" s="31"/>
      <c r="D766" s="31"/>
      <c r="E766" s="47"/>
      <c r="F766" s="31"/>
      <c r="G766" s="31"/>
      <c r="H766" s="31"/>
    </row>
    <row r="767">
      <c r="C767" s="31"/>
      <c r="D767" s="31"/>
      <c r="E767" s="47"/>
      <c r="F767" s="31"/>
      <c r="G767" s="31"/>
      <c r="H767" s="31"/>
    </row>
    <row r="768">
      <c r="C768" s="31"/>
      <c r="D768" s="31"/>
      <c r="E768" s="47"/>
      <c r="F768" s="31"/>
      <c r="G768" s="31"/>
      <c r="H768" s="31"/>
    </row>
    <row r="769">
      <c r="C769" s="31"/>
      <c r="D769" s="31"/>
      <c r="E769" s="47"/>
      <c r="F769" s="31"/>
      <c r="G769" s="31"/>
      <c r="H769" s="31"/>
    </row>
    <row r="770">
      <c r="C770" s="31"/>
      <c r="D770" s="31"/>
      <c r="E770" s="47"/>
      <c r="F770" s="31"/>
      <c r="G770" s="31"/>
      <c r="H770" s="31"/>
    </row>
    <row r="771">
      <c r="C771" s="31"/>
      <c r="D771" s="31"/>
      <c r="E771" s="47"/>
      <c r="F771" s="31"/>
      <c r="G771" s="31"/>
      <c r="H771" s="31"/>
    </row>
    <row r="772">
      <c r="C772" s="31"/>
      <c r="D772" s="31"/>
      <c r="E772" s="47"/>
      <c r="F772" s="31"/>
      <c r="G772" s="31"/>
      <c r="H772" s="31"/>
    </row>
    <row r="773">
      <c r="C773" s="31"/>
      <c r="D773" s="31"/>
      <c r="E773" s="47"/>
      <c r="F773" s="31"/>
      <c r="G773" s="31"/>
      <c r="H773" s="31"/>
    </row>
    <row r="774">
      <c r="C774" s="31"/>
      <c r="D774" s="31"/>
      <c r="E774" s="47"/>
      <c r="F774" s="31"/>
      <c r="G774" s="31"/>
      <c r="H774" s="31"/>
    </row>
    <row r="775">
      <c r="C775" s="31"/>
      <c r="D775" s="31"/>
      <c r="E775" s="47"/>
      <c r="F775" s="31"/>
      <c r="G775" s="31"/>
      <c r="H775" s="31"/>
    </row>
    <row r="776">
      <c r="C776" s="31"/>
      <c r="D776" s="31"/>
      <c r="E776" s="47"/>
      <c r="F776" s="31"/>
      <c r="G776" s="31"/>
      <c r="H776" s="31"/>
    </row>
    <row r="777">
      <c r="C777" s="31"/>
      <c r="D777" s="31"/>
      <c r="E777" s="47"/>
      <c r="F777" s="31"/>
      <c r="G777" s="31"/>
      <c r="H777" s="31"/>
    </row>
    <row r="778">
      <c r="C778" s="31"/>
      <c r="D778" s="31"/>
      <c r="E778" s="47"/>
      <c r="F778" s="31"/>
      <c r="G778" s="31"/>
      <c r="H778" s="31"/>
    </row>
    <row r="779">
      <c r="C779" s="31"/>
      <c r="D779" s="31"/>
      <c r="E779" s="47"/>
      <c r="F779" s="31"/>
      <c r="G779" s="31"/>
      <c r="H779" s="31"/>
    </row>
    <row r="780">
      <c r="C780" s="31"/>
      <c r="D780" s="31"/>
      <c r="E780" s="47"/>
      <c r="F780" s="31"/>
      <c r="G780" s="31"/>
      <c r="H780" s="31"/>
    </row>
    <row r="781">
      <c r="C781" s="31"/>
      <c r="D781" s="31"/>
      <c r="E781" s="47"/>
      <c r="F781" s="31"/>
      <c r="G781" s="31"/>
      <c r="H781" s="31"/>
    </row>
    <row r="782">
      <c r="C782" s="31"/>
      <c r="D782" s="31"/>
      <c r="E782" s="47"/>
      <c r="F782" s="31"/>
      <c r="G782" s="31"/>
      <c r="H782" s="31"/>
    </row>
    <row r="783">
      <c r="C783" s="31"/>
      <c r="D783" s="31"/>
      <c r="E783" s="47"/>
      <c r="F783" s="31"/>
      <c r="G783" s="31"/>
      <c r="H783" s="31"/>
    </row>
    <row r="784">
      <c r="C784" s="31"/>
      <c r="D784" s="31"/>
      <c r="E784" s="47"/>
      <c r="F784" s="31"/>
      <c r="G784" s="31"/>
      <c r="H784" s="31"/>
    </row>
    <row r="785">
      <c r="C785" s="31"/>
      <c r="D785" s="31"/>
      <c r="E785" s="47"/>
      <c r="F785" s="31"/>
      <c r="G785" s="31"/>
      <c r="H785" s="31"/>
    </row>
    <row r="786">
      <c r="C786" s="31"/>
      <c r="D786" s="31"/>
      <c r="E786" s="47"/>
      <c r="F786" s="31"/>
      <c r="G786" s="31"/>
      <c r="H786" s="31"/>
    </row>
    <row r="787">
      <c r="C787" s="31"/>
      <c r="D787" s="31"/>
      <c r="E787" s="47"/>
      <c r="F787" s="31"/>
      <c r="G787" s="31"/>
      <c r="H787" s="31"/>
    </row>
    <row r="788">
      <c r="C788" s="31"/>
      <c r="D788" s="31"/>
      <c r="E788" s="47"/>
      <c r="F788" s="31"/>
      <c r="G788" s="31"/>
      <c r="H788" s="31"/>
    </row>
    <row r="789">
      <c r="C789" s="31"/>
      <c r="D789" s="31"/>
      <c r="E789" s="47"/>
      <c r="F789" s="31"/>
      <c r="G789" s="31"/>
      <c r="H789" s="31"/>
    </row>
    <row r="790">
      <c r="C790" s="31"/>
      <c r="D790" s="31"/>
      <c r="E790" s="47"/>
      <c r="F790" s="31"/>
      <c r="G790" s="31"/>
      <c r="H790" s="31"/>
    </row>
    <row r="791">
      <c r="C791" s="31"/>
      <c r="D791" s="31"/>
      <c r="E791" s="47"/>
      <c r="F791" s="31"/>
      <c r="G791" s="31"/>
      <c r="H791" s="31"/>
    </row>
    <row r="792">
      <c r="C792" s="31"/>
      <c r="D792" s="31"/>
      <c r="E792" s="47"/>
      <c r="F792" s="31"/>
      <c r="G792" s="31"/>
      <c r="H792" s="31"/>
    </row>
    <row r="793">
      <c r="C793" s="31"/>
      <c r="D793" s="31"/>
      <c r="E793" s="47"/>
      <c r="F793" s="31"/>
      <c r="G793" s="31"/>
      <c r="H793" s="31"/>
    </row>
    <row r="794">
      <c r="C794" s="31"/>
      <c r="D794" s="31"/>
      <c r="E794" s="47"/>
      <c r="F794" s="31"/>
      <c r="G794" s="31"/>
      <c r="H794" s="31"/>
    </row>
    <row r="795">
      <c r="C795" s="31"/>
      <c r="D795" s="31"/>
      <c r="E795" s="47"/>
      <c r="F795" s="31"/>
      <c r="G795" s="31"/>
      <c r="H795" s="31"/>
    </row>
    <row r="796">
      <c r="C796" s="31"/>
      <c r="D796" s="31"/>
      <c r="E796" s="47"/>
      <c r="F796" s="31"/>
      <c r="G796" s="31"/>
      <c r="H796" s="31"/>
    </row>
    <row r="797">
      <c r="C797" s="31"/>
      <c r="D797" s="31"/>
      <c r="E797" s="47"/>
      <c r="F797" s="31"/>
      <c r="G797" s="31"/>
      <c r="H797" s="31"/>
    </row>
    <row r="798">
      <c r="C798" s="31"/>
      <c r="D798" s="31"/>
      <c r="E798" s="47"/>
      <c r="F798" s="31"/>
      <c r="G798" s="31"/>
      <c r="H798" s="31"/>
    </row>
    <row r="799">
      <c r="C799" s="31"/>
      <c r="D799" s="31"/>
      <c r="E799" s="47"/>
      <c r="F799" s="31"/>
      <c r="G799" s="31"/>
      <c r="H799" s="31"/>
    </row>
    <row r="800">
      <c r="C800" s="31"/>
      <c r="D800" s="31"/>
      <c r="E800" s="47"/>
      <c r="F800" s="31"/>
      <c r="G800" s="31"/>
      <c r="H800" s="31"/>
    </row>
    <row r="801">
      <c r="C801" s="31"/>
      <c r="D801" s="31"/>
      <c r="E801" s="47"/>
      <c r="F801" s="31"/>
      <c r="G801" s="31"/>
      <c r="H801" s="31"/>
    </row>
    <row r="802">
      <c r="C802" s="31"/>
      <c r="D802" s="31"/>
      <c r="E802" s="47"/>
      <c r="F802" s="31"/>
      <c r="G802" s="31"/>
      <c r="H802" s="31"/>
    </row>
    <row r="803">
      <c r="C803" s="31"/>
      <c r="D803" s="31"/>
      <c r="E803" s="47"/>
      <c r="F803" s="31"/>
      <c r="G803" s="31"/>
      <c r="H803" s="31"/>
    </row>
    <row r="804">
      <c r="C804" s="31"/>
      <c r="D804" s="31"/>
      <c r="E804" s="47"/>
      <c r="F804" s="31"/>
      <c r="G804" s="31"/>
      <c r="H804" s="31"/>
    </row>
    <row r="805">
      <c r="C805" s="31"/>
      <c r="D805" s="31"/>
      <c r="E805" s="47"/>
      <c r="F805" s="31"/>
      <c r="G805" s="31"/>
      <c r="H805" s="31"/>
    </row>
    <row r="806">
      <c r="C806" s="31"/>
      <c r="D806" s="31"/>
      <c r="E806" s="47"/>
      <c r="F806" s="31"/>
      <c r="G806" s="31"/>
      <c r="H806" s="31"/>
    </row>
    <row r="807">
      <c r="C807" s="31"/>
      <c r="D807" s="31"/>
      <c r="E807" s="47"/>
      <c r="F807" s="31"/>
      <c r="G807" s="31"/>
      <c r="H807" s="31"/>
    </row>
    <row r="808">
      <c r="C808" s="31"/>
      <c r="D808" s="31"/>
      <c r="E808" s="47"/>
      <c r="F808" s="31"/>
      <c r="G808" s="31"/>
      <c r="H808" s="31"/>
    </row>
    <row r="809">
      <c r="C809" s="31"/>
      <c r="D809" s="31"/>
      <c r="E809" s="47"/>
      <c r="F809" s="31"/>
      <c r="G809" s="31"/>
      <c r="H809" s="31"/>
    </row>
    <row r="810">
      <c r="C810" s="31"/>
      <c r="D810" s="31"/>
      <c r="E810" s="47"/>
      <c r="F810" s="31"/>
      <c r="G810" s="31"/>
      <c r="H810" s="31"/>
    </row>
    <row r="811">
      <c r="C811" s="31"/>
      <c r="D811" s="31"/>
      <c r="E811" s="47"/>
      <c r="F811" s="31"/>
      <c r="G811" s="31"/>
      <c r="H811" s="31"/>
    </row>
    <row r="812">
      <c r="C812" s="31"/>
      <c r="D812" s="31"/>
      <c r="E812" s="47"/>
      <c r="F812" s="31"/>
      <c r="G812" s="31"/>
      <c r="H812" s="31"/>
    </row>
    <row r="813">
      <c r="C813" s="31"/>
      <c r="D813" s="31"/>
      <c r="E813" s="47"/>
      <c r="F813" s="31"/>
      <c r="G813" s="31"/>
      <c r="H813" s="31"/>
    </row>
    <row r="814">
      <c r="C814" s="31"/>
      <c r="D814" s="31"/>
      <c r="E814" s="47"/>
      <c r="F814" s="31"/>
      <c r="G814" s="31"/>
      <c r="H814" s="31"/>
    </row>
    <row r="815">
      <c r="C815" s="31"/>
      <c r="D815" s="31"/>
      <c r="E815" s="47"/>
      <c r="F815" s="31"/>
      <c r="G815" s="31"/>
      <c r="H815" s="31"/>
    </row>
    <row r="816">
      <c r="C816" s="31"/>
      <c r="D816" s="31"/>
      <c r="E816" s="47"/>
      <c r="F816" s="31"/>
      <c r="G816" s="31"/>
      <c r="H816" s="31"/>
    </row>
    <row r="817">
      <c r="C817" s="31"/>
      <c r="D817" s="31"/>
      <c r="E817" s="47"/>
      <c r="F817" s="31"/>
      <c r="G817" s="31"/>
      <c r="H817" s="31"/>
    </row>
    <row r="818">
      <c r="C818" s="31"/>
      <c r="D818" s="31"/>
      <c r="E818" s="47"/>
      <c r="F818" s="31"/>
      <c r="G818" s="31"/>
      <c r="H818" s="31"/>
    </row>
    <row r="819">
      <c r="C819" s="31"/>
      <c r="D819" s="31"/>
      <c r="E819" s="47"/>
      <c r="F819" s="31"/>
      <c r="G819" s="31"/>
      <c r="H819" s="31"/>
    </row>
    <row r="820">
      <c r="C820" s="31"/>
      <c r="D820" s="31"/>
      <c r="E820" s="47"/>
      <c r="F820" s="31"/>
      <c r="G820" s="31"/>
      <c r="H820" s="31"/>
    </row>
    <row r="821">
      <c r="C821" s="31"/>
      <c r="D821" s="31"/>
      <c r="E821" s="47"/>
      <c r="F821" s="31"/>
      <c r="G821" s="31"/>
      <c r="H821" s="31"/>
    </row>
    <row r="822">
      <c r="C822" s="31"/>
      <c r="D822" s="31"/>
      <c r="E822" s="47"/>
      <c r="F822" s="31"/>
      <c r="G822" s="31"/>
      <c r="H822" s="31"/>
    </row>
    <row r="823">
      <c r="C823" s="31"/>
      <c r="D823" s="31"/>
      <c r="E823" s="47"/>
      <c r="F823" s="31"/>
      <c r="G823" s="31"/>
      <c r="H823" s="31"/>
    </row>
    <row r="824">
      <c r="C824" s="31"/>
      <c r="D824" s="31"/>
      <c r="E824" s="47"/>
      <c r="F824" s="31"/>
      <c r="G824" s="31"/>
      <c r="H824" s="31"/>
    </row>
    <row r="825">
      <c r="C825" s="31"/>
      <c r="D825" s="31"/>
      <c r="E825" s="47"/>
      <c r="F825" s="31"/>
      <c r="G825" s="31"/>
      <c r="H825" s="31"/>
    </row>
    <row r="826">
      <c r="C826" s="31"/>
      <c r="D826" s="31"/>
      <c r="E826" s="47"/>
      <c r="F826" s="31"/>
      <c r="G826" s="31"/>
      <c r="H826" s="31"/>
    </row>
    <row r="827">
      <c r="C827" s="31"/>
      <c r="D827" s="31"/>
      <c r="E827" s="47"/>
      <c r="F827" s="31"/>
      <c r="G827" s="31"/>
      <c r="H827" s="31"/>
    </row>
    <row r="828">
      <c r="C828" s="31"/>
      <c r="D828" s="31"/>
      <c r="E828" s="47"/>
      <c r="F828" s="31"/>
      <c r="G828" s="31"/>
      <c r="H828" s="31"/>
    </row>
    <row r="829">
      <c r="C829" s="31"/>
      <c r="D829" s="31"/>
      <c r="E829" s="47"/>
      <c r="F829" s="31"/>
      <c r="G829" s="31"/>
      <c r="H829" s="31"/>
    </row>
    <row r="830">
      <c r="C830" s="31"/>
      <c r="D830" s="31"/>
      <c r="E830" s="47"/>
      <c r="F830" s="31"/>
      <c r="G830" s="31"/>
      <c r="H830" s="31"/>
    </row>
    <row r="831">
      <c r="C831" s="31"/>
      <c r="D831" s="31"/>
      <c r="E831" s="47"/>
      <c r="F831" s="31"/>
      <c r="G831" s="31"/>
      <c r="H831" s="31"/>
    </row>
    <row r="832">
      <c r="C832" s="31"/>
      <c r="D832" s="31"/>
      <c r="E832" s="47"/>
      <c r="F832" s="31"/>
      <c r="G832" s="31"/>
      <c r="H832" s="31"/>
    </row>
    <row r="833">
      <c r="C833" s="31"/>
      <c r="D833" s="31"/>
      <c r="E833" s="47"/>
      <c r="F833" s="31"/>
      <c r="G833" s="31"/>
      <c r="H833" s="31"/>
    </row>
    <row r="834">
      <c r="C834" s="31"/>
      <c r="D834" s="31"/>
      <c r="E834" s="47"/>
      <c r="F834" s="31"/>
      <c r="G834" s="31"/>
      <c r="H834" s="31"/>
    </row>
    <row r="835">
      <c r="C835" s="31"/>
      <c r="D835" s="31"/>
      <c r="E835" s="47"/>
      <c r="F835" s="31"/>
      <c r="G835" s="31"/>
      <c r="H835" s="31"/>
    </row>
    <row r="836">
      <c r="C836" s="31"/>
      <c r="D836" s="31"/>
      <c r="E836" s="47"/>
      <c r="F836" s="31"/>
      <c r="G836" s="31"/>
      <c r="H836" s="31"/>
    </row>
    <row r="837">
      <c r="C837" s="31"/>
      <c r="D837" s="31"/>
      <c r="E837" s="47"/>
      <c r="F837" s="31"/>
      <c r="G837" s="31"/>
      <c r="H837" s="31"/>
    </row>
    <row r="838">
      <c r="C838" s="31"/>
      <c r="D838" s="31"/>
      <c r="E838" s="47"/>
      <c r="F838" s="31"/>
      <c r="G838" s="31"/>
      <c r="H838" s="31"/>
    </row>
    <row r="839">
      <c r="C839" s="31"/>
      <c r="D839" s="31"/>
      <c r="E839" s="47"/>
      <c r="F839" s="31"/>
      <c r="G839" s="31"/>
      <c r="H839" s="31"/>
    </row>
    <row r="840">
      <c r="C840" s="31"/>
      <c r="D840" s="31"/>
      <c r="E840" s="47"/>
      <c r="F840" s="31"/>
      <c r="G840" s="31"/>
      <c r="H840" s="31"/>
    </row>
    <row r="841">
      <c r="C841" s="31"/>
      <c r="D841" s="31"/>
      <c r="E841" s="47"/>
      <c r="F841" s="31"/>
      <c r="G841" s="31"/>
      <c r="H841" s="31"/>
    </row>
    <row r="842">
      <c r="C842" s="31"/>
      <c r="D842" s="31"/>
      <c r="E842" s="47"/>
      <c r="F842" s="31"/>
      <c r="G842" s="31"/>
      <c r="H842" s="31"/>
    </row>
    <row r="843">
      <c r="C843" s="31"/>
      <c r="D843" s="31"/>
      <c r="E843" s="47"/>
      <c r="F843" s="31"/>
      <c r="G843" s="31"/>
      <c r="H843" s="31"/>
    </row>
    <row r="844">
      <c r="C844" s="31"/>
      <c r="D844" s="31"/>
      <c r="E844" s="47"/>
      <c r="F844" s="31"/>
      <c r="G844" s="31"/>
      <c r="H844" s="31"/>
    </row>
    <row r="845">
      <c r="C845" s="31"/>
      <c r="D845" s="31"/>
      <c r="E845" s="47"/>
      <c r="F845" s="31"/>
      <c r="G845" s="31"/>
      <c r="H845" s="31"/>
    </row>
    <row r="846">
      <c r="C846" s="31"/>
      <c r="D846" s="31"/>
      <c r="E846" s="47"/>
      <c r="F846" s="31"/>
      <c r="G846" s="31"/>
      <c r="H846" s="31"/>
    </row>
    <row r="847">
      <c r="C847" s="31"/>
      <c r="D847" s="31"/>
      <c r="E847" s="47"/>
      <c r="F847" s="31"/>
      <c r="G847" s="31"/>
      <c r="H847" s="31"/>
    </row>
    <row r="848">
      <c r="C848" s="31"/>
      <c r="D848" s="31"/>
      <c r="E848" s="47"/>
      <c r="F848" s="31"/>
      <c r="G848" s="31"/>
      <c r="H848" s="31"/>
    </row>
    <row r="849">
      <c r="C849" s="31"/>
      <c r="D849" s="31"/>
      <c r="E849" s="47"/>
      <c r="F849" s="31"/>
      <c r="G849" s="31"/>
      <c r="H849" s="31"/>
    </row>
    <row r="850">
      <c r="C850" s="31"/>
      <c r="D850" s="31"/>
      <c r="E850" s="47"/>
      <c r="F850" s="31"/>
      <c r="G850" s="31"/>
      <c r="H850" s="31"/>
    </row>
    <row r="851">
      <c r="C851" s="31"/>
      <c r="D851" s="31"/>
      <c r="E851" s="47"/>
      <c r="F851" s="31"/>
      <c r="G851" s="31"/>
      <c r="H851" s="31"/>
    </row>
    <row r="852">
      <c r="C852" s="31"/>
      <c r="D852" s="31"/>
      <c r="E852" s="47"/>
      <c r="F852" s="31"/>
      <c r="G852" s="31"/>
      <c r="H852" s="31"/>
    </row>
    <row r="853">
      <c r="C853" s="31"/>
      <c r="D853" s="31"/>
      <c r="E853" s="47"/>
      <c r="F853" s="31"/>
      <c r="G853" s="31"/>
      <c r="H853" s="31"/>
    </row>
    <row r="854">
      <c r="C854" s="31"/>
      <c r="D854" s="31"/>
      <c r="E854" s="47"/>
      <c r="F854" s="31"/>
      <c r="G854" s="31"/>
      <c r="H854" s="31"/>
    </row>
    <row r="855">
      <c r="C855" s="31"/>
      <c r="D855" s="31"/>
      <c r="E855" s="47"/>
      <c r="F855" s="31"/>
      <c r="G855" s="31"/>
      <c r="H855" s="31"/>
    </row>
    <row r="856">
      <c r="C856" s="31"/>
      <c r="D856" s="31"/>
      <c r="E856" s="47"/>
      <c r="F856" s="31"/>
      <c r="G856" s="31"/>
      <c r="H856" s="31"/>
    </row>
    <row r="857">
      <c r="C857" s="31"/>
      <c r="D857" s="31"/>
      <c r="E857" s="47"/>
      <c r="F857" s="31"/>
      <c r="G857" s="31"/>
      <c r="H857" s="31"/>
    </row>
    <row r="858">
      <c r="C858" s="31"/>
      <c r="D858" s="31"/>
      <c r="E858" s="47"/>
      <c r="F858" s="31"/>
      <c r="G858" s="31"/>
      <c r="H858" s="31"/>
    </row>
    <row r="859">
      <c r="C859" s="31"/>
      <c r="D859" s="31"/>
      <c r="E859" s="47"/>
      <c r="F859" s="31"/>
      <c r="G859" s="31"/>
      <c r="H859" s="31"/>
    </row>
    <row r="860">
      <c r="C860" s="31"/>
      <c r="D860" s="31"/>
      <c r="E860" s="47"/>
      <c r="F860" s="31"/>
      <c r="G860" s="31"/>
      <c r="H860" s="31"/>
    </row>
    <row r="861">
      <c r="C861" s="31"/>
      <c r="D861" s="31"/>
      <c r="E861" s="47"/>
      <c r="F861" s="31"/>
      <c r="G861" s="31"/>
      <c r="H861" s="31"/>
    </row>
    <row r="862">
      <c r="C862" s="31"/>
      <c r="D862" s="31"/>
      <c r="E862" s="47"/>
      <c r="F862" s="31"/>
      <c r="G862" s="31"/>
      <c r="H862" s="31"/>
    </row>
    <row r="863">
      <c r="C863" s="31"/>
      <c r="D863" s="31"/>
      <c r="E863" s="47"/>
      <c r="F863" s="31"/>
      <c r="G863" s="31"/>
      <c r="H863" s="31"/>
    </row>
    <row r="864">
      <c r="C864" s="31"/>
      <c r="D864" s="31"/>
      <c r="E864" s="47"/>
      <c r="F864" s="31"/>
      <c r="G864" s="31"/>
      <c r="H864" s="31"/>
    </row>
    <row r="865">
      <c r="C865" s="31"/>
      <c r="D865" s="31"/>
      <c r="E865" s="47"/>
      <c r="F865" s="31"/>
      <c r="G865" s="31"/>
      <c r="H865" s="31"/>
    </row>
    <row r="866">
      <c r="C866" s="31"/>
      <c r="D866" s="31"/>
      <c r="E866" s="47"/>
      <c r="F866" s="31"/>
      <c r="G866" s="31"/>
      <c r="H866" s="31"/>
    </row>
    <row r="867">
      <c r="C867" s="31"/>
      <c r="D867" s="31"/>
      <c r="E867" s="47"/>
      <c r="F867" s="31"/>
      <c r="G867" s="31"/>
      <c r="H867" s="31"/>
    </row>
    <row r="868">
      <c r="C868" s="31"/>
      <c r="D868" s="31"/>
      <c r="E868" s="47"/>
      <c r="F868" s="31"/>
      <c r="G868" s="31"/>
      <c r="H868" s="31"/>
    </row>
    <row r="869">
      <c r="C869" s="31"/>
      <c r="D869" s="31"/>
      <c r="E869" s="47"/>
      <c r="F869" s="31"/>
      <c r="G869" s="31"/>
      <c r="H869" s="31"/>
    </row>
    <row r="870">
      <c r="C870" s="31"/>
      <c r="D870" s="31"/>
      <c r="E870" s="47"/>
      <c r="F870" s="31"/>
      <c r="G870" s="31"/>
      <c r="H870" s="31"/>
    </row>
    <row r="871">
      <c r="C871" s="31"/>
      <c r="D871" s="31"/>
      <c r="E871" s="47"/>
      <c r="F871" s="31"/>
      <c r="G871" s="31"/>
      <c r="H871" s="31"/>
    </row>
    <row r="872">
      <c r="C872" s="31"/>
      <c r="D872" s="31"/>
      <c r="E872" s="47"/>
      <c r="F872" s="31"/>
      <c r="G872" s="31"/>
      <c r="H872" s="31"/>
    </row>
    <row r="873">
      <c r="C873" s="31"/>
      <c r="D873" s="31"/>
      <c r="E873" s="47"/>
      <c r="F873" s="31"/>
      <c r="G873" s="31"/>
      <c r="H873" s="31"/>
    </row>
    <row r="874">
      <c r="C874" s="31"/>
      <c r="D874" s="31"/>
      <c r="E874" s="47"/>
      <c r="F874" s="31"/>
      <c r="G874" s="31"/>
      <c r="H874" s="31"/>
    </row>
    <row r="875">
      <c r="C875" s="31"/>
      <c r="D875" s="31"/>
      <c r="E875" s="47"/>
      <c r="F875" s="31"/>
      <c r="G875" s="31"/>
      <c r="H875" s="31"/>
    </row>
    <row r="876">
      <c r="C876" s="31"/>
      <c r="D876" s="31"/>
      <c r="E876" s="47"/>
      <c r="F876" s="31"/>
      <c r="G876" s="31"/>
      <c r="H876" s="31"/>
    </row>
    <row r="877">
      <c r="C877" s="31"/>
      <c r="D877" s="31"/>
      <c r="E877" s="47"/>
      <c r="F877" s="31"/>
      <c r="G877" s="31"/>
      <c r="H877" s="31"/>
    </row>
    <row r="878">
      <c r="C878" s="31"/>
      <c r="D878" s="31"/>
      <c r="E878" s="47"/>
      <c r="F878" s="31"/>
      <c r="G878" s="31"/>
      <c r="H878" s="31"/>
    </row>
    <row r="879">
      <c r="C879" s="31"/>
      <c r="D879" s="31"/>
      <c r="E879" s="47"/>
      <c r="F879" s="31"/>
      <c r="G879" s="31"/>
      <c r="H879" s="31"/>
    </row>
    <row r="880">
      <c r="C880" s="31"/>
      <c r="D880" s="31"/>
      <c r="E880" s="47"/>
      <c r="F880" s="31"/>
      <c r="G880" s="31"/>
      <c r="H880" s="31"/>
    </row>
    <row r="881">
      <c r="C881" s="31"/>
      <c r="D881" s="31"/>
      <c r="E881" s="47"/>
      <c r="F881" s="31"/>
      <c r="G881" s="31"/>
      <c r="H881" s="31"/>
    </row>
    <row r="882">
      <c r="C882" s="31"/>
      <c r="D882" s="31"/>
      <c r="E882" s="47"/>
      <c r="F882" s="31"/>
      <c r="G882" s="31"/>
      <c r="H882" s="31"/>
    </row>
    <row r="883">
      <c r="C883" s="31"/>
      <c r="D883" s="31"/>
      <c r="E883" s="47"/>
      <c r="F883" s="31"/>
      <c r="G883" s="31"/>
      <c r="H883" s="31"/>
    </row>
    <row r="884">
      <c r="C884" s="31"/>
      <c r="D884" s="31"/>
      <c r="E884" s="47"/>
      <c r="F884" s="31"/>
      <c r="G884" s="31"/>
      <c r="H884" s="31"/>
    </row>
    <row r="885">
      <c r="C885" s="31"/>
      <c r="D885" s="31"/>
      <c r="E885" s="47"/>
      <c r="F885" s="31"/>
      <c r="G885" s="31"/>
      <c r="H885" s="31"/>
    </row>
    <row r="886">
      <c r="C886" s="31"/>
      <c r="D886" s="31"/>
      <c r="E886" s="47"/>
      <c r="F886" s="31"/>
      <c r="G886" s="31"/>
      <c r="H886" s="31"/>
    </row>
    <row r="887">
      <c r="C887" s="31"/>
      <c r="D887" s="31"/>
      <c r="E887" s="47"/>
      <c r="F887" s="31"/>
      <c r="G887" s="31"/>
      <c r="H887" s="31"/>
    </row>
    <row r="888">
      <c r="C888" s="31"/>
      <c r="D888" s="31"/>
      <c r="E888" s="47"/>
      <c r="F888" s="31"/>
      <c r="G888" s="31"/>
      <c r="H888" s="31"/>
    </row>
    <row r="889">
      <c r="C889" s="31"/>
      <c r="D889" s="31"/>
      <c r="E889" s="47"/>
      <c r="F889" s="31"/>
      <c r="G889" s="31"/>
      <c r="H889" s="31"/>
    </row>
    <row r="890">
      <c r="C890" s="31"/>
      <c r="D890" s="31"/>
      <c r="E890" s="47"/>
      <c r="F890" s="31"/>
      <c r="G890" s="31"/>
      <c r="H890" s="31"/>
    </row>
    <row r="891">
      <c r="C891" s="31"/>
      <c r="D891" s="31"/>
      <c r="E891" s="47"/>
      <c r="F891" s="31"/>
      <c r="G891" s="31"/>
      <c r="H891" s="31"/>
    </row>
    <row r="892">
      <c r="C892" s="31"/>
      <c r="D892" s="31"/>
      <c r="E892" s="47"/>
      <c r="F892" s="31"/>
      <c r="G892" s="31"/>
      <c r="H892" s="31"/>
    </row>
    <row r="893">
      <c r="C893" s="31"/>
      <c r="D893" s="31"/>
      <c r="E893" s="47"/>
      <c r="F893" s="31"/>
      <c r="G893" s="31"/>
      <c r="H893" s="31"/>
    </row>
    <row r="894">
      <c r="C894" s="31"/>
      <c r="D894" s="31"/>
      <c r="E894" s="47"/>
      <c r="F894" s="31"/>
      <c r="G894" s="31"/>
      <c r="H894" s="31"/>
    </row>
    <row r="895">
      <c r="C895" s="31"/>
      <c r="D895" s="31"/>
      <c r="E895" s="47"/>
      <c r="F895" s="31"/>
      <c r="G895" s="31"/>
      <c r="H895" s="31"/>
    </row>
    <row r="896">
      <c r="C896" s="31"/>
      <c r="D896" s="31"/>
      <c r="E896" s="47"/>
      <c r="F896" s="31"/>
      <c r="G896" s="31"/>
      <c r="H896" s="31"/>
    </row>
    <row r="897">
      <c r="C897" s="31"/>
      <c r="D897" s="31"/>
      <c r="E897" s="47"/>
      <c r="F897" s="31"/>
      <c r="G897" s="31"/>
      <c r="H897" s="31"/>
    </row>
    <row r="898">
      <c r="C898" s="31"/>
      <c r="D898" s="31"/>
      <c r="E898" s="47"/>
      <c r="F898" s="31"/>
      <c r="G898" s="31"/>
      <c r="H898" s="31"/>
    </row>
    <row r="899">
      <c r="C899" s="31"/>
      <c r="D899" s="31"/>
      <c r="E899" s="47"/>
      <c r="F899" s="31"/>
      <c r="G899" s="31"/>
      <c r="H899" s="31"/>
    </row>
    <row r="900">
      <c r="C900" s="31"/>
      <c r="D900" s="31"/>
      <c r="E900" s="47"/>
      <c r="F900" s="31"/>
      <c r="G900" s="31"/>
      <c r="H900" s="31"/>
    </row>
    <row r="901">
      <c r="C901" s="31"/>
      <c r="D901" s="31"/>
      <c r="E901" s="47"/>
      <c r="F901" s="31"/>
      <c r="G901" s="31"/>
      <c r="H901" s="31"/>
    </row>
    <row r="902">
      <c r="C902" s="31"/>
      <c r="D902" s="31"/>
      <c r="E902" s="47"/>
      <c r="F902" s="31"/>
      <c r="G902" s="31"/>
      <c r="H902" s="31"/>
    </row>
    <row r="903">
      <c r="C903" s="31"/>
      <c r="D903" s="31"/>
      <c r="E903" s="47"/>
      <c r="F903" s="31"/>
      <c r="G903" s="31"/>
      <c r="H903" s="31"/>
    </row>
    <row r="904">
      <c r="C904" s="31"/>
      <c r="D904" s="31"/>
      <c r="E904" s="47"/>
      <c r="F904" s="31"/>
      <c r="G904" s="31"/>
      <c r="H904" s="31"/>
    </row>
    <row r="905">
      <c r="C905" s="31"/>
      <c r="D905" s="31"/>
      <c r="E905" s="47"/>
      <c r="F905" s="31"/>
      <c r="G905" s="31"/>
      <c r="H905" s="31"/>
    </row>
    <row r="906">
      <c r="C906" s="31"/>
      <c r="D906" s="31"/>
      <c r="E906" s="47"/>
      <c r="F906" s="31"/>
      <c r="G906" s="31"/>
      <c r="H906" s="31"/>
    </row>
    <row r="907">
      <c r="C907" s="31"/>
      <c r="D907" s="31"/>
      <c r="E907" s="47"/>
      <c r="F907" s="31"/>
      <c r="G907" s="31"/>
      <c r="H907" s="31"/>
    </row>
    <row r="908">
      <c r="C908" s="31"/>
      <c r="D908" s="31"/>
      <c r="E908" s="47"/>
      <c r="F908" s="31"/>
      <c r="G908" s="31"/>
      <c r="H908" s="31"/>
    </row>
    <row r="909">
      <c r="C909" s="31"/>
      <c r="D909" s="31"/>
      <c r="E909" s="47"/>
      <c r="F909" s="31"/>
      <c r="G909" s="31"/>
      <c r="H909" s="31"/>
    </row>
    <row r="910">
      <c r="C910" s="31"/>
      <c r="D910" s="31"/>
      <c r="E910" s="47"/>
      <c r="F910" s="31"/>
      <c r="G910" s="31"/>
      <c r="H910" s="31"/>
    </row>
    <row r="911">
      <c r="C911" s="31"/>
      <c r="D911" s="31"/>
      <c r="E911" s="47"/>
      <c r="F911" s="31"/>
      <c r="G911" s="31"/>
      <c r="H911" s="31"/>
    </row>
    <row r="912">
      <c r="C912" s="31"/>
      <c r="D912" s="31"/>
      <c r="E912" s="47"/>
      <c r="F912" s="31"/>
      <c r="G912" s="31"/>
      <c r="H912" s="31"/>
    </row>
    <row r="913">
      <c r="C913" s="31"/>
      <c r="D913" s="31"/>
      <c r="E913" s="47"/>
      <c r="F913" s="31"/>
      <c r="G913" s="31"/>
      <c r="H913" s="31"/>
    </row>
    <row r="914">
      <c r="C914" s="31"/>
      <c r="D914" s="31"/>
      <c r="E914" s="47"/>
      <c r="F914" s="31"/>
      <c r="G914" s="31"/>
      <c r="H914" s="31"/>
    </row>
    <row r="915">
      <c r="C915" s="31"/>
      <c r="D915" s="31"/>
      <c r="E915" s="47"/>
      <c r="F915" s="31"/>
      <c r="G915" s="31"/>
      <c r="H915" s="31"/>
    </row>
    <row r="916">
      <c r="C916" s="31"/>
      <c r="D916" s="31"/>
      <c r="E916" s="47"/>
      <c r="F916" s="31"/>
      <c r="G916" s="31"/>
      <c r="H916" s="31"/>
    </row>
    <row r="917">
      <c r="C917" s="31"/>
      <c r="D917" s="31"/>
      <c r="E917" s="47"/>
      <c r="F917" s="31"/>
      <c r="G917" s="31"/>
      <c r="H917" s="31"/>
    </row>
    <row r="918">
      <c r="C918" s="31"/>
      <c r="D918" s="31"/>
      <c r="E918" s="47"/>
      <c r="F918" s="31"/>
      <c r="G918" s="31"/>
      <c r="H918" s="31"/>
    </row>
    <row r="919">
      <c r="C919" s="31"/>
      <c r="D919" s="31"/>
      <c r="E919" s="47"/>
      <c r="F919" s="31"/>
      <c r="G919" s="31"/>
      <c r="H919" s="31"/>
    </row>
    <row r="920">
      <c r="C920" s="31"/>
      <c r="D920" s="31"/>
      <c r="E920" s="47"/>
      <c r="F920" s="31"/>
      <c r="G920" s="31"/>
      <c r="H920" s="31"/>
    </row>
    <row r="921">
      <c r="C921" s="31"/>
      <c r="D921" s="31"/>
      <c r="E921" s="47"/>
      <c r="F921" s="31"/>
      <c r="G921" s="31"/>
      <c r="H921" s="31"/>
    </row>
    <row r="922">
      <c r="C922" s="31"/>
      <c r="D922" s="31"/>
      <c r="E922" s="47"/>
      <c r="F922" s="31"/>
      <c r="G922" s="31"/>
      <c r="H922" s="31"/>
    </row>
    <row r="923">
      <c r="C923" s="31"/>
      <c r="D923" s="31"/>
      <c r="E923" s="47"/>
      <c r="F923" s="31"/>
      <c r="G923" s="31"/>
      <c r="H923" s="31"/>
    </row>
    <row r="924">
      <c r="C924" s="31"/>
      <c r="D924" s="31"/>
      <c r="E924" s="47"/>
      <c r="F924" s="31"/>
      <c r="G924" s="31"/>
      <c r="H924" s="31"/>
    </row>
    <row r="925">
      <c r="C925" s="31"/>
      <c r="D925" s="31"/>
      <c r="E925" s="47"/>
      <c r="F925" s="31"/>
      <c r="G925" s="31"/>
      <c r="H925" s="31"/>
    </row>
    <row r="926">
      <c r="C926" s="31"/>
      <c r="D926" s="31"/>
      <c r="E926" s="47"/>
      <c r="F926" s="31"/>
      <c r="G926" s="31"/>
      <c r="H926" s="31"/>
    </row>
    <row r="927">
      <c r="C927" s="31"/>
      <c r="D927" s="31"/>
      <c r="E927" s="47"/>
      <c r="F927" s="31"/>
      <c r="G927" s="31"/>
      <c r="H927" s="31"/>
    </row>
    <row r="928">
      <c r="C928" s="31"/>
      <c r="D928" s="31"/>
      <c r="E928" s="47"/>
      <c r="F928" s="31"/>
      <c r="G928" s="31"/>
      <c r="H928" s="31"/>
    </row>
    <row r="929">
      <c r="C929" s="31"/>
      <c r="D929" s="31"/>
      <c r="E929" s="47"/>
      <c r="F929" s="31"/>
      <c r="G929" s="31"/>
      <c r="H929" s="31"/>
    </row>
    <row r="930">
      <c r="C930" s="31"/>
      <c r="D930" s="31"/>
      <c r="E930" s="47"/>
      <c r="F930" s="31"/>
      <c r="G930" s="31"/>
      <c r="H930" s="31"/>
    </row>
    <row r="931">
      <c r="C931" s="31"/>
      <c r="D931" s="31"/>
      <c r="E931" s="47"/>
      <c r="F931" s="31"/>
      <c r="G931" s="31"/>
      <c r="H931" s="31"/>
    </row>
    <row r="932">
      <c r="C932" s="31"/>
      <c r="D932" s="31"/>
      <c r="E932" s="47"/>
      <c r="F932" s="31"/>
      <c r="G932" s="31"/>
      <c r="H932" s="31"/>
    </row>
    <row r="933">
      <c r="C933" s="31"/>
      <c r="D933" s="31"/>
      <c r="E933" s="47"/>
      <c r="F933" s="31"/>
      <c r="G933" s="31"/>
      <c r="H933" s="31"/>
    </row>
    <row r="934">
      <c r="C934" s="31"/>
      <c r="D934" s="31"/>
      <c r="E934" s="47"/>
      <c r="F934" s="31"/>
      <c r="G934" s="31"/>
      <c r="H934" s="31"/>
    </row>
    <row r="935">
      <c r="C935" s="31"/>
      <c r="D935" s="31"/>
      <c r="E935" s="47"/>
      <c r="F935" s="31"/>
      <c r="G935" s="31"/>
      <c r="H935" s="31"/>
    </row>
    <row r="936">
      <c r="C936" s="31"/>
      <c r="D936" s="31"/>
      <c r="E936" s="47"/>
      <c r="F936" s="31"/>
      <c r="G936" s="31"/>
      <c r="H936" s="31"/>
    </row>
    <row r="937">
      <c r="C937" s="31"/>
      <c r="D937" s="31"/>
      <c r="E937" s="47"/>
      <c r="F937" s="31"/>
      <c r="G937" s="31"/>
      <c r="H937" s="31"/>
    </row>
    <row r="938">
      <c r="C938" s="31"/>
      <c r="D938" s="31"/>
      <c r="E938" s="47"/>
      <c r="F938" s="31"/>
      <c r="G938" s="31"/>
      <c r="H938" s="31"/>
    </row>
    <row r="939">
      <c r="C939" s="31"/>
      <c r="D939" s="31"/>
      <c r="E939" s="47"/>
      <c r="F939" s="31"/>
      <c r="G939" s="31"/>
      <c r="H939" s="31"/>
    </row>
    <row r="940">
      <c r="C940" s="31"/>
      <c r="D940" s="31"/>
      <c r="E940" s="47"/>
      <c r="F940" s="31"/>
      <c r="G940" s="31"/>
      <c r="H940" s="31"/>
    </row>
    <row r="941">
      <c r="C941" s="31"/>
      <c r="D941" s="31"/>
      <c r="E941" s="47"/>
      <c r="F941" s="31"/>
      <c r="G941" s="31"/>
      <c r="H941" s="31"/>
    </row>
    <row r="942">
      <c r="C942" s="31"/>
      <c r="D942" s="31"/>
      <c r="E942" s="47"/>
      <c r="F942" s="31"/>
      <c r="G942" s="31"/>
      <c r="H942" s="31"/>
    </row>
    <row r="943">
      <c r="C943" s="31"/>
      <c r="D943" s="31"/>
      <c r="E943" s="47"/>
      <c r="F943" s="31"/>
      <c r="G943" s="31"/>
      <c r="H943" s="31"/>
    </row>
    <row r="944">
      <c r="C944" s="31"/>
      <c r="D944" s="31"/>
      <c r="E944" s="47"/>
      <c r="F944" s="31"/>
      <c r="G944" s="31"/>
      <c r="H944" s="31"/>
    </row>
    <row r="945">
      <c r="C945" s="31"/>
      <c r="D945" s="31"/>
      <c r="E945" s="47"/>
      <c r="F945" s="31"/>
      <c r="G945" s="31"/>
      <c r="H945" s="31"/>
    </row>
    <row r="946">
      <c r="C946" s="31"/>
      <c r="D946" s="31"/>
      <c r="E946" s="47"/>
      <c r="F946" s="31"/>
      <c r="G946" s="31"/>
      <c r="H946" s="31"/>
    </row>
    <row r="947">
      <c r="C947" s="31"/>
      <c r="D947" s="31"/>
      <c r="E947" s="47"/>
      <c r="F947" s="31"/>
      <c r="G947" s="31"/>
      <c r="H947" s="31"/>
    </row>
    <row r="948">
      <c r="C948" s="31"/>
      <c r="D948" s="31"/>
      <c r="E948" s="47"/>
      <c r="F948" s="31"/>
      <c r="G948" s="31"/>
      <c r="H948" s="31"/>
    </row>
    <row r="949">
      <c r="C949" s="31"/>
      <c r="D949" s="31"/>
      <c r="E949" s="47"/>
      <c r="F949" s="31"/>
      <c r="G949" s="31"/>
      <c r="H949" s="31"/>
    </row>
    <row r="950">
      <c r="C950" s="31"/>
      <c r="D950" s="31"/>
      <c r="E950" s="47"/>
      <c r="F950" s="31"/>
      <c r="G950" s="31"/>
      <c r="H950" s="31"/>
    </row>
    <row r="951">
      <c r="C951" s="31"/>
      <c r="D951" s="31"/>
      <c r="E951" s="47"/>
      <c r="F951" s="31"/>
      <c r="G951" s="31"/>
      <c r="H951" s="31"/>
    </row>
    <row r="952">
      <c r="C952" s="31"/>
      <c r="D952" s="31"/>
      <c r="E952" s="47"/>
      <c r="F952" s="31"/>
      <c r="G952" s="31"/>
      <c r="H952" s="31"/>
    </row>
    <row r="953">
      <c r="C953" s="31"/>
      <c r="D953" s="31"/>
      <c r="E953" s="47"/>
      <c r="F953" s="31"/>
      <c r="G953" s="31"/>
      <c r="H953" s="31"/>
    </row>
    <row r="954">
      <c r="C954" s="31"/>
      <c r="D954" s="31"/>
      <c r="E954" s="47"/>
      <c r="F954" s="31"/>
      <c r="G954" s="31"/>
      <c r="H954" s="31"/>
    </row>
    <row r="955">
      <c r="C955" s="31"/>
      <c r="D955" s="31"/>
      <c r="E955" s="47"/>
      <c r="F955" s="31"/>
      <c r="G955" s="31"/>
      <c r="H955" s="31"/>
    </row>
    <row r="956">
      <c r="C956" s="31"/>
      <c r="D956" s="31"/>
      <c r="E956" s="47"/>
      <c r="F956" s="31"/>
      <c r="G956" s="31"/>
      <c r="H956" s="31"/>
    </row>
    <row r="957">
      <c r="C957" s="31"/>
      <c r="D957" s="31"/>
      <c r="E957" s="47"/>
      <c r="F957" s="31"/>
      <c r="G957" s="31"/>
      <c r="H957" s="31"/>
    </row>
    <row r="958">
      <c r="C958" s="31"/>
      <c r="D958" s="31"/>
      <c r="E958" s="47"/>
      <c r="F958" s="31"/>
      <c r="G958" s="31"/>
      <c r="H958" s="31"/>
    </row>
    <row r="959">
      <c r="C959" s="31"/>
      <c r="D959" s="31"/>
      <c r="E959" s="47"/>
      <c r="F959" s="31"/>
      <c r="G959" s="31"/>
      <c r="H959" s="31"/>
    </row>
    <row r="960">
      <c r="C960" s="31"/>
      <c r="D960" s="31"/>
      <c r="E960" s="47"/>
      <c r="F960" s="31"/>
      <c r="G960" s="31"/>
      <c r="H960" s="31"/>
    </row>
    <row r="961">
      <c r="C961" s="31"/>
      <c r="D961" s="31"/>
      <c r="E961" s="47"/>
      <c r="F961" s="31"/>
      <c r="G961" s="31"/>
      <c r="H961" s="31"/>
    </row>
    <row r="962">
      <c r="C962" s="31"/>
      <c r="D962" s="31"/>
      <c r="E962" s="47"/>
      <c r="F962" s="31"/>
      <c r="G962" s="31"/>
      <c r="H962" s="31"/>
    </row>
    <row r="963">
      <c r="C963" s="31"/>
      <c r="D963" s="31"/>
      <c r="E963" s="47"/>
      <c r="F963" s="31"/>
      <c r="G963" s="31"/>
      <c r="H963" s="31"/>
    </row>
    <row r="964">
      <c r="C964" s="31"/>
      <c r="D964" s="31"/>
      <c r="E964" s="47"/>
      <c r="F964" s="31"/>
      <c r="G964" s="31"/>
      <c r="H964" s="31"/>
    </row>
    <row r="965">
      <c r="C965" s="31"/>
      <c r="D965" s="31"/>
      <c r="E965" s="47"/>
      <c r="F965" s="31"/>
      <c r="G965" s="31"/>
      <c r="H965" s="31"/>
    </row>
    <row r="966">
      <c r="C966" s="31"/>
      <c r="D966" s="31"/>
      <c r="E966" s="47"/>
      <c r="F966" s="31"/>
      <c r="G966" s="31"/>
      <c r="H966" s="31"/>
    </row>
    <row r="967">
      <c r="C967" s="31"/>
      <c r="D967" s="31"/>
      <c r="E967" s="47"/>
      <c r="F967" s="31"/>
      <c r="G967" s="31"/>
      <c r="H967" s="31"/>
    </row>
    <row r="968">
      <c r="C968" s="31"/>
      <c r="D968" s="31"/>
      <c r="E968" s="47"/>
      <c r="F968" s="31"/>
      <c r="G968" s="31"/>
      <c r="H968" s="31"/>
    </row>
    <row r="969">
      <c r="C969" s="31"/>
      <c r="D969" s="31"/>
      <c r="E969" s="47"/>
      <c r="F969" s="31"/>
      <c r="G969" s="31"/>
      <c r="H969" s="31"/>
    </row>
    <row r="970">
      <c r="C970" s="31"/>
      <c r="D970" s="31"/>
      <c r="E970" s="47"/>
      <c r="F970" s="31"/>
      <c r="G970" s="31"/>
      <c r="H970" s="31"/>
    </row>
    <row r="971">
      <c r="C971" s="31"/>
      <c r="D971" s="31"/>
      <c r="E971" s="47"/>
      <c r="F971" s="31"/>
      <c r="G971" s="31"/>
      <c r="H971" s="31"/>
    </row>
    <row r="972">
      <c r="C972" s="31"/>
      <c r="D972" s="31"/>
      <c r="E972" s="47"/>
      <c r="F972" s="31"/>
      <c r="G972" s="31"/>
      <c r="H972" s="31"/>
    </row>
    <row r="973">
      <c r="C973" s="31"/>
      <c r="D973" s="31"/>
      <c r="E973" s="47"/>
      <c r="F973" s="31"/>
      <c r="G973" s="31"/>
      <c r="H973" s="31"/>
    </row>
    <row r="974">
      <c r="C974" s="31"/>
      <c r="D974" s="31"/>
      <c r="E974" s="47"/>
      <c r="F974" s="31"/>
      <c r="G974" s="31"/>
      <c r="H974" s="31"/>
    </row>
    <row r="975">
      <c r="C975" s="31"/>
      <c r="D975" s="31"/>
      <c r="E975" s="47"/>
      <c r="F975" s="31"/>
      <c r="G975" s="31"/>
      <c r="H975" s="31"/>
    </row>
    <row r="976">
      <c r="C976" s="31"/>
      <c r="D976" s="31"/>
      <c r="E976" s="47"/>
      <c r="F976" s="31"/>
      <c r="G976" s="31"/>
      <c r="H976" s="31"/>
    </row>
    <row r="977">
      <c r="C977" s="31"/>
      <c r="D977" s="31"/>
      <c r="E977" s="47"/>
      <c r="F977" s="31"/>
      <c r="G977" s="31"/>
      <c r="H977" s="31"/>
    </row>
    <row r="978">
      <c r="C978" s="31"/>
      <c r="D978" s="31"/>
      <c r="E978" s="47"/>
      <c r="F978" s="31"/>
      <c r="G978" s="31"/>
      <c r="H978" s="31"/>
    </row>
    <row r="979">
      <c r="C979" s="31"/>
      <c r="D979" s="31"/>
      <c r="E979" s="47"/>
      <c r="F979" s="31"/>
      <c r="G979" s="31"/>
      <c r="H979" s="31"/>
    </row>
    <row r="980">
      <c r="C980" s="31"/>
      <c r="D980" s="31"/>
      <c r="E980" s="47"/>
      <c r="F980" s="31"/>
      <c r="G980" s="31"/>
      <c r="H980" s="31"/>
    </row>
    <row r="981">
      <c r="C981" s="31"/>
      <c r="D981" s="31"/>
      <c r="E981" s="47"/>
      <c r="F981" s="31"/>
      <c r="G981" s="31"/>
      <c r="H981" s="31"/>
    </row>
    <row r="982">
      <c r="C982" s="31"/>
      <c r="D982" s="31"/>
      <c r="E982" s="47"/>
      <c r="F982" s="31"/>
      <c r="G982" s="31"/>
      <c r="H982" s="31"/>
    </row>
    <row r="983">
      <c r="C983" s="31"/>
      <c r="D983" s="31"/>
      <c r="E983" s="47"/>
      <c r="F983" s="31"/>
      <c r="G983" s="31"/>
      <c r="H983" s="31"/>
    </row>
    <row r="984">
      <c r="C984" s="31"/>
      <c r="D984" s="31"/>
      <c r="E984" s="47"/>
      <c r="F984" s="31"/>
      <c r="G984" s="31"/>
      <c r="H984" s="31"/>
    </row>
    <row r="985">
      <c r="C985" s="31"/>
      <c r="D985" s="31"/>
      <c r="E985" s="47"/>
      <c r="F985" s="31"/>
      <c r="G985" s="31"/>
      <c r="H985" s="31"/>
    </row>
    <row r="986">
      <c r="C986" s="31"/>
      <c r="D986" s="31"/>
      <c r="E986" s="47"/>
      <c r="F986" s="31"/>
      <c r="G986" s="31"/>
      <c r="H986" s="31"/>
    </row>
    <row r="987">
      <c r="C987" s="31"/>
      <c r="D987" s="31"/>
      <c r="E987" s="47"/>
      <c r="F987" s="31"/>
      <c r="G987" s="31"/>
      <c r="H987" s="31"/>
    </row>
    <row r="988">
      <c r="C988" s="31"/>
      <c r="D988" s="31"/>
      <c r="E988" s="47"/>
      <c r="F988" s="31"/>
      <c r="G988" s="31"/>
      <c r="H988" s="31"/>
    </row>
    <row r="989">
      <c r="C989" s="31"/>
      <c r="D989" s="31"/>
      <c r="E989" s="47"/>
      <c r="F989" s="31"/>
      <c r="G989" s="31"/>
      <c r="H989" s="31"/>
    </row>
    <row r="990">
      <c r="C990" s="31"/>
      <c r="D990" s="31"/>
      <c r="E990" s="47"/>
      <c r="F990" s="31"/>
      <c r="G990" s="31"/>
      <c r="H990" s="31"/>
    </row>
    <row r="991">
      <c r="C991" s="31"/>
      <c r="D991" s="31"/>
      <c r="E991" s="47"/>
      <c r="F991" s="31"/>
      <c r="G991" s="31"/>
      <c r="H991" s="31"/>
    </row>
    <row r="992">
      <c r="C992" s="31"/>
      <c r="D992" s="31"/>
      <c r="E992" s="47"/>
      <c r="F992" s="31"/>
      <c r="G992" s="31"/>
      <c r="H992" s="31"/>
    </row>
    <row r="993">
      <c r="C993" s="31"/>
      <c r="D993" s="31"/>
      <c r="E993" s="47"/>
      <c r="F993" s="31"/>
      <c r="G993" s="31"/>
      <c r="H993" s="31"/>
    </row>
    <row r="994">
      <c r="C994" s="31"/>
      <c r="D994" s="31"/>
      <c r="E994" s="47"/>
      <c r="F994" s="31"/>
      <c r="G994" s="31"/>
      <c r="H994" s="31"/>
    </row>
    <row r="995">
      <c r="C995" s="31"/>
      <c r="D995" s="31"/>
      <c r="E995" s="47"/>
      <c r="F995" s="31"/>
      <c r="G995" s="31"/>
      <c r="H995" s="31"/>
    </row>
    <row r="996">
      <c r="C996" s="31"/>
      <c r="D996" s="31"/>
      <c r="E996" s="47"/>
      <c r="F996" s="31"/>
      <c r="G996" s="31"/>
      <c r="H996" s="31"/>
    </row>
    <row r="997">
      <c r="C997" s="31"/>
      <c r="D997" s="31"/>
      <c r="E997" s="47"/>
      <c r="F997" s="31"/>
      <c r="G997" s="31"/>
      <c r="H997" s="31"/>
    </row>
    <row r="998">
      <c r="C998" s="31"/>
      <c r="D998" s="31"/>
      <c r="E998" s="47"/>
      <c r="F998" s="31"/>
      <c r="G998" s="31"/>
      <c r="H998" s="31"/>
    </row>
    <row r="999">
      <c r="C999" s="31"/>
      <c r="D999" s="31"/>
      <c r="E999" s="47"/>
      <c r="F999" s="31"/>
      <c r="G999" s="31"/>
      <c r="H999" s="31"/>
    </row>
    <row r="1000">
      <c r="C1000" s="31"/>
      <c r="D1000" s="31"/>
      <c r="E1000" s="47"/>
      <c r="F1000" s="31"/>
      <c r="G1000" s="31"/>
      <c r="H1000" s="31"/>
    </row>
  </sheetData>
  <conditionalFormatting sqref="H1:H1000">
    <cfRule type="containsText" dxfId="2" priority="1" operator="containsText" text="AVAILABLE">
      <formula>NOT(ISERROR(SEARCH(("AVAILABLE"),(H1))))</formula>
    </cfRule>
  </conditionalFormatting>
  <conditionalFormatting sqref="H1:H1000">
    <cfRule type="containsText" dxfId="3" priority="2" operator="containsText" text="OUT OF STOCKS">
      <formula>NOT(ISERROR(SEARCH(("OUT OF STOCKS"),(H1))))</formula>
    </cfRule>
  </conditionalFormatting>
  <conditionalFormatting sqref="B2:B105 C2:C106">
    <cfRule type="cellIs" dxfId="4" priority="3" operator="lessThan">
      <formula>11</formula>
    </cfRule>
  </conditionalFormatting>
  <conditionalFormatting sqref="C2:C106">
    <cfRule type="cellIs" dxfId="4" priority="4" operator="lessThan">
      <formula>11</formula>
    </cfRule>
  </conditionalFormatting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13"/>
    <col customWidth="1" min="2" max="2" width="8.63"/>
    <col customWidth="1" min="3" max="3" width="12.88"/>
  </cols>
  <sheetData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8.0"/>
    <col customWidth="1" min="2" max="2" width="19.38"/>
    <col customWidth="1" min="3" max="3" width="37.13"/>
    <col customWidth="1" min="4" max="4" width="11.5"/>
    <col customWidth="1" min="5" max="5" width="39.88"/>
    <col customWidth="1" min="6" max="6" width="12.63"/>
    <col customWidth="1" min="7" max="7" width="28.88"/>
    <col customWidth="1" min="8" max="8" width="11.88"/>
  </cols>
  <sheetData>
    <row r="1"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C26" s="15"/>
      <c r="D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 horizontalCentered="1"/>
  <pageMargins bottom="0.75" footer="0.0" header="0.0" left="0.7" right="0.7" top="0.75"/>
  <pageSetup fitToHeight="0" paperSize="9" orientation="landscape" pageOrder="overThenDown"/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6.38"/>
    <col customWidth="1" min="3" max="3" width="9.38"/>
    <col customWidth="1" min="4" max="4" width="18.63"/>
    <col customWidth="1" min="5" max="5" width="15.75"/>
    <col customWidth="1" min="6" max="6" width="7.63"/>
    <col customWidth="1" min="7" max="7" width="6.88"/>
    <col customWidth="1" min="8" max="8" width="5.88"/>
    <col customWidth="1" min="9" max="9" width="28.88"/>
    <col customWidth="1" min="10" max="10" width="6.0"/>
    <col customWidth="1" min="11" max="11" width="6.75"/>
    <col customWidth="1" min="12" max="12" width="4.5"/>
    <col customWidth="1" min="13" max="13" width="16.25"/>
    <col customWidth="1" min="14" max="14" width="21.38"/>
    <col customWidth="1" min="15" max="15" width="11.13"/>
    <col customWidth="1" min="16" max="16" width="10.38"/>
    <col customWidth="1" min="17" max="17" width="7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1">
        <v>46026.56975945602</v>
      </c>
      <c r="B2" s="2" t="s">
        <v>91</v>
      </c>
      <c r="C2" s="5">
        <v>46026.0</v>
      </c>
      <c r="D2" s="2" t="s">
        <v>19</v>
      </c>
      <c r="E2" s="2" t="s">
        <v>798</v>
      </c>
      <c r="F2" s="2" t="s">
        <v>582</v>
      </c>
      <c r="G2" s="2">
        <v>1.0</v>
      </c>
      <c r="H2" s="2" t="s">
        <v>21</v>
      </c>
      <c r="I2" s="2" t="s">
        <v>583</v>
      </c>
      <c r="K2" s="2">
        <v>0.0</v>
      </c>
      <c r="L2" s="2">
        <v>0.0</v>
      </c>
      <c r="M2" s="2" t="s">
        <v>799</v>
      </c>
      <c r="N2" s="2" t="s">
        <v>24</v>
      </c>
      <c r="Q2" s="9" t="s">
        <v>800</v>
      </c>
    </row>
    <row r="3">
      <c r="A3" s="1">
        <v>46029.6186316088</v>
      </c>
      <c r="B3" s="2" t="s">
        <v>91</v>
      </c>
      <c r="C3" s="5">
        <v>46029.0</v>
      </c>
      <c r="D3" s="2" t="s">
        <v>19</v>
      </c>
      <c r="E3" s="2" t="s">
        <v>798</v>
      </c>
      <c r="F3" s="2" t="s">
        <v>574</v>
      </c>
      <c r="G3" s="2">
        <v>1.0</v>
      </c>
      <c r="H3" s="2" t="s">
        <v>571</v>
      </c>
      <c r="I3" s="2" t="s">
        <v>575</v>
      </c>
      <c r="K3" s="2">
        <v>0.0</v>
      </c>
      <c r="L3" s="2">
        <v>0.0</v>
      </c>
      <c r="M3" s="2" t="s">
        <v>801</v>
      </c>
      <c r="N3" s="12" t="s">
        <v>24</v>
      </c>
      <c r="Q3" s="9" t="s">
        <v>802</v>
      </c>
    </row>
    <row r="4">
      <c r="A4" s="1">
        <v>46030.58882960648</v>
      </c>
      <c r="B4" s="2" t="s">
        <v>91</v>
      </c>
      <c r="C4" s="5">
        <v>46030.0</v>
      </c>
      <c r="D4" s="2" t="s">
        <v>19</v>
      </c>
      <c r="E4" s="2" t="s">
        <v>798</v>
      </c>
      <c r="F4" s="2" t="s">
        <v>569</v>
      </c>
      <c r="G4" s="2">
        <v>1.0</v>
      </c>
      <c r="H4" s="2" t="s">
        <v>571</v>
      </c>
      <c r="I4" s="2" t="s">
        <v>570</v>
      </c>
      <c r="K4" s="2">
        <v>0.0</v>
      </c>
      <c r="L4" s="2">
        <v>0.0</v>
      </c>
      <c r="M4" s="2" t="s">
        <v>803</v>
      </c>
      <c r="N4" s="12" t="s">
        <v>24</v>
      </c>
      <c r="Q4" s="9" t="s">
        <v>804</v>
      </c>
    </row>
    <row r="5">
      <c r="A5" s="1">
        <v>46030.58882960648</v>
      </c>
      <c r="B5" s="2" t="s">
        <v>91</v>
      </c>
      <c r="C5" s="5">
        <v>46030.0</v>
      </c>
      <c r="D5" s="2" t="s">
        <v>19</v>
      </c>
      <c r="E5" s="2" t="s">
        <v>798</v>
      </c>
      <c r="F5" s="2" t="s">
        <v>614</v>
      </c>
      <c r="G5" s="2">
        <v>1.0</v>
      </c>
      <c r="H5" s="2" t="s">
        <v>21</v>
      </c>
      <c r="I5" s="2" t="s">
        <v>615</v>
      </c>
      <c r="K5" s="2">
        <v>0.0</v>
      </c>
      <c r="L5" s="2">
        <v>0.0</v>
      </c>
      <c r="M5" s="2" t="s">
        <v>803</v>
      </c>
      <c r="N5" s="12" t="s">
        <v>24</v>
      </c>
      <c r="Q5" s="9" t="s">
        <v>804</v>
      </c>
    </row>
    <row r="6">
      <c r="A6" s="1">
        <v>46031.3680203125</v>
      </c>
      <c r="B6" s="2" t="s">
        <v>91</v>
      </c>
      <c r="C6" s="5">
        <v>46031.0</v>
      </c>
      <c r="D6" s="2" t="s">
        <v>19</v>
      </c>
      <c r="E6" s="2" t="s">
        <v>798</v>
      </c>
      <c r="F6" s="2" t="s">
        <v>572</v>
      </c>
      <c r="G6" s="2">
        <v>1.0</v>
      </c>
      <c r="H6" s="2" t="s">
        <v>571</v>
      </c>
      <c r="I6" s="2" t="s">
        <v>573</v>
      </c>
      <c r="K6" s="2">
        <v>0.0</v>
      </c>
      <c r="L6" s="2">
        <v>0.0</v>
      </c>
      <c r="M6" s="2" t="s">
        <v>803</v>
      </c>
      <c r="N6" s="12" t="s">
        <v>24</v>
      </c>
      <c r="Q6" s="9" t="s">
        <v>805</v>
      </c>
    </row>
    <row r="7">
      <c r="A7" s="1">
        <v>46034.69692364583</v>
      </c>
      <c r="B7" s="2" t="s">
        <v>91</v>
      </c>
      <c r="C7" s="5">
        <v>46033.0</v>
      </c>
      <c r="D7" s="2" t="s">
        <v>19</v>
      </c>
      <c r="E7" s="2" t="s">
        <v>798</v>
      </c>
      <c r="F7" s="2" t="s">
        <v>630</v>
      </c>
      <c r="G7" s="2">
        <v>1.0</v>
      </c>
      <c r="H7" s="2" t="s">
        <v>21</v>
      </c>
      <c r="I7" s="2" t="s">
        <v>631</v>
      </c>
      <c r="K7" s="2">
        <v>0.0</v>
      </c>
      <c r="L7" s="2">
        <v>0.0</v>
      </c>
      <c r="M7" s="2" t="s">
        <v>806</v>
      </c>
      <c r="N7" s="12" t="s">
        <v>24</v>
      </c>
      <c r="Q7" s="9" t="s">
        <v>807</v>
      </c>
    </row>
    <row r="8">
      <c r="A8" s="1">
        <v>46035.62763202546</v>
      </c>
      <c r="B8" s="2" t="s">
        <v>91</v>
      </c>
      <c r="C8" s="5">
        <v>46035.0</v>
      </c>
      <c r="D8" s="2" t="s">
        <v>19</v>
      </c>
      <c r="E8" s="2" t="s">
        <v>798</v>
      </c>
      <c r="F8" s="2" t="s">
        <v>622</v>
      </c>
      <c r="G8" s="2">
        <v>1.0</v>
      </c>
      <c r="H8" s="2" t="s">
        <v>21</v>
      </c>
      <c r="I8" s="2" t="s">
        <v>623</v>
      </c>
      <c r="K8" s="2">
        <v>0.0</v>
      </c>
      <c r="L8" s="2">
        <v>0.0</v>
      </c>
      <c r="M8" s="2" t="s">
        <v>808</v>
      </c>
      <c r="N8" s="12" t="s">
        <v>24</v>
      </c>
      <c r="Q8" s="9" t="s">
        <v>809</v>
      </c>
    </row>
    <row r="9">
      <c r="A9" s="1">
        <v>46035.62763202546</v>
      </c>
      <c r="B9" s="2" t="s">
        <v>91</v>
      </c>
      <c r="C9" s="5">
        <v>46035.0</v>
      </c>
      <c r="D9" s="2" t="s">
        <v>19</v>
      </c>
      <c r="E9" s="2" t="s">
        <v>798</v>
      </c>
      <c r="F9" s="2" t="s">
        <v>606</v>
      </c>
      <c r="G9" s="2">
        <v>1.0</v>
      </c>
      <c r="H9" s="2" t="s">
        <v>21</v>
      </c>
      <c r="I9" s="2" t="s">
        <v>607</v>
      </c>
      <c r="K9" s="2">
        <v>0.0</v>
      </c>
      <c r="L9" s="2">
        <v>0.0</v>
      </c>
      <c r="M9" s="2" t="s">
        <v>808</v>
      </c>
      <c r="N9" s="12" t="s">
        <v>24</v>
      </c>
      <c r="Q9" s="9" t="s">
        <v>809</v>
      </c>
    </row>
    <row r="10">
      <c r="A10" s="1">
        <v>46035.62763202546</v>
      </c>
      <c r="B10" s="2" t="s">
        <v>91</v>
      </c>
      <c r="C10" s="5">
        <v>46035.0</v>
      </c>
      <c r="D10" s="2" t="s">
        <v>19</v>
      </c>
      <c r="E10" s="2" t="s">
        <v>798</v>
      </c>
      <c r="F10" s="2" t="s">
        <v>608</v>
      </c>
      <c r="G10" s="2">
        <v>1.0</v>
      </c>
      <c r="H10" s="2" t="s">
        <v>21</v>
      </c>
      <c r="I10" s="2" t="s">
        <v>609</v>
      </c>
      <c r="K10" s="2">
        <v>0.0</v>
      </c>
      <c r="L10" s="2">
        <v>0.0</v>
      </c>
      <c r="M10" s="2" t="s">
        <v>808</v>
      </c>
      <c r="N10" s="12" t="s">
        <v>24</v>
      </c>
      <c r="Q10" s="9" t="s">
        <v>809</v>
      </c>
    </row>
    <row r="11">
      <c r="A11" s="1">
        <v>46035.62763202546</v>
      </c>
      <c r="B11" s="2" t="s">
        <v>91</v>
      </c>
      <c r="C11" s="5">
        <v>46035.0</v>
      </c>
      <c r="D11" s="2" t="s">
        <v>19</v>
      </c>
      <c r="E11" s="2" t="s">
        <v>798</v>
      </c>
      <c r="F11" s="2" t="s">
        <v>630</v>
      </c>
      <c r="G11" s="2">
        <v>1.0</v>
      </c>
      <c r="H11" s="2" t="s">
        <v>21</v>
      </c>
      <c r="I11" s="2" t="s">
        <v>631</v>
      </c>
      <c r="K11" s="2">
        <v>0.0</v>
      </c>
      <c r="L11" s="2">
        <v>0.0</v>
      </c>
      <c r="M11" s="2" t="s">
        <v>808</v>
      </c>
      <c r="N11" s="12" t="s">
        <v>24</v>
      </c>
      <c r="Q11" s="9" t="s">
        <v>809</v>
      </c>
    </row>
    <row r="12">
      <c r="A12" s="1">
        <v>46036.385851597224</v>
      </c>
      <c r="B12" s="2" t="s">
        <v>91</v>
      </c>
      <c r="C12" s="5">
        <v>46036.0</v>
      </c>
      <c r="D12" s="2" t="s">
        <v>19</v>
      </c>
      <c r="E12" s="2" t="s">
        <v>798</v>
      </c>
      <c r="F12" s="2" t="s">
        <v>636</v>
      </c>
      <c r="G12" s="2">
        <v>1.0</v>
      </c>
      <c r="H12" s="2" t="s">
        <v>21</v>
      </c>
      <c r="I12" s="2" t="s">
        <v>637</v>
      </c>
      <c r="K12" s="2">
        <v>0.0</v>
      </c>
      <c r="L12" s="2">
        <v>0.0</v>
      </c>
      <c r="M12" s="2" t="s">
        <v>810</v>
      </c>
      <c r="N12" s="12" t="s">
        <v>24</v>
      </c>
      <c r="Q12" s="9" t="s">
        <v>811</v>
      </c>
    </row>
    <row r="13">
      <c r="A13" s="1">
        <v>46036.385851597224</v>
      </c>
      <c r="B13" s="2" t="s">
        <v>91</v>
      </c>
      <c r="C13" s="5">
        <v>46036.0</v>
      </c>
      <c r="D13" s="2" t="s">
        <v>19</v>
      </c>
      <c r="E13" s="2" t="s">
        <v>798</v>
      </c>
      <c r="F13" s="2" t="s">
        <v>716</v>
      </c>
      <c r="G13" s="2">
        <v>1.0</v>
      </c>
      <c r="H13" s="2" t="s">
        <v>703</v>
      </c>
      <c r="I13" s="2" t="s">
        <v>717</v>
      </c>
      <c r="K13" s="2">
        <v>0.0</v>
      </c>
      <c r="L13" s="2">
        <v>0.0</v>
      </c>
      <c r="M13" s="2" t="s">
        <v>810</v>
      </c>
      <c r="N13" s="12" t="s">
        <v>24</v>
      </c>
      <c r="Q13" s="9" t="s">
        <v>811</v>
      </c>
    </row>
    <row r="14">
      <c r="A14" s="1">
        <v>46036.385851597224</v>
      </c>
      <c r="B14" s="2" t="s">
        <v>91</v>
      </c>
      <c r="C14" s="5">
        <v>46036.0</v>
      </c>
      <c r="D14" s="2" t="s">
        <v>19</v>
      </c>
      <c r="E14" s="2" t="s">
        <v>798</v>
      </c>
      <c r="F14" s="2" t="s">
        <v>628</v>
      </c>
      <c r="G14" s="2">
        <v>1.0</v>
      </c>
      <c r="H14" s="2" t="s">
        <v>21</v>
      </c>
      <c r="I14" s="2" t="s">
        <v>629</v>
      </c>
      <c r="K14" s="2">
        <v>0.0</v>
      </c>
      <c r="L14" s="2">
        <v>0.0</v>
      </c>
      <c r="M14" s="2" t="s">
        <v>810</v>
      </c>
      <c r="N14" s="12" t="s">
        <v>24</v>
      </c>
      <c r="Q14" s="9" t="s">
        <v>811</v>
      </c>
    </row>
    <row r="15">
      <c r="A15" s="1">
        <v>46041.39555847222</v>
      </c>
      <c r="B15" s="2" t="s">
        <v>91</v>
      </c>
      <c r="C15" s="5">
        <v>46041.0</v>
      </c>
      <c r="D15" s="2" t="s">
        <v>19</v>
      </c>
      <c r="E15" s="2" t="s">
        <v>798</v>
      </c>
      <c r="F15" s="2" t="s">
        <v>572</v>
      </c>
      <c r="G15" s="2">
        <v>1.0</v>
      </c>
      <c r="H15" s="2" t="s">
        <v>571</v>
      </c>
      <c r="I15" s="2" t="s">
        <v>573</v>
      </c>
      <c r="K15" s="2">
        <v>0.0</v>
      </c>
      <c r="L15" s="2">
        <v>0.0</v>
      </c>
      <c r="M15" s="2" t="s">
        <v>812</v>
      </c>
      <c r="N15" s="12" t="s">
        <v>24</v>
      </c>
      <c r="Q15" s="9" t="s">
        <v>813</v>
      </c>
    </row>
    <row r="16">
      <c r="A16" s="1">
        <v>46041.39555847222</v>
      </c>
      <c r="B16" s="2" t="s">
        <v>91</v>
      </c>
      <c r="C16" s="5">
        <v>46041.0</v>
      </c>
      <c r="D16" s="2" t="s">
        <v>19</v>
      </c>
      <c r="E16" s="2" t="s">
        <v>798</v>
      </c>
      <c r="F16" s="2" t="s">
        <v>576</v>
      </c>
      <c r="G16" s="2">
        <v>1.0</v>
      </c>
      <c r="H16" s="2" t="s">
        <v>571</v>
      </c>
      <c r="I16" s="2" t="s">
        <v>577</v>
      </c>
      <c r="K16" s="2">
        <v>0.0</v>
      </c>
      <c r="L16" s="2">
        <v>0.0</v>
      </c>
      <c r="M16" s="2" t="s">
        <v>812</v>
      </c>
      <c r="N16" s="12" t="s">
        <v>24</v>
      </c>
      <c r="Q16" s="9" t="s">
        <v>813</v>
      </c>
    </row>
    <row r="17">
      <c r="A17" s="1">
        <v>46043.40128675926</v>
      </c>
      <c r="B17" s="2" t="s">
        <v>91</v>
      </c>
      <c r="C17" s="5">
        <v>46043.0</v>
      </c>
      <c r="D17" s="2" t="s">
        <v>19</v>
      </c>
      <c r="E17" s="2" t="s">
        <v>798</v>
      </c>
      <c r="F17" s="2" t="s">
        <v>753</v>
      </c>
      <c r="G17" s="2">
        <v>1.0</v>
      </c>
      <c r="H17" s="2" t="s">
        <v>755</v>
      </c>
      <c r="I17" s="2" t="s">
        <v>754</v>
      </c>
      <c r="K17" s="2">
        <v>0.0</v>
      </c>
      <c r="L17" s="2">
        <v>0.0</v>
      </c>
      <c r="M17" s="2" t="s">
        <v>112</v>
      </c>
      <c r="N17" s="12" t="s">
        <v>24</v>
      </c>
      <c r="Q17" s="9" t="s">
        <v>814</v>
      </c>
    </row>
    <row r="18">
      <c r="A18" s="1">
        <v>46043.40128675926</v>
      </c>
      <c r="B18" s="2" t="s">
        <v>91</v>
      </c>
      <c r="C18" s="5">
        <v>46043.0</v>
      </c>
      <c r="D18" s="2" t="s">
        <v>19</v>
      </c>
      <c r="E18" s="2" t="s">
        <v>798</v>
      </c>
      <c r="F18" s="2" t="s">
        <v>758</v>
      </c>
      <c r="G18" s="2">
        <v>1.0</v>
      </c>
      <c r="H18" s="2" t="s">
        <v>755</v>
      </c>
      <c r="I18" s="2" t="s">
        <v>759</v>
      </c>
      <c r="K18" s="2">
        <v>0.0</v>
      </c>
      <c r="L18" s="2">
        <v>0.0</v>
      </c>
      <c r="M18" s="2" t="s">
        <v>112</v>
      </c>
      <c r="N18" s="12" t="s">
        <v>24</v>
      </c>
      <c r="Q18" s="9" t="s">
        <v>814</v>
      </c>
    </row>
    <row r="19">
      <c r="A19" s="1">
        <v>46044.438165</v>
      </c>
      <c r="B19" s="2" t="s">
        <v>91</v>
      </c>
      <c r="C19" s="5">
        <v>46044.0</v>
      </c>
      <c r="D19" s="2" t="s">
        <v>19</v>
      </c>
      <c r="E19" s="2" t="s">
        <v>798</v>
      </c>
      <c r="F19" s="2" t="s">
        <v>775</v>
      </c>
      <c r="G19" s="2">
        <v>1.0</v>
      </c>
      <c r="H19" s="2" t="s">
        <v>21</v>
      </c>
      <c r="I19" s="2" t="s">
        <v>776</v>
      </c>
      <c r="K19" s="2">
        <v>0.0</v>
      </c>
      <c r="L19" s="2">
        <v>0.0</v>
      </c>
      <c r="M19" s="2" t="s">
        <v>369</v>
      </c>
      <c r="N19" s="12" t="s">
        <v>493</v>
      </c>
      <c r="Q19" s="9" t="s">
        <v>815</v>
      </c>
    </row>
    <row r="20">
      <c r="A20" s="14"/>
      <c r="N20" s="4"/>
    </row>
    <row r="21">
      <c r="A21" s="14"/>
      <c r="N21" s="4"/>
    </row>
    <row r="22">
      <c r="A22" s="14"/>
      <c r="N22" s="4"/>
    </row>
    <row r="23">
      <c r="A23" s="14"/>
      <c r="N23" s="4"/>
    </row>
    <row r="24">
      <c r="A24" s="14"/>
      <c r="N24" s="4"/>
    </row>
    <row r="25">
      <c r="A25" s="14"/>
      <c r="N25" s="4"/>
    </row>
    <row r="26">
      <c r="A26" s="14"/>
      <c r="N26" s="4"/>
    </row>
    <row r="27">
      <c r="A27" s="14"/>
      <c r="N27" s="4"/>
    </row>
    <row r="28">
      <c r="A28" s="14"/>
      <c r="N28" s="4"/>
    </row>
    <row r="29">
      <c r="A29" s="14"/>
      <c r="N29" s="4"/>
    </row>
    <row r="30">
      <c r="A30" s="14"/>
      <c r="N30" s="4"/>
    </row>
    <row r="31">
      <c r="A31" s="14"/>
      <c r="N31" s="4"/>
    </row>
    <row r="32">
      <c r="A32" s="14"/>
      <c r="N32" s="4"/>
    </row>
    <row r="33">
      <c r="A33" s="14"/>
      <c r="N33" s="4"/>
    </row>
    <row r="34">
      <c r="A34" s="14"/>
      <c r="N34" s="4"/>
    </row>
    <row r="35">
      <c r="A35" s="14"/>
      <c r="N35" s="4"/>
    </row>
    <row r="36">
      <c r="A36" s="14"/>
      <c r="N36" s="4"/>
    </row>
    <row r="37">
      <c r="A37" s="14"/>
      <c r="N37" s="4"/>
    </row>
    <row r="38">
      <c r="A38" s="14"/>
      <c r="N38" s="4"/>
    </row>
    <row r="39">
      <c r="A39" s="14"/>
      <c r="N39" s="4"/>
    </row>
    <row r="40">
      <c r="A40" s="14"/>
      <c r="N40" s="4"/>
    </row>
    <row r="41">
      <c r="A41" s="14"/>
      <c r="N41" s="4"/>
    </row>
    <row r="42">
      <c r="A42" s="14"/>
      <c r="N42" s="4"/>
    </row>
    <row r="43">
      <c r="A43" s="14"/>
      <c r="N43" s="4"/>
    </row>
    <row r="44">
      <c r="A44" s="14"/>
      <c r="N44" s="4"/>
    </row>
    <row r="45">
      <c r="A45" s="14"/>
      <c r="N45" s="4"/>
    </row>
    <row r="46">
      <c r="A46" s="14"/>
      <c r="N46" s="4"/>
    </row>
    <row r="47">
      <c r="A47" s="14"/>
      <c r="N47" s="4"/>
    </row>
    <row r="48">
      <c r="A48" s="14"/>
      <c r="N48" s="4"/>
    </row>
    <row r="49">
      <c r="A49" s="14"/>
      <c r="N49" s="4"/>
    </row>
    <row r="50">
      <c r="A50" s="14"/>
      <c r="N50" s="4"/>
    </row>
    <row r="51">
      <c r="A51" s="14"/>
      <c r="N51" s="4"/>
    </row>
    <row r="52">
      <c r="A52" s="14"/>
      <c r="N52" s="4"/>
    </row>
    <row r="53">
      <c r="A53" s="14"/>
      <c r="N53" s="4"/>
    </row>
    <row r="54">
      <c r="A54" s="14"/>
      <c r="N54" s="4"/>
    </row>
    <row r="55">
      <c r="A55" s="14"/>
      <c r="N55" s="4"/>
    </row>
    <row r="56">
      <c r="A56" s="14"/>
      <c r="N56" s="4"/>
    </row>
    <row r="57">
      <c r="A57" s="14"/>
      <c r="N57" s="4"/>
    </row>
    <row r="58">
      <c r="A58" s="14"/>
      <c r="N58" s="4"/>
    </row>
    <row r="59">
      <c r="A59" s="14"/>
      <c r="N59" s="4"/>
    </row>
    <row r="60">
      <c r="A60" s="14"/>
      <c r="N60" s="4"/>
    </row>
    <row r="61">
      <c r="A61" s="14"/>
      <c r="N61" s="4"/>
    </row>
    <row r="62">
      <c r="A62" s="14"/>
      <c r="N62" s="4"/>
    </row>
    <row r="63">
      <c r="A63" s="14"/>
      <c r="N63" s="4"/>
    </row>
    <row r="64">
      <c r="A64" s="14"/>
      <c r="N64" s="4"/>
    </row>
    <row r="65">
      <c r="A65" s="14"/>
      <c r="N65" s="4"/>
    </row>
    <row r="66">
      <c r="A66" s="14"/>
      <c r="N66" s="4"/>
    </row>
    <row r="67">
      <c r="A67" s="14"/>
      <c r="N67" s="4"/>
    </row>
    <row r="68">
      <c r="A68" s="14"/>
      <c r="N68" s="4"/>
    </row>
    <row r="69">
      <c r="A69" s="14"/>
      <c r="N69" s="4"/>
    </row>
    <row r="70">
      <c r="A70" s="14"/>
      <c r="N70" s="4"/>
    </row>
    <row r="71">
      <c r="A71" s="14"/>
      <c r="N71" s="4"/>
    </row>
    <row r="72">
      <c r="A72" s="14"/>
      <c r="N72" s="4"/>
    </row>
    <row r="73">
      <c r="A73" s="14"/>
      <c r="N73" s="4"/>
    </row>
    <row r="74">
      <c r="A74" s="14"/>
      <c r="N74" s="4"/>
    </row>
    <row r="75">
      <c r="A75" s="14"/>
      <c r="N75" s="4"/>
    </row>
    <row r="76">
      <c r="A76" s="14"/>
      <c r="N76" s="4"/>
    </row>
    <row r="77">
      <c r="A77" s="14"/>
      <c r="N77" s="4"/>
    </row>
    <row r="78">
      <c r="A78" s="14"/>
      <c r="N78" s="4"/>
    </row>
    <row r="79">
      <c r="A79" s="14"/>
      <c r="N79" s="4"/>
    </row>
    <row r="80">
      <c r="A80" s="14"/>
      <c r="N80" s="4"/>
    </row>
    <row r="81">
      <c r="A81" s="14"/>
      <c r="N81" s="4"/>
    </row>
    <row r="82">
      <c r="A82" s="14"/>
      <c r="N82" s="4"/>
    </row>
    <row r="83">
      <c r="A83" s="14"/>
      <c r="N83" s="4"/>
    </row>
    <row r="84">
      <c r="A84" s="14"/>
      <c r="N84" s="4"/>
    </row>
    <row r="85">
      <c r="A85" s="14"/>
      <c r="N85" s="4"/>
    </row>
    <row r="86">
      <c r="A86" s="14"/>
      <c r="N86" s="4"/>
    </row>
    <row r="87">
      <c r="A87" s="14"/>
      <c r="N87" s="4"/>
    </row>
    <row r="88">
      <c r="A88" s="14"/>
      <c r="N88" s="4"/>
    </row>
    <row r="89">
      <c r="A89" s="14"/>
      <c r="N89" s="4"/>
    </row>
    <row r="90">
      <c r="A90" s="14"/>
      <c r="N90" s="4"/>
    </row>
    <row r="91">
      <c r="A91" s="14"/>
      <c r="N91" s="4"/>
    </row>
    <row r="92">
      <c r="A92" s="14"/>
      <c r="N92" s="4"/>
    </row>
    <row r="93">
      <c r="A93" s="14"/>
      <c r="N93" s="4"/>
    </row>
    <row r="94">
      <c r="A94" s="14"/>
      <c r="N94" s="4"/>
    </row>
    <row r="95">
      <c r="A95" s="14"/>
      <c r="N95" s="4"/>
    </row>
    <row r="96">
      <c r="A96" s="14"/>
      <c r="N96" s="4"/>
    </row>
    <row r="97">
      <c r="A97" s="14"/>
      <c r="N97" s="4"/>
    </row>
    <row r="98">
      <c r="A98" s="14"/>
      <c r="N98" s="4"/>
    </row>
    <row r="99">
      <c r="A99" s="14"/>
      <c r="N99" s="4"/>
    </row>
    <row r="100">
      <c r="A100" s="14"/>
      <c r="N100" s="4"/>
    </row>
    <row r="101">
      <c r="A101" s="14"/>
      <c r="N101" s="4"/>
    </row>
    <row r="102">
      <c r="A102" s="14"/>
      <c r="N102" s="4"/>
    </row>
    <row r="103">
      <c r="A103" s="14"/>
      <c r="N103" s="4"/>
    </row>
    <row r="104">
      <c r="A104" s="14"/>
      <c r="N104" s="4"/>
    </row>
    <row r="105">
      <c r="A105" s="14"/>
      <c r="N105" s="4"/>
    </row>
    <row r="106">
      <c r="A106" s="14"/>
      <c r="N106" s="4"/>
    </row>
    <row r="107">
      <c r="A107" s="14"/>
      <c r="N107" s="4"/>
    </row>
    <row r="108">
      <c r="A108" s="14"/>
      <c r="N108" s="4"/>
    </row>
    <row r="109">
      <c r="A109" s="14"/>
      <c r="N109" s="4"/>
    </row>
    <row r="110">
      <c r="A110" s="14"/>
      <c r="N110" s="4"/>
    </row>
    <row r="111">
      <c r="A111" s="14"/>
      <c r="N111" s="4"/>
    </row>
    <row r="112">
      <c r="A112" s="14"/>
      <c r="N112" s="4"/>
    </row>
    <row r="113">
      <c r="A113" s="14"/>
      <c r="N113" s="4"/>
    </row>
    <row r="114">
      <c r="A114" s="14"/>
      <c r="N114" s="4"/>
    </row>
    <row r="115">
      <c r="A115" s="14"/>
      <c r="N115" s="4"/>
    </row>
    <row r="116">
      <c r="A116" s="14"/>
      <c r="N116" s="4"/>
    </row>
    <row r="117">
      <c r="A117" s="14"/>
      <c r="N117" s="4"/>
    </row>
    <row r="118">
      <c r="A118" s="14"/>
      <c r="N118" s="4"/>
    </row>
    <row r="119">
      <c r="A119" s="14"/>
      <c r="N119" s="4"/>
    </row>
    <row r="120">
      <c r="A120" s="14"/>
      <c r="N120" s="4"/>
    </row>
    <row r="121">
      <c r="A121" s="14"/>
      <c r="N121" s="4"/>
    </row>
    <row r="122">
      <c r="A122" s="14"/>
      <c r="N122" s="4"/>
    </row>
    <row r="123">
      <c r="A123" s="14"/>
      <c r="N123" s="4"/>
    </row>
    <row r="124">
      <c r="A124" s="14"/>
      <c r="N124" s="4"/>
    </row>
    <row r="125">
      <c r="A125" s="14"/>
      <c r="N125" s="4"/>
    </row>
    <row r="126">
      <c r="A126" s="14"/>
      <c r="N126" s="4"/>
    </row>
    <row r="127">
      <c r="A127" s="14"/>
      <c r="N127" s="4"/>
    </row>
    <row r="128">
      <c r="A128" s="14"/>
      <c r="N128" s="4"/>
    </row>
    <row r="129">
      <c r="A129" s="14"/>
      <c r="N129" s="4"/>
    </row>
    <row r="130">
      <c r="A130" s="14"/>
      <c r="N130" s="4"/>
    </row>
    <row r="131">
      <c r="A131" s="14"/>
      <c r="N131" s="4"/>
    </row>
    <row r="132">
      <c r="A132" s="14"/>
      <c r="N132" s="4"/>
    </row>
    <row r="133">
      <c r="A133" s="14"/>
      <c r="N133" s="4"/>
    </row>
    <row r="134">
      <c r="A134" s="14"/>
      <c r="N134" s="4"/>
    </row>
    <row r="135">
      <c r="A135" s="14"/>
      <c r="N135" s="4"/>
    </row>
    <row r="136">
      <c r="A136" s="14"/>
      <c r="N136" s="4"/>
    </row>
    <row r="137">
      <c r="A137" s="14"/>
      <c r="N137" s="4"/>
    </row>
    <row r="138">
      <c r="A138" s="14"/>
      <c r="N138" s="4"/>
    </row>
    <row r="139">
      <c r="A139" s="14"/>
      <c r="N139" s="4"/>
    </row>
    <row r="140">
      <c r="A140" s="14"/>
      <c r="N140" s="4"/>
    </row>
    <row r="141">
      <c r="A141" s="14"/>
      <c r="N141" s="4"/>
    </row>
    <row r="142">
      <c r="A142" s="14"/>
      <c r="N142" s="4"/>
    </row>
    <row r="143">
      <c r="A143" s="14"/>
      <c r="N143" s="4"/>
    </row>
    <row r="144">
      <c r="A144" s="14"/>
      <c r="N144" s="4"/>
    </row>
    <row r="145">
      <c r="A145" s="14"/>
      <c r="N145" s="4"/>
    </row>
    <row r="146">
      <c r="A146" s="14"/>
      <c r="N146" s="4"/>
    </row>
    <row r="147">
      <c r="A147" s="14"/>
      <c r="N147" s="4"/>
    </row>
    <row r="148">
      <c r="A148" s="14"/>
      <c r="N148" s="4"/>
    </row>
    <row r="149">
      <c r="A149" s="14"/>
      <c r="N149" s="4"/>
    </row>
    <row r="150">
      <c r="A150" s="14"/>
      <c r="N150" s="4"/>
    </row>
    <row r="151">
      <c r="A151" s="14"/>
      <c r="N151" s="4"/>
    </row>
    <row r="152">
      <c r="A152" s="14"/>
      <c r="N152" s="4"/>
    </row>
    <row r="153">
      <c r="A153" s="14"/>
      <c r="N153" s="4"/>
    </row>
    <row r="154">
      <c r="A154" s="14"/>
      <c r="N154" s="4"/>
    </row>
    <row r="155">
      <c r="A155" s="14"/>
      <c r="N155" s="4"/>
    </row>
    <row r="156">
      <c r="A156" s="14"/>
      <c r="N156" s="4"/>
    </row>
    <row r="157">
      <c r="A157" s="14"/>
      <c r="N157" s="4"/>
    </row>
    <row r="158">
      <c r="A158" s="14"/>
      <c r="N158" s="4"/>
    </row>
    <row r="159">
      <c r="A159" s="14"/>
      <c r="N159" s="4"/>
    </row>
    <row r="160">
      <c r="A160" s="14"/>
      <c r="N160" s="4"/>
    </row>
    <row r="161">
      <c r="A161" s="14"/>
      <c r="N161" s="4"/>
    </row>
    <row r="162">
      <c r="A162" s="14"/>
      <c r="N162" s="4"/>
    </row>
    <row r="163">
      <c r="A163" s="14"/>
      <c r="N163" s="4"/>
    </row>
    <row r="164">
      <c r="A164" s="14"/>
      <c r="N164" s="4"/>
    </row>
    <row r="165">
      <c r="A165" s="14"/>
      <c r="N165" s="4"/>
    </row>
    <row r="166">
      <c r="A166" s="14"/>
      <c r="N166" s="4"/>
    </row>
    <row r="167">
      <c r="A167" s="14"/>
      <c r="N167" s="4"/>
    </row>
    <row r="168">
      <c r="A168" s="14"/>
      <c r="N168" s="4"/>
    </row>
    <row r="169">
      <c r="A169" s="14"/>
      <c r="N169" s="4"/>
    </row>
    <row r="170">
      <c r="A170" s="14"/>
      <c r="N170" s="4"/>
    </row>
    <row r="171">
      <c r="A171" s="14"/>
      <c r="N171" s="4"/>
    </row>
    <row r="172">
      <c r="A172" s="14"/>
      <c r="N172" s="4"/>
    </row>
    <row r="173">
      <c r="A173" s="14"/>
      <c r="N173" s="4"/>
    </row>
    <row r="174">
      <c r="A174" s="14"/>
      <c r="N174" s="4"/>
    </row>
    <row r="175">
      <c r="A175" s="14"/>
      <c r="N175" s="4"/>
    </row>
    <row r="176">
      <c r="A176" s="14"/>
      <c r="N176" s="4"/>
    </row>
    <row r="177">
      <c r="A177" s="14"/>
      <c r="N177" s="4"/>
    </row>
    <row r="178">
      <c r="A178" s="14"/>
      <c r="N178" s="4"/>
    </row>
    <row r="179">
      <c r="A179" s="14"/>
      <c r="N179" s="4"/>
    </row>
    <row r="180">
      <c r="A180" s="14"/>
      <c r="N180" s="4"/>
    </row>
    <row r="181">
      <c r="A181" s="14"/>
      <c r="N181" s="4"/>
    </row>
    <row r="182">
      <c r="A182" s="14"/>
      <c r="N182" s="4"/>
    </row>
    <row r="183">
      <c r="A183" s="14"/>
      <c r="N183" s="4"/>
    </row>
    <row r="184">
      <c r="A184" s="14"/>
      <c r="N184" s="4"/>
    </row>
    <row r="185">
      <c r="A185" s="14"/>
      <c r="N185" s="4"/>
    </row>
    <row r="186">
      <c r="A186" s="14"/>
      <c r="N186" s="4"/>
    </row>
    <row r="187">
      <c r="A187" s="14"/>
      <c r="N187" s="4"/>
    </row>
    <row r="188">
      <c r="A188" s="14"/>
      <c r="N188" s="4"/>
    </row>
    <row r="189">
      <c r="A189" s="14"/>
      <c r="N189" s="4"/>
    </row>
    <row r="190">
      <c r="A190" s="14"/>
      <c r="N190" s="4"/>
    </row>
    <row r="191">
      <c r="A191" s="14"/>
      <c r="N191" s="4"/>
    </row>
    <row r="192">
      <c r="A192" s="14"/>
      <c r="N192" s="4"/>
    </row>
    <row r="193">
      <c r="A193" s="14"/>
      <c r="N193" s="4"/>
    </row>
    <row r="194">
      <c r="A194" s="14"/>
      <c r="N194" s="4"/>
    </row>
    <row r="195">
      <c r="A195" s="14"/>
      <c r="N195" s="4"/>
    </row>
    <row r="196">
      <c r="A196" s="14"/>
      <c r="N196" s="4"/>
    </row>
    <row r="197">
      <c r="A197" s="14"/>
      <c r="N197" s="4"/>
    </row>
    <row r="198">
      <c r="A198" s="14"/>
      <c r="N198" s="4"/>
    </row>
    <row r="199">
      <c r="A199" s="14"/>
      <c r="N199" s="4"/>
    </row>
    <row r="200">
      <c r="A200" s="14"/>
      <c r="N200" s="4"/>
    </row>
    <row r="201">
      <c r="A201" s="14"/>
      <c r="N201" s="4"/>
    </row>
    <row r="202">
      <c r="A202" s="14"/>
      <c r="N202" s="4"/>
    </row>
    <row r="203">
      <c r="A203" s="14"/>
      <c r="N203" s="4"/>
    </row>
    <row r="204">
      <c r="A204" s="14"/>
      <c r="N204" s="4"/>
    </row>
    <row r="205">
      <c r="A205" s="14"/>
      <c r="N205" s="4"/>
    </row>
    <row r="206">
      <c r="A206" s="14"/>
      <c r="N206" s="4"/>
    </row>
    <row r="207">
      <c r="A207" s="14"/>
      <c r="N207" s="4"/>
    </row>
    <row r="208">
      <c r="A208" s="14"/>
      <c r="N208" s="4"/>
    </row>
    <row r="209">
      <c r="A209" s="14"/>
      <c r="N209" s="4"/>
    </row>
    <row r="210">
      <c r="A210" s="14"/>
      <c r="N210" s="4"/>
    </row>
    <row r="211">
      <c r="A211" s="14"/>
      <c r="N211" s="4"/>
    </row>
    <row r="212">
      <c r="A212" s="14"/>
      <c r="N212" s="4"/>
    </row>
    <row r="213">
      <c r="A213" s="14"/>
      <c r="N213" s="4"/>
    </row>
    <row r="214">
      <c r="A214" s="14"/>
      <c r="N214" s="4"/>
    </row>
    <row r="215">
      <c r="A215" s="14"/>
      <c r="N215" s="4"/>
    </row>
    <row r="216">
      <c r="A216" s="14"/>
      <c r="N216" s="4"/>
    </row>
    <row r="217">
      <c r="A217" s="14"/>
      <c r="N217" s="4"/>
    </row>
    <row r="218">
      <c r="A218" s="14"/>
      <c r="N218" s="4"/>
    </row>
    <row r="219">
      <c r="A219" s="14"/>
      <c r="N219" s="4"/>
    </row>
    <row r="220">
      <c r="A220" s="14"/>
      <c r="N220" s="4"/>
    </row>
    <row r="221">
      <c r="A221" s="14"/>
      <c r="N221" s="4"/>
    </row>
    <row r="222">
      <c r="A222" s="14"/>
      <c r="N222" s="4"/>
    </row>
    <row r="223">
      <c r="A223" s="14"/>
      <c r="N223" s="4"/>
    </row>
    <row r="224">
      <c r="A224" s="14"/>
      <c r="N224" s="4"/>
    </row>
    <row r="225">
      <c r="A225" s="14"/>
      <c r="N225" s="4"/>
    </row>
    <row r="226">
      <c r="A226" s="14"/>
      <c r="N226" s="4"/>
    </row>
    <row r="227">
      <c r="A227" s="14"/>
      <c r="N227" s="4"/>
    </row>
    <row r="228">
      <c r="A228" s="14"/>
      <c r="N228" s="4"/>
    </row>
    <row r="229">
      <c r="A229" s="14"/>
      <c r="N229" s="4"/>
    </row>
    <row r="230">
      <c r="A230" s="14"/>
      <c r="N230" s="4"/>
    </row>
    <row r="231">
      <c r="A231" s="14"/>
      <c r="N231" s="4"/>
    </row>
    <row r="232">
      <c r="A232" s="14"/>
      <c r="N232" s="4"/>
    </row>
    <row r="233">
      <c r="A233" s="14"/>
      <c r="N233" s="4"/>
    </row>
    <row r="234">
      <c r="A234" s="14"/>
      <c r="N234" s="4"/>
    </row>
    <row r="235">
      <c r="A235" s="14"/>
      <c r="N235" s="4"/>
    </row>
    <row r="236">
      <c r="A236" s="14"/>
      <c r="N236" s="4"/>
    </row>
    <row r="237">
      <c r="A237" s="14"/>
      <c r="N237" s="4"/>
    </row>
    <row r="238">
      <c r="A238" s="14"/>
      <c r="N238" s="4"/>
    </row>
    <row r="239">
      <c r="A239" s="14"/>
      <c r="N239" s="4"/>
    </row>
    <row r="240">
      <c r="A240" s="14"/>
      <c r="N240" s="4"/>
    </row>
    <row r="241">
      <c r="A241" s="14"/>
      <c r="N241" s="4"/>
    </row>
    <row r="242">
      <c r="A242" s="14"/>
      <c r="N242" s="4"/>
    </row>
    <row r="243">
      <c r="A243" s="14"/>
      <c r="N243" s="4"/>
    </row>
    <row r="244">
      <c r="A244" s="14"/>
      <c r="N244" s="4"/>
    </row>
    <row r="245">
      <c r="A245" s="14"/>
      <c r="N245" s="4"/>
    </row>
    <row r="246">
      <c r="A246" s="14"/>
      <c r="N246" s="4"/>
    </row>
    <row r="247">
      <c r="A247" s="14"/>
      <c r="N247" s="4"/>
    </row>
    <row r="248">
      <c r="A248" s="14"/>
      <c r="N248" s="4"/>
    </row>
    <row r="249">
      <c r="A249" s="14"/>
      <c r="N249" s="4"/>
    </row>
    <row r="250">
      <c r="A250" s="14"/>
      <c r="N250" s="4"/>
    </row>
    <row r="251">
      <c r="A251" s="14"/>
      <c r="N251" s="4"/>
    </row>
    <row r="252">
      <c r="A252" s="14"/>
      <c r="N252" s="4"/>
    </row>
    <row r="253">
      <c r="A253" s="14"/>
      <c r="N253" s="4"/>
    </row>
    <row r="254">
      <c r="A254" s="14"/>
      <c r="N254" s="4"/>
    </row>
    <row r="255">
      <c r="A255" s="14"/>
      <c r="N255" s="4"/>
    </row>
    <row r="256">
      <c r="A256" s="14"/>
      <c r="N256" s="4"/>
    </row>
    <row r="257">
      <c r="A257" s="14"/>
      <c r="N257" s="4"/>
    </row>
    <row r="258">
      <c r="A258" s="14"/>
      <c r="N258" s="4"/>
    </row>
    <row r="259">
      <c r="A259" s="14"/>
      <c r="N259" s="4"/>
    </row>
    <row r="260">
      <c r="A260" s="14"/>
      <c r="N260" s="4"/>
    </row>
    <row r="261">
      <c r="A261" s="14"/>
      <c r="N261" s="4"/>
    </row>
    <row r="262">
      <c r="A262" s="14"/>
      <c r="N262" s="4"/>
    </row>
    <row r="263">
      <c r="A263" s="14"/>
      <c r="N263" s="4"/>
    </row>
    <row r="264">
      <c r="A264" s="14"/>
      <c r="N264" s="4"/>
    </row>
    <row r="265">
      <c r="A265" s="14"/>
      <c r="N265" s="4"/>
    </row>
    <row r="266">
      <c r="A266" s="14"/>
      <c r="N266" s="4"/>
    </row>
    <row r="267">
      <c r="A267" s="14"/>
      <c r="N267" s="4"/>
    </row>
    <row r="268">
      <c r="A268" s="14"/>
      <c r="N268" s="4"/>
    </row>
    <row r="269">
      <c r="A269" s="14"/>
      <c r="N269" s="4"/>
    </row>
    <row r="270">
      <c r="A270" s="14"/>
      <c r="N270" s="4"/>
    </row>
    <row r="271">
      <c r="A271" s="14"/>
      <c r="N271" s="4"/>
    </row>
    <row r="272">
      <c r="A272" s="14"/>
      <c r="N272" s="4"/>
    </row>
    <row r="273">
      <c r="A273" s="14"/>
      <c r="N273" s="4"/>
    </row>
    <row r="274">
      <c r="A274" s="14"/>
      <c r="N274" s="4"/>
    </row>
    <row r="275">
      <c r="A275" s="14"/>
      <c r="N275" s="4"/>
    </row>
    <row r="276">
      <c r="A276" s="14"/>
      <c r="N276" s="4"/>
    </row>
    <row r="277">
      <c r="A277" s="14"/>
      <c r="N277" s="4"/>
    </row>
    <row r="278">
      <c r="A278" s="14"/>
      <c r="N278" s="4"/>
    </row>
    <row r="279">
      <c r="A279" s="14"/>
      <c r="N279" s="4"/>
    </row>
    <row r="280">
      <c r="A280" s="14"/>
      <c r="N280" s="4"/>
    </row>
    <row r="281">
      <c r="A281" s="14"/>
      <c r="N281" s="4"/>
    </row>
    <row r="282">
      <c r="A282" s="14"/>
      <c r="N282" s="4"/>
    </row>
    <row r="283">
      <c r="A283" s="14"/>
      <c r="N283" s="4"/>
    </row>
    <row r="284">
      <c r="A284" s="14"/>
      <c r="N284" s="4"/>
    </row>
    <row r="285">
      <c r="A285" s="14"/>
      <c r="N285" s="4"/>
    </row>
    <row r="286">
      <c r="A286" s="14"/>
      <c r="N286" s="4"/>
    </row>
    <row r="287">
      <c r="A287" s="14"/>
      <c r="N287" s="4"/>
    </row>
    <row r="288">
      <c r="A288" s="14"/>
      <c r="N288" s="4"/>
    </row>
    <row r="289">
      <c r="A289" s="14"/>
      <c r="N289" s="4"/>
    </row>
    <row r="290">
      <c r="A290" s="14"/>
      <c r="N290" s="4"/>
    </row>
    <row r="291">
      <c r="A291" s="14"/>
      <c r="N291" s="4"/>
    </row>
    <row r="292">
      <c r="A292" s="14"/>
      <c r="N292" s="4"/>
    </row>
    <row r="293">
      <c r="A293" s="14"/>
      <c r="N293" s="4"/>
    </row>
    <row r="294">
      <c r="A294" s="14"/>
      <c r="N294" s="4"/>
    </row>
    <row r="295">
      <c r="A295" s="14"/>
      <c r="N295" s="4"/>
    </row>
    <row r="296">
      <c r="A296" s="14"/>
      <c r="N296" s="4"/>
    </row>
    <row r="297">
      <c r="A297" s="14"/>
      <c r="N297" s="4"/>
    </row>
    <row r="298">
      <c r="A298" s="14"/>
      <c r="N298" s="4"/>
    </row>
    <row r="299">
      <c r="A299" s="14"/>
      <c r="N299" s="4"/>
    </row>
    <row r="300">
      <c r="A300" s="14"/>
      <c r="N300" s="4"/>
    </row>
    <row r="301">
      <c r="A301" s="14"/>
      <c r="N301" s="4"/>
    </row>
    <row r="302">
      <c r="A302" s="14"/>
      <c r="N302" s="4"/>
    </row>
    <row r="303">
      <c r="A303" s="14"/>
      <c r="N303" s="4"/>
    </row>
    <row r="304">
      <c r="A304" s="14"/>
      <c r="N304" s="4"/>
    </row>
    <row r="305">
      <c r="A305" s="14"/>
      <c r="N305" s="4"/>
    </row>
    <row r="306">
      <c r="A306" s="14"/>
      <c r="N306" s="4"/>
    </row>
    <row r="307">
      <c r="A307" s="14"/>
      <c r="N307" s="4"/>
    </row>
    <row r="308">
      <c r="A308" s="14"/>
      <c r="N308" s="4"/>
    </row>
    <row r="309">
      <c r="A309" s="14"/>
      <c r="N309" s="4"/>
    </row>
    <row r="310">
      <c r="A310" s="14"/>
      <c r="N310" s="4"/>
    </row>
    <row r="311">
      <c r="A311" s="14"/>
      <c r="N311" s="4"/>
    </row>
    <row r="312">
      <c r="A312" s="14"/>
      <c r="N312" s="4"/>
    </row>
    <row r="313">
      <c r="A313" s="14"/>
      <c r="N313" s="4"/>
    </row>
    <row r="314">
      <c r="A314" s="14"/>
      <c r="N314" s="4"/>
    </row>
    <row r="315">
      <c r="A315" s="14"/>
      <c r="N315" s="4"/>
    </row>
    <row r="316">
      <c r="A316" s="14"/>
      <c r="N316" s="4"/>
    </row>
    <row r="317">
      <c r="A317" s="14"/>
      <c r="N317" s="4"/>
    </row>
    <row r="318">
      <c r="A318" s="14"/>
      <c r="N318" s="4"/>
    </row>
    <row r="319">
      <c r="A319" s="14"/>
      <c r="N319" s="4"/>
    </row>
    <row r="320">
      <c r="A320" s="14"/>
      <c r="N320" s="4"/>
    </row>
    <row r="321">
      <c r="A321" s="14"/>
      <c r="N321" s="4"/>
    </row>
    <row r="322">
      <c r="A322" s="14"/>
      <c r="N322" s="4"/>
    </row>
    <row r="323">
      <c r="A323" s="14"/>
      <c r="N323" s="4"/>
    </row>
    <row r="324">
      <c r="A324" s="14"/>
      <c r="N324" s="4"/>
    </row>
    <row r="325">
      <c r="A325" s="14"/>
      <c r="N325" s="4"/>
    </row>
    <row r="326">
      <c r="A326" s="14"/>
      <c r="N326" s="4"/>
    </row>
    <row r="327">
      <c r="A327" s="14"/>
      <c r="N327" s="4"/>
    </row>
    <row r="328">
      <c r="A328" s="14"/>
      <c r="N328" s="4"/>
    </row>
    <row r="329">
      <c r="A329" s="14"/>
      <c r="N329" s="4"/>
    </row>
    <row r="330">
      <c r="A330" s="14"/>
      <c r="N330" s="4"/>
    </row>
    <row r="331">
      <c r="A331" s="14"/>
      <c r="N331" s="4"/>
    </row>
    <row r="332">
      <c r="A332" s="14"/>
      <c r="N332" s="4"/>
    </row>
    <row r="333">
      <c r="A333" s="14"/>
      <c r="N333" s="4"/>
    </row>
    <row r="334">
      <c r="A334" s="14"/>
      <c r="N334" s="4"/>
    </row>
    <row r="335">
      <c r="A335" s="14"/>
      <c r="N335" s="4"/>
    </row>
    <row r="336">
      <c r="A336" s="14"/>
      <c r="N336" s="4"/>
    </row>
    <row r="337">
      <c r="A337" s="14"/>
      <c r="N337" s="4"/>
    </row>
    <row r="338">
      <c r="A338" s="14"/>
      <c r="N338" s="4"/>
    </row>
    <row r="339">
      <c r="A339" s="14"/>
      <c r="N339" s="4"/>
    </row>
    <row r="340">
      <c r="A340" s="14"/>
      <c r="N340" s="4"/>
    </row>
    <row r="341">
      <c r="A341" s="14"/>
      <c r="N341" s="4"/>
    </row>
    <row r="342">
      <c r="A342" s="14"/>
      <c r="N342" s="4"/>
    </row>
    <row r="343">
      <c r="A343" s="14"/>
      <c r="N343" s="4"/>
    </row>
    <row r="344">
      <c r="A344" s="14"/>
      <c r="N344" s="4"/>
    </row>
    <row r="345">
      <c r="A345" s="14"/>
      <c r="N345" s="4"/>
    </row>
    <row r="346">
      <c r="A346" s="14"/>
      <c r="N346" s="4"/>
    </row>
    <row r="347">
      <c r="A347" s="14"/>
      <c r="N347" s="4"/>
    </row>
    <row r="348">
      <c r="A348" s="14"/>
      <c r="N348" s="4"/>
    </row>
    <row r="349">
      <c r="A349" s="14"/>
      <c r="N349" s="4"/>
    </row>
    <row r="350">
      <c r="A350" s="14"/>
      <c r="N350" s="4"/>
    </row>
    <row r="351">
      <c r="A351" s="14"/>
      <c r="N351" s="4"/>
    </row>
    <row r="352">
      <c r="A352" s="14"/>
      <c r="N352" s="4"/>
    </row>
    <row r="353">
      <c r="A353" s="14"/>
      <c r="N353" s="4"/>
    </row>
    <row r="354">
      <c r="A354" s="14"/>
      <c r="N354" s="4"/>
    </row>
    <row r="355">
      <c r="A355" s="14"/>
      <c r="N355" s="4"/>
    </row>
    <row r="356">
      <c r="A356" s="14"/>
      <c r="N356" s="4"/>
    </row>
    <row r="357">
      <c r="A357" s="14"/>
      <c r="N357" s="4"/>
    </row>
    <row r="358">
      <c r="A358" s="14"/>
      <c r="N358" s="4"/>
    </row>
    <row r="359">
      <c r="A359" s="14"/>
      <c r="N359" s="4"/>
    </row>
    <row r="360">
      <c r="A360" s="14"/>
      <c r="N360" s="4"/>
    </row>
    <row r="361">
      <c r="A361" s="14"/>
      <c r="N361" s="4"/>
    </row>
    <row r="362">
      <c r="A362" s="14"/>
      <c r="N362" s="4"/>
    </row>
    <row r="363">
      <c r="A363" s="14"/>
      <c r="N363" s="4"/>
    </row>
    <row r="364">
      <c r="A364" s="14"/>
      <c r="N364" s="4"/>
    </row>
    <row r="365">
      <c r="A365" s="14"/>
      <c r="N365" s="4"/>
    </row>
    <row r="366">
      <c r="A366" s="14"/>
      <c r="N366" s="4"/>
    </row>
    <row r="367">
      <c r="A367" s="14"/>
      <c r="N367" s="4"/>
    </row>
    <row r="368">
      <c r="A368" s="14"/>
      <c r="N368" s="4"/>
    </row>
    <row r="369">
      <c r="A369" s="14"/>
      <c r="N369" s="4"/>
    </row>
    <row r="370">
      <c r="A370" s="14"/>
      <c r="N370" s="4"/>
    </row>
    <row r="371">
      <c r="A371" s="14"/>
      <c r="N371" s="4"/>
    </row>
    <row r="372">
      <c r="A372" s="14"/>
      <c r="N372" s="4"/>
    </row>
    <row r="373">
      <c r="A373" s="14"/>
      <c r="N373" s="4"/>
    </row>
    <row r="374">
      <c r="A374" s="14"/>
      <c r="N374" s="4"/>
    </row>
    <row r="375">
      <c r="A375" s="14"/>
      <c r="N375" s="4"/>
    </row>
    <row r="376">
      <c r="A376" s="14"/>
      <c r="N376" s="4"/>
    </row>
    <row r="377">
      <c r="A377" s="14"/>
      <c r="N377" s="4"/>
    </row>
    <row r="378">
      <c r="A378" s="14"/>
      <c r="N378" s="4"/>
    </row>
    <row r="379">
      <c r="A379" s="14"/>
      <c r="N379" s="4"/>
    </row>
    <row r="380">
      <c r="A380" s="14"/>
      <c r="N380" s="4"/>
    </row>
    <row r="381">
      <c r="A381" s="14"/>
      <c r="N381" s="4"/>
    </row>
    <row r="382">
      <c r="A382" s="14"/>
      <c r="N382" s="4"/>
    </row>
    <row r="383">
      <c r="A383" s="14"/>
      <c r="N383" s="4"/>
    </row>
    <row r="384">
      <c r="A384" s="14"/>
      <c r="N384" s="4"/>
    </row>
    <row r="385">
      <c r="A385" s="14"/>
      <c r="N385" s="4"/>
    </row>
    <row r="386">
      <c r="A386" s="14"/>
      <c r="N386" s="4"/>
    </row>
    <row r="387">
      <c r="A387" s="14"/>
      <c r="N387" s="4"/>
    </row>
    <row r="388">
      <c r="A388" s="14"/>
      <c r="N388" s="4"/>
    </row>
    <row r="389">
      <c r="A389" s="14"/>
      <c r="N389" s="4"/>
    </row>
    <row r="390">
      <c r="A390" s="14"/>
      <c r="N390" s="4"/>
    </row>
    <row r="391">
      <c r="A391" s="14"/>
      <c r="N391" s="4"/>
    </row>
    <row r="392">
      <c r="A392" s="14"/>
      <c r="N392" s="4"/>
    </row>
    <row r="393">
      <c r="A393" s="14"/>
      <c r="N393" s="4"/>
    </row>
    <row r="394">
      <c r="A394" s="14"/>
      <c r="N394" s="4"/>
    </row>
    <row r="395">
      <c r="A395" s="14"/>
      <c r="N395" s="4"/>
    </row>
    <row r="396">
      <c r="A396" s="14"/>
      <c r="N396" s="4"/>
    </row>
    <row r="397">
      <c r="A397" s="14"/>
      <c r="N397" s="4"/>
    </row>
    <row r="398">
      <c r="A398" s="14"/>
      <c r="N398" s="4"/>
    </row>
    <row r="399">
      <c r="A399" s="14"/>
      <c r="N399" s="4"/>
    </row>
    <row r="400">
      <c r="A400" s="14"/>
      <c r="N400" s="4"/>
    </row>
    <row r="401">
      <c r="A401" s="14"/>
      <c r="N401" s="4"/>
    </row>
    <row r="402">
      <c r="A402" s="14"/>
      <c r="N402" s="4"/>
    </row>
    <row r="403">
      <c r="A403" s="14"/>
      <c r="N403" s="4"/>
    </row>
    <row r="404">
      <c r="A404" s="14"/>
      <c r="N404" s="4"/>
    </row>
    <row r="405">
      <c r="A405" s="14"/>
      <c r="N405" s="4"/>
    </row>
    <row r="406">
      <c r="A406" s="14"/>
      <c r="N406" s="4"/>
    </row>
    <row r="407">
      <c r="A407" s="14"/>
      <c r="N407" s="4"/>
    </row>
    <row r="408">
      <c r="A408" s="14"/>
      <c r="N408" s="4"/>
    </row>
    <row r="409">
      <c r="A409" s="14"/>
      <c r="N409" s="4"/>
    </row>
    <row r="410">
      <c r="A410" s="14"/>
      <c r="N410" s="4"/>
    </row>
    <row r="411">
      <c r="A411" s="14"/>
      <c r="N411" s="4"/>
    </row>
    <row r="412">
      <c r="A412" s="14"/>
      <c r="N412" s="4"/>
    </row>
    <row r="413">
      <c r="A413" s="14"/>
      <c r="N413" s="4"/>
    </row>
    <row r="414">
      <c r="A414" s="14"/>
      <c r="N414" s="4"/>
    </row>
    <row r="415">
      <c r="A415" s="14"/>
      <c r="N415" s="4"/>
    </row>
    <row r="416">
      <c r="A416" s="14"/>
      <c r="N416" s="4"/>
    </row>
    <row r="417">
      <c r="A417" s="14"/>
      <c r="N417" s="4"/>
    </row>
    <row r="418">
      <c r="A418" s="14"/>
      <c r="N418" s="4"/>
    </row>
    <row r="419">
      <c r="A419" s="14"/>
      <c r="N419" s="4"/>
    </row>
    <row r="420">
      <c r="A420" s="14"/>
      <c r="N420" s="4"/>
    </row>
    <row r="421">
      <c r="A421" s="14"/>
      <c r="N421" s="4"/>
    </row>
    <row r="422">
      <c r="A422" s="14"/>
      <c r="N422" s="4"/>
    </row>
    <row r="423">
      <c r="A423" s="14"/>
      <c r="N423" s="4"/>
    </row>
    <row r="424">
      <c r="A424" s="14"/>
      <c r="N424" s="4"/>
    </row>
    <row r="425">
      <c r="A425" s="14"/>
      <c r="N425" s="4"/>
    </row>
  </sheetData>
  <dataValidations>
    <dataValidation type="list" allowBlank="1" showErrorMessage="1" sqref="N1:N425">
      <formula1>"Approved,Pending,Status,No Stocks"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</hyperlinks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1.88"/>
    <col customWidth="1" min="3" max="3" width="9.5"/>
    <col customWidth="1" min="4" max="4" width="18.63"/>
    <col customWidth="1" min="5" max="5" width="15.75"/>
    <col customWidth="1" min="6" max="6" width="7.63"/>
    <col customWidth="1" min="7" max="7" width="3.63"/>
    <col customWidth="1" min="8" max="8" width="5.88"/>
    <col customWidth="1" min="9" max="9" width="30.5"/>
    <col customWidth="1" min="10" max="10" width="6.0"/>
    <col customWidth="1" min="11" max="11" width="6.75"/>
    <col customWidth="1" min="12" max="12" width="4.5"/>
    <col customWidth="1" min="13" max="13" width="15.63"/>
    <col customWidth="1" min="14" max="14" width="13.0"/>
    <col customWidth="1" min="15" max="15" width="11.13"/>
    <col customWidth="1" min="16" max="16" width="10.38"/>
    <col customWidth="1" min="17" max="17" width="71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46038.387262233795</v>
      </c>
      <c r="B2" s="2" t="s">
        <v>18</v>
      </c>
      <c r="C2" s="5">
        <v>46038.0</v>
      </c>
      <c r="D2" s="2" t="s">
        <v>19</v>
      </c>
      <c r="E2" s="2" t="s">
        <v>798</v>
      </c>
      <c r="F2" s="2" t="s">
        <v>644</v>
      </c>
      <c r="G2" s="2">
        <v>3.0</v>
      </c>
      <c r="H2" s="2" t="s">
        <v>66</v>
      </c>
      <c r="I2" s="2" t="s">
        <v>645</v>
      </c>
      <c r="K2" s="2">
        <v>0.0</v>
      </c>
      <c r="L2" s="2">
        <v>0.0</v>
      </c>
      <c r="M2" s="2" t="s">
        <v>816</v>
      </c>
      <c r="N2" s="2" t="s">
        <v>24</v>
      </c>
      <c r="Q2" s="9" t="s">
        <v>817</v>
      </c>
    </row>
    <row r="3">
      <c r="A3" s="63">
        <v>46038.387262233795</v>
      </c>
      <c r="B3" s="2" t="s">
        <v>18</v>
      </c>
      <c r="C3" s="5">
        <v>46038.0</v>
      </c>
      <c r="D3" s="2" t="s">
        <v>19</v>
      </c>
      <c r="E3" s="2" t="s">
        <v>798</v>
      </c>
      <c r="F3" s="2" t="s">
        <v>678</v>
      </c>
      <c r="G3" s="2">
        <v>10.0</v>
      </c>
      <c r="H3" s="2" t="s">
        <v>66</v>
      </c>
      <c r="I3" s="2" t="s">
        <v>679</v>
      </c>
      <c r="K3" s="2">
        <v>0.0</v>
      </c>
      <c r="L3" s="2">
        <v>0.0</v>
      </c>
      <c r="M3" s="2" t="s">
        <v>816</v>
      </c>
      <c r="N3" s="2" t="s">
        <v>24</v>
      </c>
      <c r="Q3" s="9" t="s">
        <v>817</v>
      </c>
    </row>
    <row r="4">
      <c r="A4" s="63">
        <v>46038.387262233795</v>
      </c>
      <c r="B4" s="2" t="s">
        <v>18</v>
      </c>
      <c r="C4" s="5">
        <v>46038.0</v>
      </c>
      <c r="D4" s="2" t="s">
        <v>19</v>
      </c>
      <c r="E4" s="2" t="s">
        <v>798</v>
      </c>
      <c r="F4" s="2" t="s">
        <v>688</v>
      </c>
      <c r="G4" s="2">
        <v>3.0</v>
      </c>
      <c r="H4" s="2" t="s">
        <v>66</v>
      </c>
      <c r="I4" s="2" t="s">
        <v>689</v>
      </c>
      <c r="K4" s="2">
        <v>0.0</v>
      </c>
      <c r="L4" s="2">
        <v>0.0</v>
      </c>
      <c r="M4" s="2" t="s">
        <v>816</v>
      </c>
      <c r="N4" s="2" t="s">
        <v>24</v>
      </c>
      <c r="Q4" s="9" t="s">
        <v>817</v>
      </c>
    </row>
    <row r="5">
      <c r="A5" s="63">
        <v>46038.387262233795</v>
      </c>
      <c r="B5" s="2" t="s">
        <v>18</v>
      </c>
      <c r="C5" s="5">
        <v>46038.0</v>
      </c>
      <c r="D5" s="2" t="s">
        <v>19</v>
      </c>
      <c r="E5" s="2" t="s">
        <v>798</v>
      </c>
      <c r="F5" s="2" t="s">
        <v>572</v>
      </c>
      <c r="G5" s="2">
        <v>1.0</v>
      </c>
      <c r="H5" s="2" t="s">
        <v>571</v>
      </c>
      <c r="I5" s="2" t="s">
        <v>573</v>
      </c>
      <c r="K5" s="2">
        <v>0.0</v>
      </c>
      <c r="L5" s="2">
        <v>0.0</v>
      </c>
      <c r="M5" s="2" t="s">
        <v>816</v>
      </c>
      <c r="N5" s="2" t="s">
        <v>24</v>
      </c>
      <c r="Q5" s="9" t="s">
        <v>817</v>
      </c>
    </row>
    <row r="6">
      <c r="A6" s="63">
        <v>46038.387262233795</v>
      </c>
      <c r="B6" s="2" t="s">
        <v>18</v>
      </c>
      <c r="C6" s="5">
        <v>46038.0</v>
      </c>
      <c r="D6" s="2" t="s">
        <v>19</v>
      </c>
      <c r="E6" s="2" t="s">
        <v>798</v>
      </c>
      <c r="F6" s="2" t="s">
        <v>750</v>
      </c>
      <c r="G6" s="2">
        <v>1.0</v>
      </c>
      <c r="H6" s="2" t="s">
        <v>752</v>
      </c>
      <c r="I6" s="2" t="s">
        <v>751</v>
      </c>
      <c r="K6" s="2">
        <v>0.0</v>
      </c>
      <c r="L6" s="2">
        <v>0.0</v>
      </c>
      <c r="M6" s="2" t="s">
        <v>816</v>
      </c>
      <c r="N6" s="2" t="s">
        <v>24</v>
      </c>
      <c r="Q6" s="9" t="s">
        <v>817</v>
      </c>
    </row>
    <row r="7">
      <c r="A7" s="63">
        <v>46041.627220462964</v>
      </c>
      <c r="B7" s="2" t="s">
        <v>18</v>
      </c>
      <c r="C7" s="5">
        <v>46041.0</v>
      </c>
      <c r="D7" s="2" t="s">
        <v>19</v>
      </c>
      <c r="E7" s="2" t="s">
        <v>798</v>
      </c>
      <c r="F7" s="2" t="s">
        <v>726</v>
      </c>
      <c r="G7" s="2">
        <v>1.0</v>
      </c>
      <c r="H7" s="2" t="s">
        <v>722</v>
      </c>
      <c r="I7" s="2" t="s">
        <v>727</v>
      </c>
      <c r="K7" s="2">
        <v>0.0</v>
      </c>
      <c r="L7" s="2">
        <v>0.0</v>
      </c>
      <c r="M7" s="2" t="s">
        <v>816</v>
      </c>
      <c r="N7" s="2" t="s">
        <v>24</v>
      </c>
      <c r="Q7" s="9" t="s">
        <v>818</v>
      </c>
    </row>
    <row r="8">
      <c r="N8" s="4"/>
    </row>
    <row r="9">
      <c r="N9" s="4"/>
    </row>
    <row r="10">
      <c r="N10" s="4"/>
    </row>
    <row r="11">
      <c r="N11" s="4"/>
    </row>
    <row r="12">
      <c r="N12" s="4"/>
    </row>
    <row r="13">
      <c r="N13" s="4"/>
    </row>
    <row r="14">
      <c r="N14" s="4"/>
    </row>
    <row r="15">
      <c r="N15" s="4"/>
    </row>
    <row r="16">
      <c r="N16" s="4"/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</sheetData>
  <dataValidations>
    <dataValidation type="list" allowBlank="1" showErrorMessage="1" sqref="N1:N955">
      <formula1>"Approved,Pending,Status"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</hyperlinks>
  <drawing r:id="rId7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8.88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6.88"/>
    <col customWidth="1" min="9" max="9" width="19.13"/>
    <col customWidth="1" min="10" max="10" width="6.0"/>
    <col customWidth="1" min="11" max="11" width="6.75"/>
    <col customWidth="1" min="12" max="12" width="4.75"/>
    <col customWidth="1" min="13" max="13" width="15.63"/>
    <col customWidth="1" min="14" max="14" width="14.38"/>
    <col customWidth="1" min="15" max="15" width="11.13"/>
    <col customWidth="1" min="16" max="16" width="10.38"/>
    <col customWidth="1" min="17" max="17" width="71.13"/>
    <col customWidth="1" min="18" max="26" width="13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46028.611579212964</v>
      </c>
      <c r="B2" s="2" t="s">
        <v>101</v>
      </c>
      <c r="C2" s="5">
        <v>46028.0</v>
      </c>
      <c r="D2" s="2" t="s">
        <v>19</v>
      </c>
      <c r="E2" s="2" t="s">
        <v>798</v>
      </c>
      <c r="F2" s="2" t="s">
        <v>572</v>
      </c>
      <c r="G2" s="2">
        <v>1.0</v>
      </c>
      <c r="H2" s="2" t="s">
        <v>571</v>
      </c>
      <c r="I2" s="2" t="s">
        <v>573</v>
      </c>
      <c r="K2" s="2">
        <v>0.0</v>
      </c>
      <c r="L2" s="2">
        <v>0.0</v>
      </c>
      <c r="M2" s="2" t="s">
        <v>819</v>
      </c>
      <c r="N2" s="2" t="s">
        <v>24</v>
      </c>
      <c r="Q2" s="9" t="s">
        <v>820</v>
      </c>
    </row>
    <row r="3">
      <c r="A3" s="63">
        <v>46028.611579212964</v>
      </c>
      <c r="B3" s="2" t="s">
        <v>101</v>
      </c>
      <c r="C3" s="5">
        <v>46028.0</v>
      </c>
      <c r="D3" s="2" t="s">
        <v>19</v>
      </c>
      <c r="E3" s="2" t="s">
        <v>798</v>
      </c>
      <c r="F3" s="2" t="s">
        <v>592</v>
      </c>
      <c r="G3" s="2">
        <v>20.0</v>
      </c>
      <c r="H3" s="2" t="s">
        <v>66</v>
      </c>
      <c r="I3" s="2" t="s">
        <v>593</v>
      </c>
      <c r="K3" s="2">
        <v>0.0</v>
      </c>
      <c r="L3" s="2">
        <v>0.0</v>
      </c>
      <c r="M3" s="2" t="s">
        <v>819</v>
      </c>
      <c r="N3" s="2" t="s">
        <v>24</v>
      </c>
      <c r="Q3" s="9" t="s">
        <v>820</v>
      </c>
    </row>
    <row r="4">
      <c r="A4" s="63">
        <v>46028.611579212964</v>
      </c>
      <c r="B4" s="2" t="s">
        <v>101</v>
      </c>
      <c r="C4" s="5">
        <v>46028.0</v>
      </c>
      <c r="D4" s="2" t="s">
        <v>19</v>
      </c>
      <c r="E4" s="2" t="s">
        <v>798</v>
      </c>
      <c r="F4" s="2" t="s">
        <v>622</v>
      </c>
      <c r="G4" s="2">
        <v>2.0</v>
      </c>
      <c r="H4" s="2" t="s">
        <v>66</v>
      </c>
      <c r="I4" s="2" t="s">
        <v>623</v>
      </c>
      <c r="K4" s="2">
        <v>0.0</v>
      </c>
      <c r="L4" s="2">
        <v>0.0</v>
      </c>
      <c r="M4" s="2" t="s">
        <v>819</v>
      </c>
      <c r="N4" s="2" t="s">
        <v>24</v>
      </c>
      <c r="Q4" s="9" t="s">
        <v>820</v>
      </c>
    </row>
    <row r="5">
      <c r="A5" s="63">
        <v>46028.611579212964</v>
      </c>
      <c r="B5" s="2" t="s">
        <v>101</v>
      </c>
      <c r="C5" s="5">
        <v>46028.0</v>
      </c>
      <c r="D5" s="2" t="s">
        <v>19</v>
      </c>
      <c r="E5" s="2" t="s">
        <v>798</v>
      </c>
      <c r="F5" s="2" t="s">
        <v>690</v>
      </c>
      <c r="G5" s="2">
        <v>3.0</v>
      </c>
      <c r="H5" s="2" t="s">
        <v>66</v>
      </c>
      <c r="I5" s="2" t="s">
        <v>691</v>
      </c>
      <c r="K5" s="2">
        <v>0.0</v>
      </c>
      <c r="L5" s="2">
        <v>0.0</v>
      </c>
      <c r="M5" s="2" t="s">
        <v>819</v>
      </c>
      <c r="N5" s="2" t="s">
        <v>24</v>
      </c>
      <c r="Q5" s="9" t="s">
        <v>820</v>
      </c>
    </row>
    <row r="6">
      <c r="A6" s="63">
        <v>46028.611579212964</v>
      </c>
      <c r="B6" s="2" t="s">
        <v>101</v>
      </c>
      <c r="C6" s="5">
        <v>46028.0</v>
      </c>
      <c r="D6" s="2" t="s">
        <v>19</v>
      </c>
      <c r="E6" s="2" t="s">
        <v>798</v>
      </c>
      <c r="F6" s="2" t="s">
        <v>608</v>
      </c>
      <c r="G6" s="2">
        <v>5.0</v>
      </c>
      <c r="H6" s="2" t="s">
        <v>66</v>
      </c>
      <c r="I6" s="2" t="s">
        <v>609</v>
      </c>
      <c r="K6" s="2">
        <v>0.0</v>
      </c>
      <c r="L6" s="2">
        <v>0.0</v>
      </c>
      <c r="M6" s="2" t="s">
        <v>819</v>
      </c>
      <c r="N6" s="2" t="s">
        <v>24</v>
      </c>
      <c r="Q6" s="9" t="s">
        <v>820</v>
      </c>
    </row>
    <row r="7">
      <c r="A7" s="63">
        <v>46028.611579212964</v>
      </c>
      <c r="B7" s="2" t="s">
        <v>101</v>
      </c>
      <c r="C7" s="5">
        <v>46028.0</v>
      </c>
      <c r="D7" s="2" t="s">
        <v>19</v>
      </c>
      <c r="E7" s="2" t="s">
        <v>798</v>
      </c>
      <c r="F7" s="2" t="s">
        <v>614</v>
      </c>
      <c r="G7" s="2">
        <v>1.0</v>
      </c>
      <c r="H7" s="2" t="s">
        <v>21</v>
      </c>
      <c r="I7" s="2" t="s">
        <v>615</v>
      </c>
      <c r="K7" s="2">
        <v>0.0</v>
      </c>
      <c r="L7" s="2">
        <v>0.0</v>
      </c>
      <c r="M7" s="2" t="s">
        <v>819</v>
      </c>
      <c r="N7" s="2" t="s">
        <v>24</v>
      </c>
      <c r="Q7" s="9" t="s">
        <v>820</v>
      </c>
    </row>
    <row r="8">
      <c r="A8" s="63">
        <v>46028.611579212964</v>
      </c>
      <c r="B8" s="2" t="s">
        <v>101</v>
      </c>
      <c r="C8" s="5">
        <v>46028.0</v>
      </c>
      <c r="D8" s="2" t="s">
        <v>19</v>
      </c>
      <c r="E8" s="2" t="s">
        <v>798</v>
      </c>
      <c r="F8" s="2" t="s">
        <v>688</v>
      </c>
      <c r="G8" s="2">
        <v>3.0</v>
      </c>
      <c r="H8" s="2" t="s">
        <v>66</v>
      </c>
      <c r="I8" s="2" t="s">
        <v>689</v>
      </c>
      <c r="K8" s="2">
        <v>0.0</v>
      </c>
      <c r="L8" s="2">
        <v>0.0</v>
      </c>
      <c r="M8" s="2" t="s">
        <v>819</v>
      </c>
      <c r="N8" s="2" t="s">
        <v>24</v>
      </c>
      <c r="Q8" s="9" t="s">
        <v>820</v>
      </c>
    </row>
    <row r="9">
      <c r="A9" s="63">
        <v>46028.611579212964</v>
      </c>
      <c r="B9" s="2" t="s">
        <v>101</v>
      </c>
      <c r="C9" s="5">
        <v>46028.0</v>
      </c>
      <c r="D9" s="2" t="s">
        <v>19</v>
      </c>
      <c r="E9" s="2" t="s">
        <v>798</v>
      </c>
      <c r="F9" s="2" t="s">
        <v>644</v>
      </c>
      <c r="G9" s="2">
        <v>1.0</v>
      </c>
      <c r="H9" s="2" t="s">
        <v>21</v>
      </c>
      <c r="I9" s="2" t="s">
        <v>645</v>
      </c>
      <c r="K9" s="2">
        <v>0.0</v>
      </c>
      <c r="L9" s="2">
        <v>0.0</v>
      </c>
      <c r="M9" s="2" t="s">
        <v>819</v>
      </c>
      <c r="N9" s="2" t="s">
        <v>24</v>
      </c>
      <c r="Q9" s="9" t="s">
        <v>820</v>
      </c>
    </row>
    <row r="10">
      <c r="A10" s="63">
        <v>46028.611579212964</v>
      </c>
      <c r="B10" s="2" t="s">
        <v>101</v>
      </c>
      <c r="C10" s="5">
        <v>46028.0</v>
      </c>
      <c r="D10" s="2" t="s">
        <v>19</v>
      </c>
      <c r="E10" s="2" t="s">
        <v>798</v>
      </c>
      <c r="F10" s="2" t="s">
        <v>678</v>
      </c>
      <c r="G10" s="2">
        <v>6.0</v>
      </c>
      <c r="H10" s="2" t="s">
        <v>66</v>
      </c>
      <c r="I10" s="2" t="s">
        <v>679</v>
      </c>
      <c r="K10" s="2">
        <v>0.0</v>
      </c>
      <c r="L10" s="2">
        <v>0.0</v>
      </c>
      <c r="M10" s="2" t="s">
        <v>819</v>
      </c>
      <c r="N10" s="2" t="s">
        <v>24</v>
      </c>
      <c r="Q10" s="9" t="s">
        <v>820</v>
      </c>
    </row>
    <row r="11">
      <c r="A11" s="63">
        <v>46028.611579212964</v>
      </c>
      <c r="B11" s="2" t="s">
        <v>101</v>
      </c>
      <c r="C11" s="5">
        <v>46028.0</v>
      </c>
      <c r="D11" s="2" t="s">
        <v>19</v>
      </c>
      <c r="E11" s="2" t="s">
        <v>798</v>
      </c>
      <c r="F11" s="2" t="s">
        <v>692</v>
      </c>
      <c r="G11" s="2">
        <v>1.0</v>
      </c>
      <c r="H11" s="2" t="s">
        <v>66</v>
      </c>
      <c r="I11" s="2" t="s">
        <v>693</v>
      </c>
      <c r="K11" s="2">
        <v>0.0</v>
      </c>
      <c r="L11" s="2">
        <v>0.0</v>
      </c>
      <c r="M11" s="2" t="s">
        <v>819</v>
      </c>
      <c r="N11" s="2" t="s">
        <v>24</v>
      </c>
      <c r="Q11" s="9" t="s">
        <v>820</v>
      </c>
    </row>
    <row r="12">
      <c r="A12" s="63">
        <v>46028.611579212964</v>
      </c>
      <c r="B12" s="2" t="s">
        <v>101</v>
      </c>
      <c r="C12" s="5">
        <v>46028.0</v>
      </c>
      <c r="D12" s="2" t="s">
        <v>19</v>
      </c>
      <c r="E12" s="2" t="s">
        <v>798</v>
      </c>
      <c r="F12" s="2" t="s">
        <v>694</v>
      </c>
      <c r="G12" s="2">
        <v>1.0</v>
      </c>
      <c r="H12" s="2" t="s">
        <v>821</v>
      </c>
      <c r="I12" s="2" t="s">
        <v>695</v>
      </c>
      <c r="K12" s="2">
        <v>0.0</v>
      </c>
      <c r="L12" s="2">
        <v>0.0</v>
      </c>
      <c r="M12" s="2" t="s">
        <v>819</v>
      </c>
      <c r="N12" s="2" t="s">
        <v>24</v>
      </c>
      <c r="Q12" s="9" t="s">
        <v>820</v>
      </c>
    </row>
    <row r="13">
      <c r="A13" s="63">
        <v>46028.611579212964</v>
      </c>
      <c r="B13" s="2" t="s">
        <v>101</v>
      </c>
      <c r="C13" s="5">
        <v>46028.0</v>
      </c>
      <c r="D13" s="2" t="s">
        <v>19</v>
      </c>
      <c r="E13" s="2" t="s">
        <v>798</v>
      </c>
      <c r="F13" s="2" t="s">
        <v>760</v>
      </c>
      <c r="G13" s="2">
        <v>1.0</v>
      </c>
      <c r="H13" s="2" t="s">
        <v>822</v>
      </c>
      <c r="I13" s="2" t="s">
        <v>761</v>
      </c>
      <c r="K13" s="2">
        <v>0.0</v>
      </c>
      <c r="L13" s="2">
        <v>0.0</v>
      </c>
      <c r="M13" s="2" t="s">
        <v>819</v>
      </c>
      <c r="N13" s="2" t="s">
        <v>24</v>
      </c>
      <c r="Q13" s="9" t="s">
        <v>820</v>
      </c>
    </row>
    <row r="14">
      <c r="A14" s="63">
        <v>46028.611579212964</v>
      </c>
      <c r="B14" s="2" t="s">
        <v>101</v>
      </c>
      <c r="C14" s="5">
        <v>46028.0</v>
      </c>
      <c r="D14" s="2" t="s">
        <v>19</v>
      </c>
      <c r="E14" s="2" t="s">
        <v>798</v>
      </c>
      <c r="F14" s="2" t="s">
        <v>580</v>
      </c>
      <c r="G14" s="2">
        <v>20.0</v>
      </c>
      <c r="H14" s="2" t="s">
        <v>66</v>
      </c>
      <c r="I14" s="2" t="s">
        <v>581</v>
      </c>
      <c r="K14" s="2">
        <v>0.0</v>
      </c>
      <c r="L14" s="2">
        <v>0.0</v>
      </c>
      <c r="M14" s="2" t="s">
        <v>819</v>
      </c>
      <c r="N14" s="2" t="s">
        <v>24</v>
      </c>
      <c r="Q14" s="9" t="s">
        <v>820</v>
      </c>
    </row>
    <row r="15">
      <c r="A15" s="63">
        <v>46028.611579212964</v>
      </c>
      <c r="B15" s="2" t="s">
        <v>101</v>
      </c>
      <c r="C15" s="5">
        <v>46028.0</v>
      </c>
      <c r="D15" s="2" t="s">
        <v>19</v>
      </c>
      <c r="E15" s="2" t="s">
        <v>798</v>
      </c>
      <c r="F15" s="2" t="s">
        <v>744</v>
      </c>
      <c r="G15" s="2">
        <v>1.0</v>
      </c>
      <c r="H15" s="2" t="s">
        <v>48</v>
      </c>
      <c r="I15" s="2" t="s">
        <v>745</v>
      </c>
      <c r="K15" s="2">
        <v>0.0</v>
      </c>
      <c r="L15" s="2">
        <v>0.0</v>
      </c>
      <c r="M15" s="2" t="s">
        <v>819</v>
      </c>
      <c r="N15" s="2" t="s">
        <v>24</v>
      </c>
      <c r="Q15" s="9" t="s">
        <v>820</v>
      </c>
    </row>
    <row r="16">
      <c r="A16" s="63">
        <v>46037.71559237268</v>
      </c>
      <c r="B16" s="2" t="s">
        <v>101</v>
      </c>
      <c r="C16" s="5">
        <v>46037.0</v>
      </c>
      <c r="D16" s="2" t="s">
        <v>19</v>
      </c>
      <c r="E16" s="2" t="s">
        <v>798</v>
      </c>
      <c r="F16" s="2" t="s">
        <v>574</v>
      </c>
      <c r="G16" s="2">
        <v>1.0</v>
      </c>
      <c r="H16" s="2" t="s">
        <v>571</v>
      </c>
      <c r="I16" s="2" t="s">
        <v>575</v>
      </c>
      <c r="K16" s="2">
        <v>0.0</v>
      </c>
      <c r="L16" s="2">
        <v>0.0</v>
      </c>
      <c r="M16" s="2" t="s">
        <v>819</v>
      </c>
      <c r="N16" s="2" t="s">
        <v>24</v>
      </c>
      <c r="Q16" s="9" t="s">
        <v>823</v>
      </c>
    </row>
    <row r="17">
      <c r="A17" s="63">
        <v>46037.71559237268</v>
      </c>
      <c r="B17" s="2" t="s">
        <v>101</v>
      </c>
      <c r="C17" s="5">
        <v>46037.0</v>
      </c>
      <c r="D17" s="2" t="s">
        <v>19</v>
      </c>
      <c r="E17" s="2" t="s">
        <v>798</v>
      </c>
      <c r="F17" s="2" t="s">
        <v>588</v>
      </c>
      <c r="G17" s="2">
        <v>5.0</v>
      </c>
      <c r="H17" s="2" t="s">
        <v>66</v>
      </c>
      <c r="I17" s="2" t="s">
        <v>589</v>
      </c>
      <c r="K17" s="2">
        <v>0.0</v>
      </c>
      <c r="L17" s="2">
        <v>0.0</v>
      </c>
      <c r="M17" s="2" t="s">
        <v>819</v>
      </c>
      <c r="N17" s="2" t="s">
        <v>24</v>
      </c>
      <c r="Q17" s="9" t="s">
        <v>823</v>
      </c>
    </row>
    <row r="18">
      <c r="A18" s="63">
        <v>46037.71559237268</v>
      </c>
      <c r="B18" s="2" t="s">
        <v>101</v>
      </c>
      <c r="C18" s="5">
        <v>46037.0</v>
      </c>
      <c r="D18" s="2" t="s">
        <v>19</v>
      </c>
      <c r="E18" s="2" t="s">
        <v>798</v>
      </c>
      <c r="F18" s="2" t="s">
        <v>590</v>
      </c>
      <c r="G18" s="2">
        <v>5.0</v>
      </c>
      <c r="H18" s="2" t="s">
        <v>66</v>
      </c>
      <c r="I18" s="2" t="s">
        <v>591</v>
      </c>
      <c r="K18" s="2">
        <v>0.0</v>
      </c>
      <c r="L18" s="2">
        <v>0.0</v>
      </c>
      <c r="M18" s="2" t="s">
        <v>819</v>
      </c>
      <c r="N18" s="2" t="s">
        <v>24</v>
      </c>
      <c r="Q18" s="9" t="s">
        <v>823</v>
      </c>
    </row>
    <row r="19">
      <c r="A19" s="63">
        <v>46037.71559237268</v>
      </c>
      <c r="B19" s="2" t="s">
        <v>101</v>
      </c>
      <c r="C19" s="5">
        <v>46037.0</v>
      </c>
      <c r="D19" s="2" t="s">
        <v>19</v>
      </c>
      <c r="E19" s="2" t="s">
        <v>798</v>
      </c>
      <c r="F19" s="2" t="s">
        <v>606</v>
      </c>
      <c r="G19" s="2">
        <v>6.0</v>
      </c>
      <c r="H19" s="2" t="s">
        <v>66</v>
      </c>
      <c r="I19" s="2" t="s">
        <v>607</v>
      </c>
      <c r="K19" s="2">
        <v>0.0</v>
      </c>
      <c r="L19" s="2">
        <v>0.0</v>
      </c>
      <c r="M19" s="2" t="s">
        <v>819</v>
      </c>
      <c r="N19" s="2" t="s">
        <v>24</v>
      </c>
      <c r="Q19" s="9" t="s">
        <v>823</v>
      </c>
    </row>
    <row r="20">
      <c r="A20" s="63">
        <v>46037.71559237268</v>
      </c>
      <c r="B20" s="2" t="s">
        <v>101</v>
      </c>
      <c r="C20" s="5">
        <v>46037.0</v>
      </c>
      <c r="D20" s="2" t="s">
        <v>19</v>
      </c>
      <c r="E20" s="2" t="s">
        <v>798</v>
      </c>
      <c r="F20" s="2" t="s">
        <v>580</v>
      </c>
      <c r="G20" s="2">
        <v>25.0</v>
      </c>
      <c r="H20" s="2" t="s">
        <v>66</v>
      </c>
      <c r="I20" s="2" t="s">
        <v>581</v>
      </c>
      <c r="K20" s="2">
        <v>0.0</v>
      </c>
      <c r="L20" s="2">
        <v>0.0</v>
      </c>
      <c r="M20" s="2" t="s">
        <v>819</v>
      </c>
      <c r="N20" s="2" t="s">
        <v>24</v>
      </c>
      <c r="Q20" s="9" t="s">
        <v>823</v>
      </c>
    </row>
    <row r="21">
      <c r="A21" s="63">
        <v>46037.71559237268</v>
      </c>
      <c r="B21" s="2" t="s">
        <v>101</v>
      </c>
      <c r="C21" s="5">
        <v>46037.0</v>
      </c>
      <c r="D21" s="2" t="s">
        <v>19</v>
      </c>
      <c r="E21" s="2" t="s">
        <v>798</v>
      </c>
      <c r="F21" s="2" t="s">
        <v>598</v>
      </c>
      <c r="G21" s="2">
        <v>5.0</v>
      </c>
      <c r="H21" s="2" t="s">
        <v>66</v>
      </c>
      <c r="I21" s="2" t="s">
        <v>599</v>
      </c>
      <c r="K21" s="2">
        <v>0.0</v>
      </c>
      <c r="L21" s="2">
        <v>0.0</v>
      </c>
      <c r="M21" s="2" t="s">
        <v>819</v>
      </c>
      <c r="N21" s="2" t="s">
        <v>24</v>
      </c>
      <c r="Q21" s="9" t="s">
        <v>823</v>
      </c>
    </row>
    <row r="22">
      <c r="A22" s="63">
        <v>46043.64595627315</v>
      </c>
      <c r="B22" s="2" t="s">
        <v>101</v>
      </c>
      <c r="C22" s="5">
        <v>46044.0</v>
      </c>
      <c r="D22" s="2" t="s">
        <v>19</v>
      </c>
      <c r="E22" s="2" t="s">
        <v>798</v>
      </c>
      <c r="G22" s="2">
        <v>1.0</v>
      </c>
      <c r="I22" s="2" t="s">
        <v>824</v>
      </c>
      <c r="K22" s="2">
        <v>0.0</v>
      </c>
      <c r="L22" s="2">
        <v>0.0</v>
      </c>
      <c r="M22" s="2">
        <v>1.0</v>
      </c>
      <c r="N22" s="2" t="s">
        <v>825</v>
      </c>
      <c r="Q22" s="9" t="s">
        <v>826</v>
      </c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</sheetData>
  <dataValidations>
    <dataValidation type="list" allowBlank="1" showErrorMessage="1" sqref="N1:N966">
      <formula1>"Approved,Pending,not allowed"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</hyperlinks>
  <printOptions horizontalCentered="1"/>
  <pageMargins bottom="0.75" footer="0.0" header="0.0" left="0.25" right="0.25" top="0.75"/>
  <pageSetup orientation="landscape" pageOrder="overThenDown"/>
  <drawing r:id="rId2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9.0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5.13"/>
    <col customWidth="1" min="9" max="9" width="39.88"/>
    <col customWidth="1" min="10" max="10" width="6.0"/>
    <col customWidth="1" min="11" max="11" width="6.75"/>
    <col customWidth="1" min="12" max="12" width="4.5"/>
    <col customWidth="1" min="13" max="13" width="11.5"/>
    <col customWidth="1" min="14" max="14" width="13.0"/>
    <col customWidth="1" min="15" max="15" width="11.13"/>
    <col customWidth="1" min="16" max="16" width="10.38"/>
    <col customWidth="1" min="17" max="17" width="72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46029.361280474535</v>
      </c>
      <c r="B2" s="2" t="s">
        <v>36</v>
      </c>
      <c r="C2" s="5">
        <v>46029.0</v>
      </c>
      <c r="D2" s="2" t="s">
        <v>19</v>
      </c>
      <c r="E2" s="2" t="s">
        <v>798</v>
      </c>
      <c r="F2" s="2" t="s">
        <v>740</v>
      </c>
      <c r="G2" s="2">
        <v>1.0</v>
      </c>
      <c r="H2" s="2" t="s">
        <v>21</v>
      </c>
      <c r="I2" s="2" t="s">
        <v>741</v>
      </c>
      <c r="K2" s="2">
        <v>0.0</v>
      </c>
      <c r="L2" s="2">
        <v>0.0</v>
      </c>
      <c r="M2" s="2" t="s">
        <v>238</v>
      </c>
      <c r="N2" s="2" t="s">
        <v>24</v>
      </c>
      <c r="Q2" s="9" t="s">
        <v>827</v>
      </c>
    </row>
    <row r="3">
      <c r="A3" s="63">
        <v>46029.361280474535</v>
      </c>
      <c r="B3" s="2" t="s">
        <v>36</v>
      </c>
      <c r="C3" s="5">
        <v>46029.0</v>
      </c>
      <c r="D3" s="2" t="s">
        <v>19</v>
      </c>
      <c r="E3" s="2" t="s">
        <v>798</v>
      </c>
      <c r="F3" s="2" t="s">
        <v>678</v>
      </c>
      <c r="G3" s="2">
        <v>6.0</v>
      </c>
      <c r="H3" s="2" t="s">
        <v>66</v>
      </c>
      <c r="I3" s="2" t="s">
        <v>679</v>
      </c>
      <c r="K3" s="2">
        <v>0.0</v>
      </c>
      <c r="L3" s="2">
        <v>0.0</v>
      </c>
      <c r="M3" s="2" t="s">
        <v>238</v>
      </c>
      <c r="N3" s="2" t="s">
        <v>24</v>
      </c>
      <c r="Q3" s="9" t="s">
        <v>827</v>
      </c>
    </row>
    <row r="4">
      <c r="A4" s="63">
        <v>46029.361280474535</v>
      </c>
      <c r="B4" s="2" t="s">
        <v>36</v>
      </c>
      <c r="C4" s="5">
        <v>46029.0</v>
      </c>
      <c r="D4" s="2" t="s">
        <v>19</v>
      </c>
      <c r="E4" s="2" t="s">
        <v>798</v>
      </c>
      <c r="F4" s="2" t="s">
        <v>692</v>
      </c>
      <c r="G4" s="2">
        <v>1.0</v>
      </c>
      <c r="H4" s="2" t="s">
        <v>21</v>
      </c>
      <c r="I4" s="2" t="s">
        <v>693</v>
      </c>
      <c r="K4" s="2">
        <v>0.0</v>
      </c>
      <c r="L4" s="2">
        <v>0.0</v>
      </c>
      <c r="M4" s="2" t="s">
        <v>238</v>
      </c>
      <c r="N4" s="2" t="s">
        <v>24</v>
      </c>
      <c r="Q4" s="9" t="s">
        <v>827</v>
      </c>
    </row>
    <row r="5">
      <c r="A5" s="63">
        <v>46029.361280474535</v>
      </c>
      <c r="B5" s="2" t="s">
        <v>36</v>
      </c>
      <c r="C5" s="5">
        <v>46029.0</v>
      </c>
      <c r="D5" s="2" t="s">
        <v>19</v>
      </c>
      <c r="E5" s="2" t="s">
        <v>798</v>
      </c>
      <c r="F5" s="2" t="s">
        <v>744</v>
      </c>
      <c r="G5" s="2">
        <v>1.0</v>
      </c>
      <c r="H5" s="2" t="s">
        <v>48</v>
      </c>
      <c r="I5" s="2" t="s">
        <v>745</v>
      </c>
      <c r="K5" s="2">
        <v>0.0</v>
      </c>
      <c r="L5" s="2">
        <v>0.0</v>
      </c>
      <c r="M5" s="2" t="s">
        <v>238</v>
      </c>
      <c r="N5" s="2" t="s">
        <v>24</v>
      </c>
      <c r="Q5" s="9" t="s">
        <v>827</v>
      </c>
    </row>
    <row r="6">
      <c r="A6" s="63">
        <v>46029.361280474535</v>
      </c>
      <c r="B6" s="2" t="s">
        <v>36</v>
      </c>
      <c r="C6" s="5">
        <v>46029.0</v>
      </c>
      <c r="D6" s="2" t="s">
        <v>19</v>
      </c>
      <c r="E6" s="2" t="s">
        <v>798</v>
      </c>
      <c r="F6" s="2" t="s">
        <v>742</v>
      </c>
      <c r="G6" s="2">
        <v>1.0</v>
      </c>
      <c r="H6" s="2" t="s">
        <v>48</v>
      </c>
      <c r="I6" s="2" t="s">
        <v>743</v>
      </c>
      <c r="K6" s="2">
        <v>0.0</v>
      </c>
      <c r="L6" s="2">
        <v>0.0</v>
      </c>
      <c r="M6" s="2" t="s">
        <v>238</v>
      </c>
      <c r="N6" s="2" t="s">
        <v>24</v>
      </c>
      <c r="Q6" s="9" t="s">
        <v>827</v>
      </c>
    </row>
    <row r="7">
      <c r="A7" s="63">
        <v>46035.37256289352</v>
      </c>
      <c r="B7" s="2" t="s">
        <v>36</v>
      </c>
      <c r="C7" s="5">
        <v>46035.0</v>
      </c>
      <c r="D7" s="2" t="s">
        <v>19</v>
      </c>
      <c r="E7" s="2" t="s">
        <v>798</v>
      </c>
      <c r="F7" s="2" t="s">
        <v>756</v>
      </c>
      <c r="G7" s="2">
        <v>1.0</v>
      </c>
      <c r="H7" s="2" t="s">
        <v>755</v>
      </c>
      <c r="I7" s="2" t="s">
        <v>757</v>
      </c>
      <c r="K7" s="2">
        <v>0.0</v>
      </c>
      <c r="L7" s="2">
        <v>0.0</v>
      </c>
      <c r="M7" s="2" t="s">
        <v>238</v>
      </c>
      <c r="N7" s="2" t="s">
        <v>24</v>
      </c>
      <c r="Q7" s="9" t="s">
        <v>828</v>
      </c>
    </row>
    <row r="8">
      <c r="A8" s="63">
        <v>46036.56679483796</v>
      </c>
      <c r="B8" s="2" t="s">
        <v>36</v>
      </c>
      <c r="C8" s="5">
        <v>46036.0</v>
      </c>
      <c r="D8" s="2" t="s">
        <v>19</v>
      </c>
      <c r="E8" s="2" t="s">
        <v>798</v>
      </c>
      <c r="F8" s="2" t="s">
        <v>592</v>
      </c>
      <c r="G8" s="2">
        <v>30.0</v>
      </c>
      <c r="H8" s="2" t="s">
        <v>66</v>
      </c>
      <c r="I8" s="2" t="s">
        <v>593</v>
      </c>
      <c r="K8" s="2">
        <v>0.0</v>
      </c>
      <c r="L8" s="2">
        <v>0.0</v>
      </c>
      <c r="M8" s="2" t="s">
        <v>238</v>
      </c>
      <c r="N8" s="2" t="s">
        <v>24</v>
      </c>
      <c r="Q8" s="9" t="s">
        <v>829</v>
      </c>
    </row>
    <row r="9">
      <c r="A9" s="63">
        <v>46036.56679483796</v>
      </c>
      <c r="B9" s="2" t="s">
        <v>36</v>
      </c>
      <c r="C9" s="5">
        <v>46036.0</v>
      </c>
      <c r="D9" s="2" t="s">
        <v>19</v>
      </c>
      <c r="E9" s="2" t="s">
        <v>798</v>
      </c>
      <c r="F9" s="2" t="s">
        <v>622</v>
      </c>
      <c r="G9" s="2">
        <v>1.0</v>
      </c>
      <c r="H9" s="2" t="s">
        <v>66</v>
      </c>
      <c r="I9" s="2" t="s">
        <v>623</v>
      </c>
      <c r="K9" s="2">
        <v>0.0</v>
      </c>
      <c r="L9" s="2">
        <v>0.0</v>
      </c>
      <c r="M9" s="2" t="s">
        <v>238</v>
      </c>
      <c r="N9" s="2" t="s">
        <v>24</v>
      </c>
      <c r="Q9" s="9" t="s">
        <v>829</v>
      </c>
    </row>
    <row r="10">
      <c r="A10" s="63">
        <v>46036.56679483796</v>
      </c>
      <c r="B10" s="2" t="s">
        <v>36</v>
      </c>
      <c r="C10" s="5">
        <v>46036.0</v>
      </c>
      <c r="D10" s="2" t="s">
        <v>19</v>
      </c>
      <c r="E10" s="2" t="s">
        <v>798</v>
      </c>
      <c r="F10" s="2" t="s">
        <v>701</v>
      </c>
      <c r="G10" s="2">
        <v>1.0</v>
      </c>
      <c r="H10" s="2" t="s">
        <v>703</v>
      </c>
      <c r="I10" s="2" t="s">
        <v>702</v>
      </c>
      <c r="K10" s="2">
        <v>0.0</v>
      </c>
      <c r="L10" s="2">
        <v>0.0</v>
      </c>
      <c r="M10" s="2" t="s">
        <v>238</v>
      </c>
      <c r="N10" s="2" t="s">
        <v>24</v>
      </c>
      <c r="Q10" s="9" t="s">
        <v>829</v>
      </c>
    </row>
    <row r="11">
      <c r="A11" s="63">
        <v>46041.35546358796</v>
      </c>
      <c r="B11" s="2" t="s">
        <v>36</v>
      </c>
      <c r="C11" s="5">
        <v>46041.0</v>
      </c>
      <c r="D11" s="2" t="s">
        <v>19</v>
      </c>
      <c r="E11" s="2" t="s">
        <v>798</v>
      </c>
      <c r="F11" s="2" t="s">
        <v>606</v>
      </c>
      <c r="G11" s="2">
        <v>5.0</v>
      </c>
      <c r="H11" s="2" t="s">
        <v>66</v>
      </c>
      <c r="I11" s="2" t="s">
        <v>607</v>
      </c>
      <c r="K11" s="2">
        <v>0.0</v>
      </c>
      <c r="L11" s="2">
        <v>0.0</v>
      </c>
      <c r="M11" s="2" t="s">
        <v>238</v>
      </c>
      <c r="N11" s="2" t="s">
        <v>24</v>
      </c>
      <c r="Q11" s="9" t="s">
        <v>830</v>
      </c>
    </row>
    <row r="12">
      <c r="A12" s="63">
        <v>46041.35546358796</v>
      </c>
      <c r="B12" s="2" t="s">
        <v>36</v>
      </c>
      <c r="C12" s="5">
        <v>46041.0</v>
      </c>
      <c r="D12" s="2" t="s">
        <v>19</v>
      </c>
      <c r="E12" s="2" t="s">
        <v>798</v>
      </c>
      <c r="F12" s="2" t="s">
        <v>704</v>
      </c>
      <c r="G12" s="2">
        <v>1.0</v>
      </c>
      <c r="H12" s="2" t="s">
        <v>703</v>
      </c>
      <c r="I12" s="2" t="s">
        <v>705</v>
      </c>
      <c r="K12" s="2">
        <v>0.0</v>
      </c>
      <c r="L12" s="2">
        <v>0.0</v>
      </c>
      <c r="M12" s="2" t="s">
        <v>238</v>
      </c>
      <c r="N12" s="2" t="s">
        <v>831</v>
      </c>
      <c r="Q12" s="9" t="s">
        <v>830</v>
      </c>
    </row>
    <row r="13">
      <c r="A13" s="63">
        <v>46042.35171318287</v>
      </c>
      <c r="B13" s="2" t="s">
        <v>36</v>
      </c>
      <c r="C13" s="5">
        <v>46042.0</v>
      </c>
      <c r="D13" s="2" t="s">
        <v>19</v>
      </c>
      <c r="E13" s="2" t="s">
        <v>798</v>
      </c>
      <c r="F13" s="2" t="s">
        <v>678</v>
      </c>
      <c r="G13" s="2">
        <v>6.0</v>
      </c>
      <c r="H13" s="2" t="s">
        <v>66</v>
      </c>
      <c r="I13" s="2" t="s">
        <v>679</v>
      </c>
      <c r="K13" s="2">
        <v>0.0</v>
      </c>
      <c r="L13" s="2">
        <v>0.0</v>
      </c>
      <c r="M13" s="2" t="s">
        <v>832</v>
      </c>
      <c r="N13" s="2" t="s">
        <v>24</v>
      </c>
      <c r="Q13" s="9" t="s">
        <v>833</v>
      </c>
    </row>
    <row r="14">
      <c r="N14" s="4"/>
    </row>
    <row r="15">
      <c r="N15" s="4"/>
    </row>
    <row r="16">
      <c r="N16" s="4"/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</sheetData>
  <dataValidations>
    <dataValidation type="list" allowBlank="1" showErrorMessage="1" sqref="N1:N961">
      <formula1>"Pending,Approved,  Cancel"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</hyperlinks>
  <drawing r:id="rId1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7.38"/>
    <col customWidth="1" min="3" max="3" width="9.5"/>
    <col customWidth="1" min="4" max="4" width="18.63"/>
    <col customWidth="1" min="5" max="5" width="15.75"/>
    <col customWidth="1" min="6" max="6" width="7.63"/>
    <col customWidth="1" min="7" max="7" width="3.63"/>
    <col customWidth="1" min="8" max="8" width="5.88"/>
    <col customWidth="1" min="9" max="9" width="27.88"/>
    <col customWidth="1" min="10" max="10" width="6.0"/>
    <col customWidth="1" min="11" max="11" width="6.75"/>
    <col customWidth="1" min="12" max="12" width="4.5"/>
    <col customWidth="1" min="13" max="13" width="11.5"/>
    <col customWidth="1" min="14" max="14" width="12.0"/>
    <col customWidth="1" min="15" max="15" width="11.13"/>
    <col customWidth="1" min="16" max="16" width="10.38"/>
    <col customWidth="1" min="17" max="17" width="6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1">
        <v>46031.5422495949</v>
      </c>
      <c r="B2" s="2" t="s">
        <v>95</v>
      </c>
      <c r="C2" s="5">
        <v>46031.0</v>
      </c>
      <c r="D2" s="2" t="s">
        <v>19</v>
      </c>
      <c r="E2" s="2" t="s">
        <v>798</v>
      </c>
      <c r="F2" s="2" t="s">
        <v>712</v>
      </c>
      <c r="G2" s="2">
        <v>1.0</v>
      </c>
      <c r="H2" s="2" t="s">
        <v>703</v>
      </c>
      <c r="I2" s="2" t="s">
        <v>713</v>
      </c>
      <c r="K2" s="2">
        <v>0.0</v>
      </c>
      <c r="L2" s="2">
        <v>0.0</v>
      </c>
      <c r="M2" s="2" t="s">
        <v>834</v>
      </c>
      <c r="N2" s="2" t="s">
        <v>24</v>
      </c>
      <c r="Q2" s="9" t="s">
        <v>835</v>
      </c>
    </row>
    <row r="3">
      <c r="A3" s="1">
        <v>46031.5422495949</v>
      </c>
      <c r="B3" s="2" t="s">
        <v>95</v>
      </c>
      <c r="C3" s="5">
        <v>46031.0</v>
      </c>
      <c r="D3" s="2" t="s">
        <v>19</v>
      </c>
      <c r="E3" s="2" t="s">
        <v>798</v>
      </c>
      <c r="F3" s="2" t="s">
        <v>569</v>
      </c>
      <c r="G3" s="2">
        <v>1.0</v>
      </c>
      <c r="H3" s="2" t="s">
        <v>571</v>
      </c>
      <c r="I3" s="2" t="s">
        <v>570</v>
      </c>
      <c r="K3" s="2">
        <v>0.0</v>
      </c>
      <c r="L3" s="2">
        <v>0.0</v>
      </c>
      <c r="M3" s="2" t="s">
        <v>834</v>
      </c>
      <c r="N3" s="2" t="s">
        <v>24</v>
      </c>
      <c r="Q3" s="9" t="s">
        <v>835</v>
      </c>
    </row>
    <row r="4">
      <c r="A4" s="1">
        <v>46031.5422495949</v>
      </c>
      <c r="B4" s="2" t="s">
        <v>95</v>
      </c>
      <c r="C4" s="5">
        <v>46031.0</v>
      </c>
      <c r="D4" s="2" t="s">
        <v>19</v>
      </c>
      <c r="E4" s="2" t="s">
        <v>798</v>
      </c>
      <c r="F4" s="2" t="s">
        <v>574</v>
      </c>
      <c r="G4" s="2">
        <v>1.0</v>
      </c>
      <c r="H4" s="2" t="s">
        <v>571</v>
      </c>
      <c r="I4" s="2" t="s">
        <v>575</v>
      </c>
      <c r="K4" s="2">
        <v>0.0</v>
      </c>
      <c r="L4" s="2">
        <v>0.0</v>
      </c>
      <c r="M4" s="2" t="s">
        <v>834</v>
      </c>
      <c r="N4" s="2" t="s">
        <v>24</v>
      </c>
      <c r="Q4" s="9" t="s">
        <v>835</v>
      </c>
    </row>
    <row r="5">
      <c r="A5" s="1">
        <v>46031.5422495949</v>
      </c>
      <c r="B5" s="2" t="s">
        <v>95</v>
      </c>
      <c r="C5" s="5">
        <v>46031.0</v>
      </c>
      <c r="D5" s="2" t="s">
        <v>19</v>
      </c>
      <c r="E5" s="2" t="s">
        <v>798</v>
      </c>
      <c r="F5" s="2" t="s">
        <v>592</v>
      </c>
      <c r="G5" s="2">
        <v>20.0</v>
      </c>
      <c r="H5" s="2" t="s">
        <v>66</v>
      </c>
      <c r="I5" s="2" t="s">
        <v>593</v>
      </c>
      <c r="K5" s="2">
        <v>0.0</v>
      </c>
      <c r="L5" s="2">
        <v>0.0</v>
      </c>
      <c r="M5" s="2" t="s">
        <v>834</v>
      </c>
      <c r="N5" s="2" t="s">
        <v>24</v>
      </c>
      <c r="Q5" s="9" t="s">
        <v>835</v>
      </c>
    </row>
    <row r="6">
      <c r="A6" s="1">
        <v>46031.5422495949</v>
      </c>
      <c r="B6" s="2" t="s">
        <v>95</v>
      </c>
      <c r="C6" s="5">
        <v>46031.0</v>
      </c>
      <c r="D6" s="2" t="s">
        <v>19</v>
      </c>
      <c r="E6" s="2" t="s">
        <v>798</v>
      </c>
      <c r="F6" s="2" t="s">
        <v>367</v>
      </c>
      <c r="G6" s="2">
        <v>2.0</v>
      </c>
      <c r="H6" s="2" t="s">
        <v>836</v>
      </c>
      <c r="I6" s="2" t="s">
        <v>723</v>
      </c>
      <c r="K6" s="2">
        <v>0.0</v>
      </c>
      <c r="L6" s="2">
        <v>0.0</v>
      </c>
      <c r="M6" s="2" t="s">
        <v>834</v>
      </c>
      <c r="N6" s="2" t="s">
        <v>837</v>
      </c>
      <c r="Q6" s="9" t="s">
        <v>835</v>
      </c>
    </row>
    <row r="7">
      <c r="A7" s="1">
        <v>46031.5422495949</v>
      </c>
      <c r="B7" s="2" t="s">
        <v>95</v>
      </c>
      <c r="C7" s="5">
        <v>46031.0</v>
      </c>
      <c r="D7" s="2" t="s">
        <v>19</v>
      </c>
      <c r="E7" s="2" t="s">
        <v>798</v>
      </c>
      <c r="F7" s="2" t="s">
        <v>586</v>
      </c>
      <c r="G7" s="2">
        <v>11.0</v>
      </c>
      <c r="H7" s="2" t="s">
        <v>66</v>
      </c>
      <c r="I7" s="2" t="s">
        <v>587</v>
      </c>
      <c r="K7" s="2">
        <v>0.0</v>
      </c>
      <c r="L7" s="2">
        <v>0.0</v>
      </c>
      <c r="M7" s="2" t="s">
        <v>834</v>
      </c>
      <c r="N7" s="2" t="s">
        <v>24</v>
      </c>
      <c r="Q7" s="9" t="s">
        <v>835</v>
      </c>
    </row>
    <row r="8">
      <c r="A8" s="1">
        <v>46031.5422495949</v>
      </c>
      <c r="B8" s="2" t="s">
        <v>95</v>
      </c>
      <c r="C8" s="5">
        <v>46031.0</v>
      </c>
      <c r="D8" s="2" t="s">
        <v>19</v>
      </c>
      <c r="E8" s="2" t="s">
        <v>798</v>
      </c>
      <c r="F8" s="2" t="s">
        <v>781</v>
      </c>
      <c r="G8" s="2">
        <v>1.0</v>
      </c>
      <c r="H8" s="2" t="s">
        <v>66</v>
      </c>
      <c r="I8" s="2" t="s">
        <v>126</v>
      </c>
      <c r="K8" s="2">
        <v>0.0</v>
      </c>
      <c r="L8" s="2">
        <v>0.0</v>
      </c>
      <c r="M8" s="2" t="s">
        <v>834</v>
      </c>
      <c r="N8" s="2" t="s">
        <v>24</v>
      </c>
      <c r="Q8" s="9" t="s">
        <v>835</v>
      </c>
    </row>
    <row r="9">
      <c r="A9" s="1">
        <v>46031.5422495949</v>
      </c>
      <c r="B9" s="2" t="s">
        <v>95</v>
      </c>
      <c r="C9" s="5">
        <v>46031.0</v>
      </c>
      <c r="D9" s="2" t="s">
        <v>19</v>
      </c>
      <c r="E9" s="2" t="s">
        <v>798</v>
      </c>
      <c r="F9" s="2" t="s">
        <v>648</v>
      </c>
      <c r="G9" s="2">
        <v>2.0</v>
      </c>
      <c r="H9" s="2" t="s">
        <v>66</v>
      </c>
      <c r="I9" s="2" t="s">
        <v>649</v>
      </c>
      <c r="K9" s="2">
        <v>0.0</v>
      </c>
      <c r="L9" s="2">
        <v>0.0</v>
      </c>
      <c r="M9" s="2" t="s">
        <v>834</v>
      </c>
      <c r="N9" s="2" t="s">
        <v>24</v>
      </c>
      <c r="Q9" s="9" t="s">
        <v>835</v>
      </c>
    </row>
    <row r="10">
      <c r="A10" s="1">
        <v>46031.5422495949</v>
      </c>
      <c r="B10" s="2" t="s">
        <v>95</v>
      </c>
      <c r="C10" s="5">
        <v>46031.0</v>
      </c>
      <c r="D10" s="2" t="s">
        <v>19</v>
      </c>
      <c r="E10" s="2" t="s">
        <v>798</v>
      </c>
      <c r="F10" s="2" t="s">
        <v>690</v>
      </c>
      <c r="G10" s="2">
        <v>3.0</v>
      </c>
      <c r="H10" s="2" t="s">
        <v>66</v>
      </c>
      <c r="I10" s="2" t="s">
        <v>691</v>
      </c>
      <c r="K10" s="2">
        <v>0.0</v>
      </c>
      <c r="L10" s="2">
        <v>0.0</v>
      </c>
      <c r="M10" s="2" t="s">
        <v>834</v>
      </c>
      <c r="N10" s="2" t="s">
        <v>24</v>
      </c>
      <c r="Q10" s="9" t="s">
        <v>835</v>
      </c>
    </row>
    <row r="11">
      <c r="A11" s="1">
        <v>46031.5422495949</v>
      </c>
      <c r="B11" s="2" t="s">
        <v>95</v>
      </c>
      <c r="C11" s="5">
        <v>46031.0</v>
      </c>
      <c r="D11" s="2" t="s">
        <v>19</v>
      </c>
      <c r="E11" s="2" t="s">
        <v>798</v>
      </c>
      <c r="F11" s="2" t="s">
        <v>701</v>
      </c>
      <c r="G11" s="2">
        <v>1.0</v>
      </c>
      <c r="H11" s="2" t="s">
        <v>703</v>
      </c>
      <c r="I11" s="2" t="s">
        <v>702</v>
      </c>
      <c r="K11" s="2">
        <v>0.0</v>
      </c>
      <c r="L11" s="2">
        <v>0.0</v>
      </c>
      <c r="M11" s="2" t="s">
        <v>834</v>
      </c>
      <c r="N11" s="2" t="s">
        <v>24</v>
      </c>
      <c r="Q11" s="9" t="s">
        <v>835</v>
      </c>
    </row>
    <row r="12">
      <c r="A12" s="1">
        <v>46031.5422495949</v>
      </c>
      <c r="B12" s="2" t="s">
        <v>95</v>
      </c>
      <c r="C12" s="5">
        <v>46031.0</v>
      </c>
      <c r="D12" s="2" t="s">
        <v>19</v>
      </c>
      <c r="E12" s="2" t="s">
        <v>798</v>
      </c>
      <c r="F12" s="2" t="s">
        <v>606</v>
      </c>
      <c r="G12" s="2">
        <v>6.0</v>
      </c>
      <c r="H12" s="2" t="s">
        <v>66</v>
      </c>
      <c r="I12" s="2" t="s">
        <v>607</v>
      </c>
      <c r="K12" s="2">
        <v>0.0</v>
      </c>
      <c r="L12" s="2">
        <v>0.0</v>
      </c>
      <c r="M12" s="2" t="s">
        <v>834</v>
      </c>
      <c r="N12" s="2" t="s">
        <v>24</v>
      </c>
      <c r="Q12" s="9" t="s">
        <v>835</v>
      </c>
    </row>
    <row r="13">
      <c r="A13" s="1">
        <v>46031.5422495949</v>
      </c>
      <c r="B13" s="2" t="s">
        <v>95</v>
      </c>
      <c r="C13" s="5">
        <v>46031.0</v>
      </c>
      <c r="D13" s="2" t="s">
        <v>19</v>
      </c>
      <c r="E13" s="2" t="s">
        <v>798</v>
      </c>
      <c r="F13" s="2" t="s">
        <v>614</v>
      </c>
      <c r="G13" s="2">
        <v>2.0</v>
      </c>
      <c r="H13" s="2" t="s">
        <v>66</v>
      </c>
      <c r="I13" s="2" t="s">
        <v>615</v>
      </c>
      <c r="K13" s="2">
        <v>0.0</v>
      </c>
      <c r="L13" s="2">
        <v>0.0</v>
      </c>
      <c r="M13" s="2" t="s">
        <v>834</v>
      </c>
      <c r="N13" s="2" t="s">
        <v>24</v>
      </c>
      <c r="Q13" s="9" t="s">
        <v>835</v>
      </c>
    </row>
    <row r="14">
      <c r="A14" s="1">
        <v>46031.5422495949</v>
      </c>
      <c r="B14" s="2" t="s">
        <v>95</v>
      </c>
      <c r="C14" s="5">
        <v>46031.0</v>
      </c>
      <c r="D14" s="2" t="s">
        <v>19</v>
      </c>
      <c r="E14" s="2" t="s">
        <v>798</v>
      </c>
      <c r="F14" s="2" t="s">
        <v>769</v>
      </c>
      <c r="G14" s="2">
        <v>1.0</v>
      </c>
      <c r="H14" s="2" t="s">
        <v>768</v>
      </c>
      <c r="I14" s="2" t="s">
        <v>770</v>
      </c>
      <c r="K14" s="2">
        <v>0.0</v>
      </c>
      <c r="L14" s="2">
        <v>0.0</v>
      </c>
      <c r="M14" s="2" t="s">
        <v>834</v>
      </c>
      <c r="N14" s="2" t="s">
        <v>24</v>
      </c>
      <c r="Q14" s="9" t="s">
        <v>835</v>
      </c>
    </row>
    <row r="15">
      <c r="A15" s="1">
        <v>46031.5422495949</v>
      </c>
      <c r="B15" s="2" t="s">
        <v>95</v>
      </c>
      <c r="C15" s="5">
        <v>46031.0</v>
      </c>
      <c r="D15" s="2" t="s">
        <v>19</v>
      </c>
      <c r="E15" s="2" t="s">
        <v>798</v>
      </c>
      <c r="F15" s="2" t="s">
        <v>688</v>
      </c>
      <c r="G15" s="2">
        <v>6.0</v>
      </c>
      <c r="H15" s="2" t="s">
        <v>66</v>
      </c>
      <c r="I15" s="2" t="s">
        <v>689</v>
      </c>
      <c r="K15" s="2">
        <v>0.0</v>
      </c>
      <c r="L15" s="2">
        <v>0.0</v>
      </c>
      <c r="M15" s="2" t="s">
        <v>834</v>
      </c>
      <c r="N15" s="2" t="s">
        <v>837</v>
      </c>
      <c r="Q15" s="9" t="s">
        <v>835</v>
      </c>
    </row>
    <row r="16">
      <c r="A16" s="1">
        <v>46031.5422495949</v>
      </c>
      <c r="B16" s="2" t="s">
        <v>95</v>
      </c>
      <c r="C16" s="5">
        <v>46031.0</v>
      </c>
      <c r="D16" s="2" t="s">
        <v>19</v>
      </c>
      <c r="E16" s="2" t="s">
        <v>798</v>
      </c>
      <c r="F16" s="2" t="s">
        <v>644</v>
      </c>
      <c r="G16" s="2">
        <v>2.0</v>
      </c>
      <c r="H16" s="2" t="s">
        <v>66</v>
      </c>
      <c r="I16" s="2" t="s">
        <v>645</v>
      </c>
      <c r="K16" s="2">
        <v>0.0</v>
      </c>
      <c r="L16" s="2">
        <v>0.0</v>
      </c>
      <c r="M16" s="2" t="s">
        <v>834</v>
      </c>
      <c r="N16" s="2" t="s">
        <v>24</v>
      </c>
      <c r="Q16" s="9" t="s">
        <v>835</v>
      </c>
    </row>
    <row r="17">
      <c r="A17" s="1">
        <v>46031.5422495949</v>
      </c>
      <c r="B17" s="2" t="s">
        <v>95</v>
      </c>
      <c r="C17" s="5">
        <v>46031.0</v>
      </c>
      <c r="D17" s="2" t="s">
        <v>19</v>
      </c>
      <c r="E17" s="2" t="s">
        <v>798</v>
      </c>
      <c r="F17" s="2" t="s">
        <v>646</v>
      </c>
      <c r="G17" s="2">
        <v>1.0</v>
      </c>
      <c r="H17" s="2" t="s">
        <v>66</v>
      </c>
      <c r="I17" s="2" t="s">
        <v>647</v>
      </c>
      <c r="K17" s="2">
        <v>0.0</v>
      </c>
      <c r="L17" s="2">
        <v>0.0</v>
      </c>
      <c r="M17" s="2" t="s">
        <v>834</v>
      </c>
      <c r="N17" s="2" t="s">
        <v>24</v>
      </c>
      <c r="Q17" s="9" t="s">
        <v>835</v>
      </c>
    </row>
    <row r="18">
      <c r="A18" s="1">
        <v>46031.5422495949</v>
      </c>
      <c r="B18" s="2" t="s">
        <v>95</v>
      </c>
      <c r="C18" s="5">
        <v>46031.0</v>
      </c>
      <c r="D18" s="2" t="s">
        <v>19</v>
      </c>
      <c r="E18" s="2" t="s">
        <v>798</v>
      </c>
      <c r="F18" s="2" t="s">
        <v>704</v>
      </c>
      <c r="G18" s="2">
        <v>1.0</v>
      </c>
      <c r="H18" s="2" t="s">
        <v>703</v>
      </c>
      <c r="I18" s="2" t="s">
        <v>705</v>
      </c>
      <c r="K18" s="2">
        <v>0.0</v>
      </c>
      <c r="L18" s="2">
        <v>0.0</v>
      </c>
      <c r="M18" s="2" t="s">
        <v>834</v>
      </c>
      <c r="N18" s="2" t="s">
        <v>24</v>
      </c>
      <c r="Q18" s="9" t="s">
        <v>835</v>
      </c>
    </row>
    <row r="19">
      <c r="A19" s="1">
        <v>46031.5422495949</v>
      </c>
      <c r="B19" s="2" t="s">
        <v>95</v>
      </c>
      <c r="C19" s="5">
        <v>46031.0</v>
      </c>
      <c r="D19" s="2" t="s">
        <v>19</v>
      </c>
      <c r="E19" s="2" t="s">
        <v>798</v>
      </c>
      <c r="F19" s="2" t="s">
        <v>678</v>
      </c>
      <c r="G19" s="2">
        <v>6.0</v>
      </c>
      <c r="H19" s="2" t="s">
        <v>66</v>
      </c>
      <c r="I19" s="2" t="s">
        <v>679</v>
      </c>
      <c r="K19" s="2">
        <v>0.0</v>
      </c>
      <c r="L19" s="2">
        <v>0.0</v>
      </c>
      <c r="M19" s="2" t="s">
        <v>834</v>
      </c>
      <c r="N19" s="2" t="s">
        <v>24</v>
      </c>
      <c r="Q19" s="9" t="s">
        <v>835</v>
      </c>
    </row>
    <row r="20">
      <c r="A20" s="1">
        <v>46031.5422495949</v>
      </c>
      <c r="B20" s="2" t="s">
        <v>95</v>
      </c>
      <c r="C20" s="5">
        <v>46031.0</v>
      </c>
      <c r="D20" s="2" t="s">
        <v>19</v>
      </c>
      <c r="E20" s="2" t="s">
        <v>798</v>
      </c>
      <c r="F20" s="2" t="s">
        <v>750</v>
      </c>
      <c r="G20" s="2">
        <v>1.0</v>
      </c>
      <c r="H20" s="2" t="s">
        <v>752</v>
      </c>
      <c r="I20" s="2" t="s">
        <v>751</v>
      </c>
      <c r="K20" s="2">
        <v>0.0</v>
      </c>
      <c r="L20" s="2">
        <v>0.0</v>
      </c>
      <c r="M20" s="2" t="s">
        <v>834</v>
      </c>
      <c r="N20" s="2" t="s">
        <v>24</v>
      </c>
      <c r="Q20" s="9" t="s">
        <v>835</v>
      </c>
    </row>
    <row r="21">
      <c r="A21" s="1">
        <v>46031.5422495949</v>
      </c>
      <c r="B21" s="2" t="s">
        <v>95</v>
      </c>
      <c r="C21" s="5">
        <v>46031.0</v>
      </c>
      <c r="D21" s="2" t="s">
        <v>19</v>
      </c>
      <c r="E21" s="2" t="s">
        <v>798</v>
      </c>
      <c r="F21" s="2" t="s">
        <v>692</v>
      </c>
      <c r="G21" s="2">
        <v>2.0</v>
      </c>
      <c r="H21" s="2" t="s">
        <v>66</v>
      </c>
      <c r="I21" s="2" t="s">
        <v>693</v>
      </c>
      <c r="K21" s="2">
        <v>0.0</v>
      </c>
      <c r="L21" s="2">
        <v>0.0</v>
      </c>
      <c r="M21" s="2" t="s">
        <v>834</v>
      </c>
      <c r="N21" s="2" t="s">
        <v>837</v>
      </c>
      <c r="Q21" s="9" t="s">
        <v>835</v>
      </c>
    </row>
    <row r="22">
      <c r="A22" s="1">
        <v>46031.5422495949</v>
      </c>
      <c r="B22" s="2" t="s">
        <v>95</v>
      </c>
      <c r="C22" s="5">
        <v>46031.0</v>
      </c>
      <c r="D22" s="2" t="s">
        <v>19</v>
      </c>
      <c r="E22" s="2" t="s">
        <v>798</v>
      </c>
      <c r="F22" s="2" t="s">
        <v>618</v>
      </c>
      <c r="G22" s="2">
        <v>1.0</v>
      </c>
      <c r="H22" s="2" t="s">
        <v>21</v>
      </c>
      <c r="I22" s="2" t="s">
        <v>619</v>
      </c>
      <c r="K22" s="2">
        <v>0.0</v>
      </c>
      <c r="L22" s="2">
        <v>0.0</v>
      </c>
      <c r="M22" s="2" t="s">
        <v>834</v>
      </c>
      <c r="N22" s="2" t="s">
        <v>837</v>
      </c>
      <c r="Q22" s="9" t="s">
        <v>835</v>
      </c>
    </row>
    <row r="23">
      <c r="A23" s="1">
        <v>46031.5422495949</v>
      </c>
      <c r="B23" s="2" t="s">
        <v>95</v>
      </c>
      <c r="C23" s="5">
        <v>46031.0</v>
      </c>
      <c r="D23" s="2" t="s">
        <v>19</v>
      </c>
      <c r="E23" s="2" t="s">
        <v>798</v>
      </c>
      <c r="F23" s="2" t="s">
        <v>716</v>
      </c>
      <c r="G23" s="2">
        <v>1.0</v>
      </c>
      <c r="H23" s="2" t="s">
        <v>703</v>
      </c>
      <c r="I23" s="2" t="s">
        <v>717</v>
      </c>
      <c r="K23" s="2">
        <v>0.0</v>
      </c>
      <c r="L23" s="2">
        <v>0.0</v>
      </c>
      <c r="M23" s="2" t="s">
        <v>834</v>
      </c>
      <c r="N23" s="2" t="s">
        <v>24</v>
      </c>
      <c r="Q23" s="9" t="s">
        <v>835</v>
      </c>
    </row>
    <row r="24">
      <c r="A24" s="1">
        <v>46031.5422495949</v>
      </c>
      <c r="B24" s="2" t="s">
        <v>95</v>
      </c>
      <c r="C24" s="5">
        <v>46031.0</v>
      </c>
      <c r="D24" s="2" t="s">
        <v>19</v>
      </c>
      <c r="E24" s="2" t="s">
        <v>798</v>
      </c>
      <c r="F24" s="2" t="s">
        <v>694</v>
      </c>
      <c r="G24" s="2">
        <v>3.0</v>
      </c>
      <c r="H24" s="2" t="s">
        <v>821</v>
      </c>
      <c r="I24" s="2" t="s">
        <v>695</v>
      </c>
      <c r="K24" s="2">
        <v>0.0</v>
      </c>
      <c r="L24" s="2">
        <v>0.0</v>
      </c>
      <c r="M24" s="2" t="s">
        <v>834</v>
      </c>
      <c r="N24" s="2" t="s">
        <v>24</v>
      </c>
      <c r="Q24" s="9" t="s">
        <v>835</v>
      </c>
    </row>
    <row r="25">
      <c r="A25" s="1">
        <v>46031.5422495949</v>
      </c>
      <c r="B25" s="2" t="s">
        <v>95</v>
      </c>
      <c r="C25" s="5">
        <v>46031.0</v>
      </c>
      <c r="D25" s="2" t="s">
        <v>19</v>
      </c>
      <c r="E25" s="2" t="s">
        <v>798</v>
      </c>
      <c r="F25" s="2" t="s">
        <v>580</v>
      </c>
      <c r="G25" s="2">
        <v>20.0</v>
      </c>
      <c r="H25" s="2" t="s">
        <v>66</v>
      </c>
      <c r="I25" s="2" t="s">
        <v>581</v>
      </c>
      <c r="K25" s="2">
        <v>0.0</v>
      </c>
      <c r="L25" s="2">
        <v>0.0</v>
      </c>
      <c r="M25" s="2" t="s">
        <v>834</v>
      </c>
      <c r="N25" s="2" t="s">
        <v>24</v>
      </c>
      <c r="Q25" s="9" t="s">
        <v>835</v>
      </c>
    </row>
    <row r="26">
      <c r="A26" s="1">
        <v>46031.5422495949</v>
      </c>
      <c r="B26" s="2" t="s">
        <v>95</v>
      </c>
      <c r="C26" s="5">
        <v>46031.0</v>
      </c>
      <c r="D26" s="2" t="s">
        <v>19</v>
      </c>
      <c r="E26" s="2" t="s">
        <v>798</v>
      </c>
      <c r="F26" s="2" t="s">
        <v>610</v>
      </c>
      <c r="G26" s="2">
        <v>1.0</v>
      </c>
      <c r="H26" s="2" t="s">
        <v>21</v>
      </c>
      <c r="I26" s="2" t="s">
        <v>611</v>
      </c>
      <c r="K26" s="2">
        <v>0.0</v>
      </c>
      <c r="L26" s="2">
        <v>0.0</v>
      </c>
      <c r="M26" s="2" t="s">
        <v>834</v>
      </c>
      <c r="N26" s="2" t="s">
        <v>24</v>
      </c>
      <c r="Q26" s="9" t="s">
        <v>835</v>
      </c>
    </row>
    <row r="27">
      <c r="A27" s="1">
        <v>46031.5422495949</v>
      </c>
      <c r="B27" s="2" t="s">
        <v>95</v>
      </c>
      <c r="C27" s="5">
        <v>46031.0</v>
      </c>
      <c r="D27" s="2" t="s">
        <v>19</v>
      </c>
      <c r="E27" s="2" t="s">
        <v>798</v>
      </c>
      <c r="F27" s="2" t="s">
        <v>744</v>
      </c>
      <c r="G27" s="2">
        <v>1.0</v>
      </c>
      <c r="H27" s="2" t="s">
        <v>48</v>
      </c>
      <c r="I27" s="2" t="s">
        <v>745</v>
      </c>
      <c r="K27" s="2">
        <v>0.0</v>
      </c>
      <c r="L27" s="2">
        <v>0.0</v>
      </c>
      <c r="M27" s="2" t="s">
        <v>834</v>
      </c>
      <c r="N27" s="2" t="s">
        <v>837</v>
      </c>
      <c r="Q27" s="9" t="s">
        <v>835</v>
      </c>
    </row>
    <row r="28">
      <c r="A28" s="14"/>
      <c r="N28" s="4"/>
    </row>
    <row r="29">
      <c r="A29" s="14"/>
      <c r="N29" s="4"/>
    </row>
    <row r="30">
      <c r="A30" s="14"/>
      <c r="N30" s="4"/>
    </row>
    <row r="31">
      <c r="A31" s="14"/>
      <c r="N31" s="4"/>
    </row>
    <row r="32">
      <c r="A32" s="14"/>
      <c r="N32" s="4"/>
    </row>
    <row r="33">
      <c r="A33" s="14"/>
      <c r="N33" s="4"/>
    </row>
    <row r="34">
      <c r="A34" s="14"/>
      <c r="N34" s="4"/>
    </row>
    <row r="35">
      <c r="A35" s="14"/>
      <c r="N35" s="4"/>
    </row>
    <row r="36">
      <c r="A36" s="14"/>
      <c r="N36" s="4"/>
    </row>
    <row r="37">
      <c r="A37" s="14"/>
      <c r="N37" s="4"/>
    </row>
    <row r="38">
      <c r="A38" s="14"/>
      <c r="N38" s="4"/>
    </row>
    <row r="39">
      <c r="A39" s="14"/>
      <c r="N39" s="4"/>
    </row>
    <row r="40">
      <c r="A40" s="14"/>
      <c r="N40" s="4"/>
    </row>
    <row r="41">
      <c r="A41" s="14"/>
      <c r="N41" s="4"/>
    </row>
    <row r="42">
      <c r="A42" s="14"/>
      <c r="N42" s="4"/>
    </row>
    <row r="43">
      <c r="A43" s="14"/>
      <c r="N43" s="4"/>
    </row>
    <row r="44">
      <c r="A44" s="14"/>
      <c r="N44" s="4"/>
    </row>
    <row r="45">
      <c r="A45" s="14"/>
      <c r="N45" s="4"/>
    </row>
    <row r="46">
      <c r="A46" s="14"/>
      <c r="N46" s="4"/>
    </row>
    <row r="47">
      <c r="A47" s="14"/>
      <c r="N47" s="4"/>
    </row>
    <row r="48">
      <c r="A48" s="14"/>
      <c r="N48" s="4"/>
    </row>
    <row r="49">
      <c r="A49" s="14"/>
      <c r="N49" s="4"/>
    </row>
    <row r="50">
      <c r="A50" s="14"/>
      <c r="N50" s="4"/>
    </row>
    <row r="51">
      <c r="A51" s="14"/>
      <c r="N51" s="4"/>
    </row>
    <row r="52">
      <c r="A52" s="14"/>
      <c r="N52" s="4"/>
    </row>
    <row r="53">
      <c r="A53" s="14"/>
      <c r="N53" s="4"/>
    </row>
    <row r="54">
      <c r="A54" s="14"/>
      <c r="N54" s="4"/>
    </row>
    <row r="55">
      <c r="A55" s="14"/>
      <c r="N55" s="4"/>
    </row>
    <row r="56">
      <c r="A56" s="14"/>
      <c r="N56" s="4"/>
    </row>
    <row r="57">
      <c r="A57" s="14"/>
      <c r="N57" s="4"/>
    </row>
    <row r="58">
      <c r="A58" s="14"/>
      <c r="N58" s="4"/>
    </row>
    <row r="59">
      <c r="A59" s="14"/>
      <c r="N59" s="4"/>
    </row>
    <row r="60">
      <c r="A60" s="14"/>
      <c r="N60" s="4"/>
    </row>
    <row r="61">
      <c r="A61" s="14"/>
      <c r="N61" s="4"/>
    </row>
    <row r="62">
      <c r="A62" s="14"/>
      <c r="N62" s="4"/>
    </row>
    <row r="63">
      <c r="A63" s="14"/>
      <c r="N63" s="4"/>
    </row>
    <row r="64">
      <c r="A64" s="14"/>
      <c r="N64" s="4"/>
    </row>
    <row r="65">
      <c r="A65" s="14"/>
      <c r="N65" s="4"/>
    </row>
    <row r="66">
      <c r="A66" s="14"/>
      <c r="N66" s="4"/>
    </row>
    <row r="67">
      <c r="A67" s="14"/>
      <c r="N67" s="4"/>
    </row>
    <row r="68">
      <c r="A68" s="14"/>
      <c r="N68" s="4"/>
    </row>
    <row r="69">
      <c r="A69" s="14"/>
      <c r="N69" s="4"/>
    </row>
    <row r="70">
      <c r="A70" s="14"/>
      <c r="N70" s="4"/>
    </row>
    <row r="71">
      <c r="A71" s="14"/>
      <c r="N71" s="4"/>
    </row>
    <row r="72">
      <c r="A72" s="14"/>
      <c r="N72" s="4"/>
    </row>
    <row r="73">
      <c r="A73" s="14"/>
      <c r="N73" s="4"/>
    </row>
    <row r="74">
      <c r="A74" s="14"/>
      <c r="N74" s="4"/>
    </row>
    <row r="75">
      <c r="A75" s="14"/>
      <c r="N75" s="4"/>
    </row>
    <row r="76">
      <c r="A76" s="14"/>
      <c r="N76" s="4"/>
    </row>
    <row r="77">
      <c r="A77" s="14"/>
      <c r="N77" s="4"/>
    </row>
    <row r="78">
      <c r="A78" s="14"/>
      <c r="N78" s="4"/>
    </row>
    <row r="79">
      <c r="A79" s="14"/>
      <c r="N79" s="4"/>
    </row>
    <row r="80">
      <c r="A80" s="14"/>
      <c r="N80" s="4"/>
    </row>
    <row r="81">
      <c r="A81" s="14"/>
      <c r="N81" s="4"/>
    </row>
    <row r="82">
      <c r="A82" s="14"/>
      <c r="N82" s="4"/>
    </row>
    <row r="83">
      <c r="A83" s="14"/>
      <c r="N83" s="4"/>
    </row>
    <row r="84">
      <c r="A84" s="14"/>
      <c r="N84" s="4"/>
    </row>
    <row r="85">
      <c r="A85" s="14"/>
      <c r="N85" s="4"/>
    </row>
    <row r="86">
      <c r="A86" s="14"/>
      <c r="N86" s="4"/>
    </row>
    <row r="87">
      <c r="A87" s="14"/>
      <c r="N87" s="4"/>
    </row>
    <row r="88">
      <c r="A88" s="14"/>
      <c r="N88" s="4"/>
    </row>
    <row r="89">
      <c r="A89" s="14"/>
      <c r="N89" s="4"/>
    </row>
    <row r="90">
      <c r="A90" s="14"/>
      <c r="N90" s="4"/>
    </row>
    <row r="91">
      <c r="A91" s="14"/>
      <c r="N91" s="4"/>
    </row>
    <row r="92">
      <c r="A92" s="14"/>
      <c r="N92" s="4"/>
    </row>
    <row r="93">
      <c r="A93" s="14"/>
      <c r="N93" s="4"/>
    </row>
    <row r="94">
      <c r="A94" s="14"/>
      <c r="N94" s="4"/>
    </row>
    <row r="95">
      <c r="A95" s="14"/>
      <c r="N95" s="4"/>
    </row>
    <row r="96">
      <c r="A96" s="14"/>
      <c r="N96" s="4"/>
    </row>
    <row r="97">
      <c r="A97" s="14"/>
      <c r="N97" s="4"/>
    </row>
    <row r="98">
      <c r="A98" s="14"/>
      <c r="N98" s="4"/>
    </row>
    <row r="99">
      <c r="A99" s="14"/>
      <c r="N99" s="4"/>
    </row>
    <row r="100">
      <c r="A100" s="14"/>
      <c r="N100" s="4"/>
    </row>
    <row r="101">
      <c r="A101" s="14"/>
      <c r="N101" s="4"/>
    </row>
    <row r="102">
      <c r="A102" s="14"/>
      <c r="N102" s="4"/>
    </row>
    <row r="103">
      <c r="A103" s="14"/>
      <c r="N103" s="4"/>
    </row>
    <row r="104">
      <c r="A104" s="14"/>
      <c r="N104" s="4"/>
    </row>
    <row r="105">
      <c r="A105" s="14"/>
      <c r="N105" s="4"/>
    </row>
    <row r="106">
      <c r="A106" s="14"/>
      <c r="N106" s="4"/>
    </row>
    <row r="107">
      <c r="A107" s="14"/>
      <c r="N107" s="4"/>
    </row>
    <row r="108">
      <c r="A108" s="14"/>
      <c r="N108" s="4"/>
    </row>
    <row r="109">
      <c r="A109" s="14"/>
      <c r="N109" s="4"/>
    </row>
    <row r="110">
      <c r="A110" s="14"/>
      <c r="N110" s="4"/>
    </row>
    <row r="111">
      <c r="A111" s="14"/>
      <c r="N111" s="4"/>
    </row>
    <row r="112">
      <c r="A112" s="14"/>
      <c r="N112" s="4"/>
    </row>
    <row r="113">
      <c r="A113" s="14"/>
      <c r="N113" s="4"/>
    </row>
    <row r="114">
      <c r="A114" s="14"/>
      <c r="N114" s="4"/>
    </row>
    <row r="115">
      <c r="A115" s="14"/>
      <c r="N115" s="4"/>
    </row>
    <row r="116">
      <c r="A116" s="14"/>
      <c r="N116" s="4"/>
    </row>
    <row r="117">
      <c r="A117" s="14"/>
      <c r="N117" s="4"/>
    </row>
    <row r="118">
      <c r="A118" s="14"/>
      <c r="N118" s="4"/>
    </row>
    <row r="119">
      <c r="A119" s="14"/>
      <c r="N119" s="4"/>
    </row>
    <row r="120">
      <c r="A120" s="14"/>
      <c r="N120" s="4"/>
    </row>
    <row r="121">
      <c r="A121" s="14"/>
      <c r="N121" s="4"/>
    </row>
    <row r="122">
      <c r="A122" s="14"/>
      <c r="N122" s="4"/>
    </row>
    <row r="123">
      <c r="A123" s="14"/>
      <c r="N123" s="4"/>
    </row>
    <row r="124">
      <c r="A124" s="14"/>
      <c r="N124" s="4"/>
    </row>
    <row r="125">
      <c r="A125" s="14"/>
      <c r="N125" s="4"/>
    </row>
    <row r="126">
      <c r="A126" s="14"/>
      <c r="N126" s="4"/>
    </row>
    <row r="127">
      <c r="A127" s="14"/>
      <c r="N127" s="4"/>
    </row>
    <row r="128">
      <c r="A128" s="14"/>
      <c r="N128" s="4"/>
    </row>
    <row r="129">
      <c r="A129" s="14"/>
      <c r="N129" s="4"/>
    </row>
    <row r="130">
      <c r="A130" s="14"/>
      <c r="N130" s="4"/>
    </row>
    <row r="131">
      <c r="A131" s="14"/>
      <c r="N131" s="4"/>
    </row>
    <row r="132">
      <c r="A132" s="14"/>
      <c r="N132" s="4"/>
    </row>
    <row r="133">
      <c r="A133" s="14"/>
      <c r="N133" s="4"/>
    </row>
    <row r="134">
      <c r="A134" s="14"/>
      <c r="N134" s="4"/>
    </row>
    <row r="135">
      <c r="A135" s="14"/>
      <c r="N135" s="4"/>
    </row>
    <row r="136">
      <c r="A136" s="14"/>
      <c r="N136" s="4"/>
    </row>
    <row r="137">
      <c r="A137" s="14"/>
      <c r="N137" s="4"/>
    </row>
    <row r="138">
      <c r="A138" s="14"/>
      <c r="N138" s="4"/>
    </row>
    <row r="139">
      <c r="A139" s="14"/>
      <c r="N139" s="4"/>
    </row>
    <row r="140">
      <c r="A140" s="14"/>
      <c r="N140" s="4"/>
    </row>
    <row r="141">
      <c r="A141" s="14"/>
      <c r="N141" s="4"/>
    </row>
    <row r="142">
      <c r="A142" s="14"/>
      <c r="N142" s="4"/>
    </row>
    <row r="143">
      <c r="A143" s="14"/>
      <c r="N143" s="4"/>
    </row>
    <row r="144">
      <c r="A144" s="14"/>
      <c r="N144" s="4"/>
    </row>
    <row r="145">
      <c r="A145" s="14"/>
      <c r="N145" s="4"/>
    </row>
    <row r="146">
      <c r="A146" s="14"/>
      <c r="N146" s="4"/>
    </row>
    <row r="147">
      <c r="A147" s="14"/>
      <c r="N147" s="4"/>
    </row>
    <row r="148">
      <c r="A148" s="14"/>
      <c r="N148" s="4"/>
    </row>
    <row r="149">
      <c r="A149" s="14"/>
      <c r="N149" s="4"/>
    </row>
    <row r="150">
      <c r="A150" s="14"/>
      <c r="N150" s="4"/>
    </row>
    <row r="151">
      <c r="A151" s="14"/>
      <c r="N151" s="4"/>
    </row>
    <row r="152">
      <c r="A152" s="14"/>
      <c r="N152" s="4"/>
    </row>
    <row r="153">
      <c r="A153" s="14"/>
      <c r="N153" s="4"/>
    </row>
    <row r="154">
      <c r="A154" s="14"/>
      <c r="N154" s="4"/>
    </row>
    <row r="155">
      <c r="A155" s="14"/>
      <c r="N155" s="4"/>
    </row>
    <row r="156">
      <c r="A156" s="14"/>
      <c r="N156" s="4"/>
    </row>
    <row r="157">
      <c r="A157" s="14"/>
      <c r="N157" s="4"/>
    </row>
    <row r="158">
      <c r="A158" s="14"/>
      <c r="N158" s="4"/>
    </row>
    <row r="159">
      <c r="A159" s="14"/>
      <c r="N159" s="4"/>
    </row>
    <row r="160">
      <c r="A160" s="14"/>
      <c r="N160" s="4"/>
    </row>
    <row r="161">
      <c r="A161" s="14"/>
      <c r="N161" s="4"/>
    </row>
    <row r="162">
      <c r="A162" s="14"/>
      <c r="N162" s="4"/>
    </row>
    <row r="163">
      <c r="A163" s="14"/>
      <c r="N163" s="4"/>
    </row>
    <row r="164">
      <c r="A164" s="14"/>
      <c r="N164" s="4"/>
    </row>
    <row r="165">
      <c r="A165" s="14"/>
      <c r="N165" s="4"/>
    </row>
    <row r="166">
      <c r="A166" s="14"/>
      <c r="N166" s="4"/>
    </row>
    <row r="167">
      <c r="A167" s="14"/>
      <c r="N167" s="4"/>
    </row>
    <row r="168">
      <c r="A168" s="14"/>
      <c r="N168" s="4"/>
    </row>
    <row r="169">
      <c r="A169" s="14"/>
      <c r="N169" s="4"/>
    </row>
    <row r="170">
      <c r="A170" s="14"/>
      <c r="N170" s="4"/>
    </row>
    <row r="171">
      <c r="A171" s="14"/>
      <c r="N171" s="4"/>
    </row>
    <row r="172">
      <c r="A172" s="14"/>
      <c r="N172" s="4"/>
    </row>
    <row r="173">
      <c r="A173" s="14"/>
      <c r="N173" s="4"/>
    </row>
    <row r="174">
      <c r="A174" s="14"/>
      <c r="N174" s="4"/>
    </row>
    <row r="175">
      <c r="A175" s="14"/>
      <c r="N175" s="4"/>
    </row>
    <row r="176">
      <c r="A176" s="14"/>
      <c r="N176" s="4"/>
    </row>
    <row r="177">
      <c r="A177" s="14"/>
      <c r="N177" s="4"/>
    </row>
    <row r="178">
      <c r="A178" s="14"/>
      <c r="N178" s="4"/>
    </row>
    <row r="179">
      <c r="A179" s="14"/>
      <c r="N179" s="4"/>
    </row>
    <row r="180">
      <c r="A180" s="14"/>
      <c r="N180" s="4"/>
    </row>
    <row r="181">
      <c r="A181" s="14"/>
      <c r="N181" s="4"/>
    </row>
    <row r="182">
      <c r="A182" s="14"/>
      <c r="N182" s="4"/>
    </row>
    <row r="183">
      <c r="A183" s="14"/>
      <c r="N183" s="4"/>
    </row>
    <row r="184">
      <c r="A184" s="14"/>
      <c r="N184" s="4"/>
    </row>
    <row r="185">
      <c r="A185" s="14"/>
      <c r="N185" s="4"/>
    </row>
    <row r="186">
      <c r="A186" s="14"/>
      <c r="N186" s="4"/>
    </row>
    <row r="187">
      <c r="A187" s="14"/>
      <c r="N187" s="4"/>
    </row>
    <row r="188">
      <c r="A188" s="14"/>
      <c r="N188" s="4"/>
    </row>
    <row r="189">
      <c r="A189" s="14"/>
      <c r="N189" s="4"/>
    </row>
    <row r="190">
      <c r="A190" s="14"/>
      <c r="N190" s="4"/>
    </row>
    <row r="191">
      <c r="A191" s="14"/>
      <c r="N191" s="4"/>
    </row>
    <row r="192">
      <c r="A192" s="14"/>
      <c r="N192" s="4"/>
    </row>
    <row r="193">
      <c r="A193" s="14"/>
      <c r="N193" s="4"/>
    </row>
    <row r="194">
      <c r="A194" s="14"/>
      <c r="N194" s="4"/>
    </row>
    <row r="195">
      <c r="A195" s="14"/>
      <c r="N195" s="4"/>
    </row>
    <row r="196">
      <c r="A196" s="14"/>
      <c r="N196" s="4"/>
    </row>
    <row r="197">
      <c r="A197" s="14"/>
      <c r="N197" s="4"/>
    </row>
    <row r="198">
      <c r="A198" s="14"/>
      <c r="N198" s="4"/>
    </row>
    <row r="199">
      <c r="A199" s="14"/>
      <c r="N199" s="4"/>
    </row>
    <row r="200">
      <c r="A200" s="14"/>
      <c r="N200" s="4"/>
    </row>
    <row r="201">
      <c r="A201" s="14"/>
      <c r="N201" s="4"/>
    </row>
    <row r="202">
      <c r="A202" s="14"/>
      <c r="N202" s="4"/>
    </row>
    <row r="203">
      <c r="A203" s="14"/>
      <c r="N203" s="4"/>
    </row>
    <row r="204">
      <c r="A204" s="14"/>
      <c r="N204" s="4"/>
    </row>
    <row r="205">
      <c r="A205" s="14"/>
      <c r="N205" s="4"/>
    </row>
    <row r="206">
      <c r="A206" s="14"/>
      <c r="N206" s="4"/>
    </row>
    <row r="207">
      <c r="A207" s="14"/>
      <c r="N207" s="4"/>
    </row>
    <row r="208">
      <c r="A208" s="14"/>
      <c r="N208" s="4"/>
    </row>
    <row r="209">
      <c r="A209" s="14"/>
      <c r="N209" s="4"/>
    </row>
    <row r="210">
      <c r="A210" s="14"/>
      <c r="N210" s="4"/>
    </row>
    <row r="211">
      <c r="A211" s="14"/>
      <c r="N211" s="4"/>
    </row>
    <row r="212">
      <c r="A212" s="14"/>
      <c r="N212" s="4"/>
    </row>
    <row r="213">
      <c r="A213" s="14"/>
      <c r="N213" s="4"/>
    </row>
    <row r="214">
      <c r="A214" s="14"/>
      <c r="N214" s="4"/>
    </row>
    <row r="215">
      <c r="A215" s="14"/>
      <c r="N215" s="4"/>
    </row>
    <row r="216">
      <c r="A216" s="14"/>
      <c r="N216" s="4"/>
    </row>
    <row r="217">
      <c r="A217" s="14"/>
      <c r="N217" s="4"/>
    </row>
    <row r="218">
      <c r="A218" s="14"/>
      <c r="N218" s="4"/>
    </row>
    <row r="219">
      <c r="A219" s="14"/>
      <c r="N219" s="4"/>
    </row>
    <row r="220">
      <c r="A220" s="14"/>
      <c r="N220" s="4"/>
    </row>
    <row r="221">
      <c r="A221" s="14"/>
      <c r="N221" s="4"/>
    </row>
    <row r="222">
      <c r="A222" s="14"/>
      <c r="N222" s="4"/>
    </row>
    <row r="223">
      <c r="A223" s="14"/>
      <c r="N223" s="4"/>
    </row>
    <row r="224">
      <c r="A224" s="14"/>
      <c r="N224" s="4"/>
    </row>
    <row r="225">
      <c r="A225" s="14"/>
      <c r="N225" s="4"/>
    </row>
    <row r="226">
      <c r="A226" s="14"/>
      <c r="N226" s="4"/>
    </row>
    <row r="227">
      <c r="A227" s="14"/>
      <c r="N227" s="4"/>
    </row>
    <row r="228">
      <c r="A228" s="14"/>
      <c r="N228" s="4"/>
    </row>
    <row r="229">
      <c r="A229" s="14"/>
      <c r="N229" s="4"/>
    </row>
    <row r="230">
      <c r="A230" s="14"/>
      <c r="N230" s="4"/>
    </row>
    <row r="231">
      <c r="A231" s="14"/>
      <c r="N231" s="4"/>
    </row>
    <row r="232">
      <c r="A232" s="14"/>
      <c r="N232" s="4"/>
    </row>
    <row r="233">
      <c r="A233" s="14"/>
      <c r="N233" s="4"/>
    </row>
    <row r="234">
      <c r="A234" s="14"/>
      <c r="N234" s="4"/>
    </row>
    <row r="235">
      <c r="A235" s="14"/>
      <c r="N235" s="4"/>
    </row>
    <row r="236">
      <c r="A236" s="14"/>
      <c r="N236" s="4"/>
    </row>
    <row r="237">
      <c r="A237" s="14"/>
      <c r="N237" s="4"/>
    </row>
    <row r="238">
      <c r="A238" s="14"/>
      <c r="N238" s="4"/>
    </row>
    <row r="239">
      <c r="A239" s="14"/>
      <c r="N239" s="4"/>
    </row>
    <row r="240">
      <c r="A240" s="14"/>
      <c r="N240" s="4"/>
    </row>
    <row r="241">
      <c r="A241" s="14"/>
      <c r="N241" s="4"/>
    </row>
    <row r="242">
      <c r="A242" s="14"/>
      <c r="N242" s="4"/>
    </row>
    <row r="243">
      <c r="A243" s="14"/>
      <c r="N243" s="4"/>
    </row>
    <row r="244">
      <c r="A244" s="14"/>
      <c r="N244" s="4"/>
    </row>
    <row r="245">
      <c r="A245" s="14"/>
      <c r="N245" s="4"/>
    </row>
    <row r="246">
      <c r="A246" s="14"/>
      <c r="N246" s="4"/>
    </row>
    <row r="247">
      <c r="A247" s="14"/>
      <c r="N247" s="4"/>
    </row>
    <row r="248">
      <c r="A248" s="14"/>
      <c r="N248" s="4"/>
    </row>
    <row r="249">
      <c r="A249" s="14"/>
      <c r="N249" s="4"/>
    </row>
    <row r="250">
      <c r="A250" s="14"/>
      <c r="N250" s="4"/>
    </row>
    <row r="251">
      <c r="A251" s="14"/>
      <c r="N251" s="4"/>
    </row>
    <row r="252">
      <c r="A252" s="14"/>
      <c r="N252" s="4"/>
    </row>
    <row r="253">
      <c r="A253" s="14"/>
      <c r="N253" s="4"/>
    </row>
    <row r="254">
      <c r="A254" s="14"/>
      <c r="N254" s="4"/>
    </row>
    <row r="255">
      <c r="A255" s="14"/>
      <c r="N255" s="4"/>
    </row>
    <row r="256">
      <c r="A256" s="14"/>
      <c r="N256" s="4"/>
    </row>
    <row r="257">
      <c r="A257" s="14"/>
      <c r="N257" s="4"/>
    </row>
    <row r="258">
      <c r="A258" s="14"/>
      <c r="N258" s="4"/>
    </row>
    <row r="259">
      <c r="A259" s="14"/>
      <c r="N259" s="4"/>
    </row>
    <row r="260">
      <c r="A260" s="14"/>
      <c r="N260" s="4"/>
    </row>
    <row r="261">
      <c r="A261" s="14"/>
      <c r="N261" s="4"/>
    </row>
    <row r="262">
      <c r="A262" s="14"/>
      <c r="N262" s="4"/>
    </row>
    <row r="263">
      <c r="A263" s="14"/>
      <c r="N263" s="4"/>
    </row>
    <row r="264">
      <c r="A264" s="14"/>
      <c r="N264" s="4"/>
    </row>
    <row r="265">
      <c r="A265" s="14"/>
      <c r="N265" s="4"/>
    </row>
    <row r="266">
      <c r="A266" s="14"/>
      <c r="N266" s="4"/>
    </row>
    <row r="267">
      <c r="A267" s="14"/>
      <c r="N267" s="4"/>
    </row>
    <row r="268">
      <c r="A268" s="14"/>
      <c r="N268" s="4"/>
    </row>
    <row r="269">
      <c r="A269" s="14"/>
      <c r="N269" s="4"/>
    </row>
    <row r="270">
      <c r="A270" s="14"/>
      <c r="N270" s="4"/>
    </row>
    <row r="271">
      <c r="A271" s="14"/>
      <c r="N271" s="4"/>
    </row>
    <row r="272">
      <c r="A272" s="14"/>
      <c r="N272" s="4"/>
    </row>
    <row r="273">
      <c r="A273" s="14"/>
      <c r="N273" s="4"/>
    </row>
    <row r="274">
      <c r="A274" s="14"/>
      <c r="N274" s="4"/>
    </row>
    <row r="275">
      <c r="A275" s="14"/>
      <c r="N275" s="4"/>
    </row>
    <row r="276">
      <c r="A276" s="14"/>
      <c r="N276" s="4"/>
    </row>
    <row r="277">
      <c r="A277" s="14"/>
      <c r="N277" s="4"/>
    </row>
    <row r="278">
      <c r="A278" s="14"/>
      <c r="N278" s="4"/>
    </row>
    <row r="279">
      <c r="A279" s="14"/>
      <c r="N279" s="4"/>
    </row>
    <row r="280">
      <c r="A280" s="14"/>
      <c r="N280" s="4"/>
    </row>
    <row r="281">
      <c r="A281" s="14"/>
      <c r="N281" s="4"/>
    </row>
    <row r="282">
      <c r="A282" s="14"/>
      <c r="N282" s="4"/>
    </row>
    <row r="283">
      <c r="A283" s="14"/>
      <c r="N283" s="4"/>
    </row>
    <row r="284">
      <c r="A284" s="14"/>
      <c r="N284" s="4"/>
    </row>
    <row r="285">
      <c r="A285" s="14"/>
      <c r="N285" s="4"/>
    </row>
    <row r="286">
      <c r="A286" s="14"/>
      <c r="N286" s="4"/>
    </row>
    <row r="287">
      <c r="A287" s="14"/>
      <c r="N287" s="4"/>
    </row>
    <row r="288">
      <c r="A288" s="14"/>
      <c r="N288" s="4"/>
    </row>
    <row r="289">
      <c r="A289" s="14"/>
      <c r="N289" s="4"/>
    </row>
    <row r="290">
      <c r="A290" s="14"/>
      <c r="N290" s="4"/>
    </row>
    <row r="291">
      <c r="A291" s="14"/>
      <c r="N291" s="4"/>
    </row>
    <row r="292">
      <c r="A292" s="14"/>
      <c r="N292" s="4"/>
    </row>
    <row r="293">
      <c r="A293" s="14"/>
      <c r="N293" s="4"/>
    </row>
    <row r="294">
      <c r="A294" s="14"/>
      <c r="N294" s="4"/>
    </row>
    <row r="295">
      <c r="A295" s="14"/>
      <c r="N295" s="4"/>
    </row>
    <row r="296">
      <c r="A296" s="14"/>
      <c r="N296" s="4"/>
    </row>
    <row r="297">
      <c r="A297" s="14"/>
      <c r="N297" s="4"/>
    </row>
    <row r="298">
      <c r="A298" s="14"/>
      <c r="N298" s="4"/>
    </row>
    <row r="299">
      <c r="A299" s="14"/>
      <c r="N299" s="4"/>
    </row>
    <row r="300">
      <c r="A300" s="14"/>
      <c r="N300" s="4"/>
    </row>
    <row r="301">
      <c r="A301" s="14"/>
      <c r="N301" s="4"/>
    </row>
    <row r="302">
      <c r="A302" s="14"/>
      <c r="N302" s="4"/>
    </row>
    <row r="303">
      <c r="A303" s="14"/>
      <c r="N303" s="4"/>
    </row>
    <row r="304">
      <c r="A304" s="14"/>
      <c r="N304" s="4"/>
    </row>
    <row r="305">
      <c r="A305" s="14"/>
      <c r="N305" s="4"/>
    </row>
    <row r="306">
      <c r="A306" s="14"/>
      <c r="N306" s="4"/>
    </row>
    <row r="307">
      <c r="A307" s="14"/>
      <c r="N307" s="4"/>
    </row>
    <row r="308">
      <c r="A308" s="14"/>
      <c r="N308" s="4"/>
    </row>
    <row r="309">
      <c r="A309" s="14"/>
      <c r="N309" s="4"/>
    </row>
    <row r="310">
      <c r="A310" s="14"/>
      <c r="N310" s="4"/>
    </row>
    <row r="311">
      <c r="A311" s="14"/>
      <c r="N311" s="4"/>
    </row>
    <row r="312">
      <c r="A312" s="14"/>
      <c r="N312" s="4"/>
    </row>
    <row r="313">
      <c r="A313" s="14"/>
      <c r="N313" s="4"/>
    </row>
    <row r="314">
      <c r="A314" s="14"/>
      <c r="N314" s="4"/>
    </row>
    <row r="315">
      <c r="A315" s="14"/>
      <c r="N315" s="4"/>
    </row>
    <row r="316">
      <c r="A316" s="14"/>
      <c r="N316" s="4"/>
    </row>
    <row r="317">
      <c r="A317" s="14"/>
      <c r="N317" s="4"/>
    </row>
    <row r="318">
      <c r="A318" s="14"/>
      <c r="N318" s="4"/>
    </row>
    <row r="319">
      <c r="A319" s="14"/>
      <c r="N319" s="4"/>
    </row>
    <row r="320">
      <c r="A320" s="14"/>
      <c r="N320" s="4"/>
    </row>
    <row r="321">
      <c r="A321" s="14"/>
      <c r="N321" s="4"/>
    </row>
    <row r="322">
      <c r="A322" s="14"/>
      <c r="N322" s="4"/>
    </row>
    <row r="323">
      <c r="A323" s="14"/>
      <c r="N323" s="4"/>
    </row>
    <row r="324">
      <c r="A324" s="14"/>
      <c r="N324" s="4"/>
    </row>
    <row r="325">
      <c r="A325" s="14"/>
      <c r="N325" s="4"/>
    </row>
    <row r="326">
      <c r="A326" s="14"/>
      <c r="N326" s="4"/>
    </row>
    <row r="327">
      <c r="A327" s="14"/>
      <c r="N327" s="4"/>
    </row>
    <row r="328">
      <c r="A328" s="14"/>
      <c r="N328" s="4"/>
    </row>
    <row r="329">
      <c r="A329" s="14"/>
      <c r="N329" s="4"/>
    </row>
    <row r="330">
      <c r="A330" s="14"/>
      <c r="N330" s="4"/>
    </row>
    <row r="331">
      <c r="A331" s="14"/>
      <c r="N331" s="4"/>
    </row>
    <row r="332">
      <c r="A332" s="14"/>
      <c r="N332" s="4"/>
    </row>
    <row r="333">
      <c r="A333" s="14"/>
      <c r="N333" s="4"/>
    </row>
    <row r="334">
      <c r="A334" s="14"/>
      <c r="N334" s="4"/>
    </row>
    <row r="335">
      <c r="A335" s="14"/>
      <c r="N335" s="4"/>
    </row>
    <row r="336">
      <c r="A336" s="14"/>
      <c r="N336" s="4"/>
    </row>
    <row r="337">
      <c r="A337" s="14"/>
      <c r="N337" s="4"/>
    </row>
    <row r="338">
      <c r="A338" s="14"/>
      <c r="N338" s="4"/>
    </row>
    <row r="339">
      <c r="A339" s="14"/>
      <c r="N339" s="4"/>
    </row>
    <row r="340">
      <c r="A340" s="14"/>
      <c r="N340" s="4"/>
    </row>
    <row r="341">
      <c r="A341" s="14"/>
      <c r="N341" s="4"/>
    </row>
    <row r="342">
      <c r="A342" s="14"/>
      <c r="N342" s="4"/>
    </row>
    <row r="343">
      <c r="A343" s="14"/>
      <c r="N343" s="4"/>
    </row>
    <row r="344">
      <c r="A344" s="14"/>
      <c r="N344" s="4"/>
    </row>
    <row r="345">
      <c r="A345" s="14"/>
      <c r="N345" s="4"/>
    </row>
    <row r="346">
      <c r="A346" s="14"/>
      <c r="N346" s="4"/>
    </row>
    <row r="347">
      <c r="A347" s="14"/>
      <c r="N347" s="4"/>
    </row>
    <row r="348">
      <c r="A348" s="14"/>
      <c r="N348" s="4"/>
    </row>
    <row r="349">
      <c r="A349" s="14"/>
      <c r="N349" s="4"/>
    </row>
    <row r="350">
      <c r="A350" s="14"/>
      <c r="N350" s="4"/>
    </row>
    <row r="351">
      <c r="A351" s="14"/>
      <c r="N351" s="4"/>
    </row>
    <row r="352">
      <c r="A352" s="14"/>
      <c r="N352" s="4"/>
    </row>
    <row r="353">
      <c r="A353" s="14"/>
      <c r="N353" s="4"/>
    </row>
    <row r="354">
      <c r="A354" s="14"/>
      <c r="N354" s="4"/>
    </row>
    <row r="355">
      <c r="A355" s="14"/>
      <c r="N355" s="4"/>
    </row>
    <row r="356">
      <c r="A356" s="14"/>
      <c r="N356" s="4"/>
    </row>
    <row r="357">
      <c r="A357" s="14"/>
      <c r="N357" s="4"/>
    </row>
    <row r="358">
      <c r="A358" s="14"/>
      <c r="N358" s="4"/>
    </row>
    <row r="359">
      <c r="A359" s="14"/>
      <c r="N359" s="4"/>
    </row>
    <row r="360">
      <c r="A360" s="14"/>
      <c r="N360" s="4"/>
    </row>
    <row r="361">
      <c r="A361" s="14"/>
      <c r="N361" s="4"/>
    </row>
    <row r="362">
      <c r="A362" s="14"/>
      <c r="N362" s="4"/>
    </row>
    <row r="363">
      <c r="A363" s="14"/>
      <c r="N363" s="4"/>
    </row>
    <row r="364">
      <c r="A364" s="14"/>
      <c r="N364" s="4"/>
    </row>
    <row r="365">
      <c r="A365" s="14"/>
      <c r="N365" s="4"/>
    </row>
    <row r="366">
      <c r="A366" s="14"/>
      <c r="N366" s="4"/>
    </row>
    <row r="367">
      <c r="A367" s="14"/>
      <c r="N367" s="4"/>
    </row>
    <row r="368">
      <c r="A368" s="14"/>
      <c r="N368" s="4"/>
    </row>
    <row r="369">
      <c r="A369" s="14"/>
      <c r="N369" s="4"/>
    </row>
    <row r="370">
      <c r="A370" s="14"/>
      <c r="N370" s="4"/>
    </row>
    <row r="371">
      <c r="A371" s="14"/>
      <c r="N371" s="4"/>
    </row>
    <row r="372">
      <c r="A372" s="14"/>
      <c r="N372" s="4"/>
    </row>
    <row r="373">
      <c r="A373" s="14"/>
      <c r="N373" s="4"/>
    </row>
    <row r="374">
      <c r="A374" s="14"/>
      <c r="N374" s="4"/>
    </row>
    <row r="375">
      <c r="A375" s="14"/>
      <c r="N375" s="4"/>
    </row>
    <row r="376">
      <c r="A376" s="14"/>
      <c r="N376" s="4"/>
    </row>
    <row r="377">
      <c r="A377" s="14"/>
      <c r="N377" s="4"/>
    </row>
    <row r="378">
      <c r="A378" s="14"/>
      <c r="N378" s="4"/>
    </row>
    <row r="379">
      <c r="A379" s="14"/>
      <c r="N379" s="4"/>
    </row>
    <row r="380">
      <c r="A380" s="14"/>
      <c r="N380" s="4"/>
    </row>
    <row r="381">
      <c r="A381" s="14"/>
      <c r="N381" s="4"/>
    </row>
    <row r="382">
      <c r="A382" s="14"/>
      <c r="N382" s="4"/>
    </row>
    <row r="383">
      <c r="A383" s="14"/>
      <c r="N383" s="4"/>
    </row>
    <row r="384">
      <c r="A384" s="14"/>
      <c r="N384" s="4"/>
    </row>
    <row r="385">
      <c r="A385" s="14"/>
      <c r="N385" s="4"/>
    </row>
    <row r="386">
      <c r="A386" s="14"/>
      <c r="N386" s="4"/>
    </row>
    <row r="387">
      <c r="A387" s="14"/>
      <c r="N387" s="4"/>
    </row>
    <row r="388">
      <c r="A388" s="14"/>
      <c r="N388" s="4"/>
    </row>
    <row r="389">
      <c r="A389" s="14"/>
      <c r="N389" s="4"/>
    </row>
    <row r="390">
      <c r="A390" s="14"/>
      <c r="N390" s="4"/>
    </row>
    <row r="391">
      <c r="A391" s="14"/>
      <c r="N391" s="4"/>
    </row>
    <row r="392">
      <c r="A392" s="14"/>
      <c r="N392" s="4"/>
    </row>
    <row r="393">
      <c r="A393" s="14"/>
      <c r="N393" s="4"/>
    </row>
    <row r="394">
      <c r="A394" s="14"/>
      <c r="N394" s="4"/>
    </row>
    <row r="395">
      <c r="A395" s="14"/>
      <c r="N395" s="4"/>
    </row>
    <row r="396">
      <c r="A396" s="14"/>
      <c r="N396" s="4"/>
    </row>
    <row r="397">
      <c r="A397" s="14"/>
      <c r="N397" s="4"/>
    </row>
    <row r="398">
      <c r="A398" s="14"/>
      <c r="N398" s="4"/>
    </row>
    <row r="399">
      <c r="A399" s="14"/>
      <c r="N399" s="4"/>
    </row>
    <row r="400">
      <c r="A400" s="14"/>
      <c r="N400" s="4"/>
    </row>
    <row r="401">
      <c r="A401" s="14"/>
      <c r="N401" s="4"/>
    </row>
    <row r="402">
      <c r="A402" s="14"/>
      <c r="N402" s="4"/>
    </row>
    <row r="403">
      <c r="A403" s="14"/>
      <c r="N403" s="4"/>
    </row>
    <row r="404">
      <c r="A404" s="14"/>
      <c r="N404" s="4"/>
    </row>
    <row r="405">
      <c r="A405" s="14"/>
      <c r="N405" s="4"/>
    </row>
    <row r="406">
      <c r="A406" s="14"/>
      <c r="N406" s="4"/>
    </row>
    <row r="407">
      <c r="A407" s="14"/>
      <c r="N407" s="4"/>
    </row>
    <row r="408">
      <c r="A408" s="14"/>
      <c r="N408" s="4"/>
    </row>
    <row r="409">
      <c r="A409" s="14"/>
      <c r="N409" s="4"/>
    </row>
    <row r="410">
      <c r="A410" s="14"/>
      <c r="N410" s="4"/>
    </row>
    <row r="411">
      <c r="A411" s="14"/>
      <c r="N411" s="4"/>
    </row>
    <row r="412">
      <c r="A412" s="14"/>
      <c r="N412" s="4"/>
    </row>
    <row r="413">
      <c r="A413" s="14"/>
      <c r="N413" s="4"/>
    </row>
    <row r="414">
      <c r="A414" s="14"/>
      <c r="N414" s="4"/>
    </row>
    <row r="415">
      <c r="A415" s="14"/>
      <c r="N415" s="4"/>
    </row>
    <row r="416">
      <c r="A416" s="14"/>
      <c r="N416" s="4"/>
    </row>
    <row r="417">
      <c r="A417" s="14"/>
      <c r="N417" s="4"/>
    </row>
    <row r="418">
      <c r="A418" s="14"/>
      <c r="N418" s="4"/>
    </row>
    <row r="419">
      <c r="A419" s="14"/>
      <c r="N419" s="4"/>
    </row>
    <row r="420">
      <c r="A420" s="14"/>
      <c r="N420" s="4"/>
    </row>
    <row r="421">
      <c r="A421" s="14"/>
      <c r="N421" s="4"/>
    </row>
    <row r="422">
      <c r="A422" s="14"/>
      <c r="N422" s="4"/>
    </row>
    <row r="423">
      <c r="A423" s="14"/>
      <c r="N423" s="4"/>
    </row>
    <row r="424">
      <c r="A424" s="14"/>
      <c r="N424" s="4"/>
    </row>
    <row r="425">
      <c r="A425" s="14"/>
      <c r="N425" s="4"/>
    </row>
    <row r="426">
      <c r="A426" s="14"/>
      <c r="N426" s="4"/>
    </row>
    <row r="427">
      <c r="A427" s="14"/>
      <c r="N427" s="4"/>
    </row>
    <row r="428">
      <c r="A428" s="14"/>
      <c r="N428" s="4"/>
    </row>
    <row r="429">
      <c r="A429" s="14"/>
      <c r="N429" s="4"/>
    </row>
    <row r="430">
      <c r="A430" s="14"/>
      <c r="N430" s="4"/>
    </row>
    <row r="431">
      <c r="A431" s="14"/>
      <c r="N431" s="4"/>
    </row>
    <row r="432">
      <c r="A432" s="14"/>
      <c r="N432" s="4"/>
    </row>
    <row r="433">
      <c r="A433" s="14"/>
      <c r="N433" s="4"/>
    </row>
    <row r="434">
      <c r="A434" s="14"/>
      <c r="N434" s="4"/>
    </row>
    <row r="435">
      <c r="A435" s="14"/>
      <c r="N435" s="4"/>
    </row>
    <row r="436">
      <c r="A436" s="14"/>
      <c r="N436" s="4"/>
    </row>
    <row r="437">
      <c r="A437" s="14"/>
      <c r="N437" s="4"/>
    </row>
    <row r="438">
      <c r="A438" s="14"/>
      <c r="N438" s="4"/>
    </row>
    <row r="439">
      <c r="A439" s="14"/>
      <c r="N439" s="4"/>
    </row>
    <row r="440">
      <c r="A440" s="14"/>
      <c r="N440" s="4"/>
    </row>
    <row r="441">
      <c r="A441" s="14"/>
      <c r="N441" s="4"/>
    </row>
    <row r="442">
      <c r="A442" s="14"/>
      <c r="N442" s="4"/>
    </row>
    <row r="443">
      <c r="A443" s="14"/>
      <c r="N443" s="4"/>
    </row>
    <row r="444">
      <c r="A444" s="14"/>
      <c r="N444" s="4"/>
    </row>
    <row r="445">
      <c r="A445" s="14"/>
      <c r="N445" s="4"/>
    </row>
    <row r="446">
      <c r="A446" s="14"/>
      <c r="N446" s="4"/>
    </row>
    <row r="447">
      <c r="A447" s="14"/>
      <c r="N447" s="4"/>
    </row>
    <row r="448">
      <c r="A448" s="14"/>
      <c r="N448" s="4"/>
    </row>
    <row r="449">
      <c r="A449" s="14"/>
      <c r="N449" s="4"/>
    </row>
    <row r="450">
      <c r="A450" s="14"/>
      <c r="N450" s="4"/>
    </row>
    <row r="451">
      <c r="A451" s="14"/>
      <c r="N451" s="4"/>
    </row>
    <row r="452">
      <c r="A452" s="14"/>
      <c r="N452" s="4"/>
    </row>
    <row r="453">
      <c r="A453" s="14"/>
      <c r="N453" s="4"/>
    </row>
    <row r="454">
      <c r="A454" s="14"/>
      <c r="N454" s="4"/>
    </row>
    <row r="455">
      <c r="A455" s="14"/>
      <c r="N455" s="4"/>
    </row>
    <row r="456">
      <c r="A456" s="14"/>
      <c r="N456" s="4"/>
    </row>
    <row r="457">
      <c r="A457" s="14"/>
      <c r="N457" s="4"/>
    </row>
    <row r="458">
      <c r="A458" s="14"/>
      <c r="N458" s="4"/>
    </row>
    <row r="459">
      <c r="A459" s="14"/>
      <c r="N459" s="4"/>
    </row>
    <row r="460">
      <c r="A460" s="14"/>
      <c r="N460" s="4"/>
    </row>
    <row r="461">
      <c r="A461" s="14"/>
      <c r="N461" s="4"/>
    </row>
    <row r="462">
      <c r="A462" s="14"/>
      <c r="N462" s="4"/>
    </row>
    <row r="463">
      <c r="A463" s="14"/>
      <c r="N463" s="4"/>
    </row>
    <row r="464">
      <c r="A464" s="14"/>
      <c r="N464" s="4"/>
    </row>
    <row r="465">
      <c r="A465" s="14"/>
      <c r="N465" s="4"/>
    </row>
    <row r="466">
      <c r="A466" s="14"/>
      <c r="N466" s="4"/>
    </row>
    <row r="467">
      <c r="A467" s="14"/>
      <c r="N467" s="4"/>
    </row>
    <row r="468">
      <c r="A468" s="14"/>
      <c r="N468" s="4"/>
    </row>
    <row r="469">
      <c r="A469" s="14"/>
      <c r="N469" s="4"/>
    </row>
    <row r="470">
      <c r="A470" s="14"/>
      <c r="N470" s="4"/>
    </row>
    <row r="471">
      <c r="A471" s="14"/>
      <c r="N471" s="4"/>
    </row>
    <row r="472">
      <c r="A472" s="14"/>
      <c r="N472" s="4"/>
    </row>
    <row r="473">
      <c r="A473" s="14"/>
      <c r="N473" s="4"/>
    </row>
    <row r="474">
      <c r="A474" s="14"/>
      <c r="N474" s="4"/>
    </row>
    <row r="475">
      <c r="A475" s="14"/>
      <c r="N475" s="4"/>
    </row>
    <row r="476">
      <c r="A476" s="14"/>
      <c r="N476" s="4"/>
    </row>
    <row r="477">
      <c r="A477" s="14"/>
      <c r="N477" s="4"/>
    </row>
    <row r="478">
      <c r="A478" s="14"/>
      <c r="N478" s="4"/>
    </row>
    <row r="479">
      <c r="A479" s="14"/>
      <c r="N479" s="4"/>
    </row>
    <row r="480">
      <c r="A480" s="14"/>
      <c r="N480" s="4"/>
    </row>
    <row r="481">
      <c r="A481" s="14"/>
      <c r="N481" s="4"/>
    </row>
    <row r="482">
      <c r="A482" s="14"/>
      <c r="N482" s="4"/>
    </row>
    <row r="483">
      <c r="A483" s="14"/>
      <c r="N483" s="4"/>
    </row>
    <row r="484">
      <c r="A484" s="14"/>
      <c r="N484" s="4"/>
    </row>
    <row r="485">
      <c r="A485" s="14"/>
      <c r="N485" s="4"/>
    </row>
    <row r="486">
      <c r="A486" s="14"/>
      <c r="N486" s="4"/>
    </row>
    <row r="487">
      <c r="A487" s="14"/>
      <c r="N487" s="4"/>
    </row>
    <row r="488">
      <c r="A488" s="14"/>
      <c r="N488" s="4"/>
    </row>
    <row r="489">
      <c r="A489" s="14"/>
      <c r="N489" s="4"/>
    </row>
    <row r="490">
      <c r="A490" s="14"/>
      <c r="N490" s="4"/>
    </row>
    <row r="491">
      <c r="A491" s="14"/>
      <c r="N491" s="4"/>
    </row>
    <row r="492">
      <c r="A492" s="14"/>
      <c r="N492" s="4"/>
    </row>
    <row r="493">
      <c r="A493" s="14"/>
      <c r="N493" s="4"/>
    </row>
    <row r="494">
      <c r="A494" s="14"/>
      <c r="N494" s="4"/>
    </row>
    <row r="495">
      <c r="A495" s="14"/>
      <c r="N495" s="4"/>
    </row>
    <row r="496">
      <c r="A496" s="14"/>
      <c r="N496" s="4"/>
    </row>
    <row r="497">
      <c r="A497" s="14"/>
      <c r="N497" s="4"/>
    </row>
    <row r="498">
      <c r="A498" s="14"/>
      <c r="N498" s="4"/>
    </row>
    <row r="499">
      <c r="A499" s="14"/>
      <c r="N499" s="4"/>
    </row>
    <row r="500">
      <c r="A500" s="14"/>
      <c r="N500" s="4"/>
    </row>
    <row r="501">
      <c r="A501" s="14"/>
      <c r="N501" s="4"/>
    </row>
    <row r="502">
      <c r="A502" s="14"/>
      <c r="N502" s="4"/>
    </row>
    <row r="503">
      <c r="A503" s="14"/>
      <c r="N503" s="4"/>
    </row>
    <row r="504">
      <c r="A504" s="14"/>
      <c r="N504" s="4"/>
    </row>
    <row r="505">
      <c r="A505" s="14"/>
      <c r="N505" s="4"/>
    </row>
    <row r="506">
      <c r="A506" s="14"/>
      <c r="N506" s="4"/>
    </row>
    <row r="507">
      <c r="A507" s="14"/>
      <c r="N507" s="4"/>
    </row>
    <row r="508">
      <c r="A508" s="14"/>
      <c r="N508" s="4"/>
    </row>
    <row r="509">
      <c r="A509" s="14"/>
      <c r="N509" s="4"/>
    </row>
    <row r="510">
      <c r="A510" s="14"/>
      <c r="N510" s="4"/>
    </row>
    <row r="511">
      <c r="A511" s="14"/>
      <c r="N511" s="4"/>
    </row>
    <row r="512">
      <c r="A512" s="14"/>
      <c r="N512" s="4"/>
    </row>
    <row r="513">
      <c r="A513" s="14"/>
      <c r="N513" s="4"/>
    </row>
    <row r="514">
      <c r="A514" s="14"/>
      <c r="N514" s="4"/>
    </row>
    <row r="515">
      <c r="A515" s="14"/>
      <c r="N515" s="4"/>
    </row>
    <row r="516">
      <c r="A516" s="14"/>
      <c r="N516" s="4"/>
    </row>
    <row r="517">
      <c r="A517" s="14"/>
      <c r="N517" s="4"/>
    </row>
    <row r="518">
      <c r="A518" s="14"/>
      <c r="N518" s="4"/>
    </row>
    <row r="519">
      <c r="A519" s="14"/>
      <c r="N519" s="4"/>
    </row>
    <row r="520">
      <c r="A520" s="14"/>
      <c r="N520" s="4"/>
    </row>
    <row r="521">
      <c r="A521" s="14"/>
      <c r="N521" s="4"/>
    </row>
    <row r="522">
      <c r="A522" s="14"/>
      <c r="N522" s="4"/>
    </row>
    <row r="523">
      <c r="A523" s="14"/>
      <c r="N523" s="4"/>
    </row>
    <row r="524">
      <c r="A524" s="14"/>
      <c r="N524" s="4"/>
    </row>
    <row r="525">
      <c r="A525" s="14"/>
      <c r="N525" s="4"/>
    </row>
    <row r="526">
      <c r="A526" s="14"/>
      <c r="N526" s="4"/>
    </row>
    <row r="527">
      <c r="A527" s="14"/>
      <c r="N527" s="4"/>
    </row>
    <row r="528">
      <c r="A528" s="14"/>
      <c r="N528" s="4"/>
    </row>
    <row r="529">
      <c r="A529" s="14"/>
      <c r="N529" s="4"/>
    </row>
    <row r="530">
      <c r="A530" s="14"/>
      <c r="N530" s="4"/>
    </row>
    <row r="531">
      <c r="A531" s="14"/>
      <c r="N531" s="4"/>
    </row>
    <row r="532">
      <c r="A532" s="14"/>
      <c r="N532" s="4"/>
    </row>
    <row r="533">
      <c r="A533" s="14"/>
      <c r="N533" s="4"/>
    </row>
    <row r="534">
      <c r="A534" s="14"/>
      <c r="N534" s="4"/>
    </row>
    <row r="535">
      <c r="A535" s="14"/>
      <c r="N535" s="4"/>
    </row>
    <row r="536">
      <c r="A536" s="14"/>
      <c r="N536" s="4"/>
    </row>
    <row r="537">
      <c r="A537" s="14"/>
      <c r="N537" s="4"/>
    </row>
    <row r="538">
      <c r="A538" s="14"/>
      <c r="N538" s="4"/>
    </row>
    <row r="539">
      <c r="A539" s="14"/>
      <c r="N539" s="4"/>
    </row>
    <row r="540">
      <c r="A540" s="14"/>
      <c r="N540" s="4"/>
    </row>
    <row r="541">
      <c r="A541" s="14"/>
      <c r="N541" s="4"/>
    </row>
    <row r="542">
      <c r="A542" s="14"/>
      <c r="N542" s="4"/>
    </row>
    <row r="543">
      <c r="A543" s="14"/>
      <c r="N543" s="4"/>
    </row>
    <row r="544">
      <c r="A544" s="14"/>
      <c r="N544" s="4"/>
    </row>
    <row r="545">
      <c r="A545" s="14"/>
      <c r="N545" s="4"/>
    </row>
    <row r="546">
      <c r="A546" s="14"/>
      <c r="N546" s="4"/>
    </row>
    <row r="547">
      <c r="A547" s="14"/>
      <c r="N547" s="4"/>
    </row>
    <row r="548">
      <c r="A548" s="14"/>
      <c r="N548" s="4"/>
    </row>
    <row r="549">
      <c r="A549" s="14"/>
      <c r="N549" s="4"/>
    </row>
    <row r="550">
      <c r="A550" s="14"/>
      <c r="N550" s="4"/>
    </row>
    <row r="551">
      <c r="A551" s="14"/>
      <c r="N551" s="4"/>
    </row>
    <row r="552">
      <c r="A552" s="14"/>
      <c r="N552" s="4"/>
    </row>
    <row r="553">
      <c r="A553" s="14"/>
      <c r="N553" s="4"/>
    </row>
    <row r="554">
      <c r="A554" s="14"/>
      <c r="N554" s="4"/>
    </row>
    <row r="555">
      <c r="A555" s="14"/>
      <c r="N555" s="4"/>
    </row>
    <row r="556">
      <c r="A556" s="14"/>
      <c r="N556" s="4"/>
    </row>
    <row r="557">
      <c r="A557" s="14"/>
      <c r="N557" s="4"/>
    </row>
    <row r="558">
      <c r="A558" s="14"/>
      <c r="N558" s="4"/>
    </row>
    <row r="559">
      <c r="A559" s="14"/>
      <c r="N559" s="4"/>
    </row>
    <row r="560">
      <c r="A560" s="14"/>
      <c r="N560" s="4"/>
    </row>
    <row r="561">
      <c r="A561" s="14"/>
      <c r="N561" s="4"/>
    </row>
    <row r="562">
      <c r="A562" s="14"/>
      <c r="N562" s="4"/>
    </row>
    <row r="563">
      <c r="A563" s="14"/>
      <c r="N563" s="4"/>
    </row>
    <row r="564">
      <c r="A564" s="14"/>
      <c r="N564" s="4"/>
    </row>
    <row r="565">
      <c r="A565" s="14"/>
      <c r="N565" s="4"/>
    </row>
    <row r="566">
      <c r="A566" s="14"/>
      <c r="N566" s="4"/>
    </row>
    <row r="567">
      <c r="A567" s="14"/>
      <c r="N567" s="4"/>
    </row>
    <row r="568">
      <c r="A568" s="14"/>
      <c r="N568" s="4"/>
    </row>
    <row r="569">
      <c r="A569" s="14"/>
      <c r="N569" s="4"/>
    </row>
    <row r="570">
      <c r="A570" s="14"/>
      <c r="N570" s="4"/>
    </row>
    <row r="571">
      <c r="A571" s="14"/>
      <c r="N571" s="4"/>
    </row>
    <row r="572">
      <c r="A572" s="14"/>
      <c r="N572" s="4"/>
    </row>
    <row r="573">
      <c r="A573" s="14"/>
      <c r="N573" s="4"/>
    </row>
    <row r="574">
      <c r="A574" s="14"/>
      <c r="N574" s="4"/>
    </row>
    <row r="575">
      <c r="A575" s="14"/>
      <c r="N575" s="4"/>
    </row>
    <row r="576">
      <c r="A576" s="14"/>
      <c r="N576" s="4"/>
    </row>
    <row r="577">
      <c r="A577" s="14"/>
      <c r="N577" s="4"/>
    </row>
    <row r="578">
      <c r="A578" s="14"/>
      <c r="N578" s="4"/>
    </row>
    <row r="579">
      <c r="A579" s="14"/>
      <c r="N579" s="4"/>
    </row>
    <row r="580">
      <c r="A580" s="14"/>
      <c r="N580" s="4"/>
    </row>
    <row r="581">
      <c r="A581" s="14"/>
      <c r="N581" s="4"/>
    </row>
    <row r="582">
      <c r="A582" s="14"/>
      <c r="N582" s="4"/>
    </row>
    <row r="583">
      <c r="A583" s="14"/>
      <c r="N583" s="4"/>
    </row>
    <row r="584">
      <c r="A584" s="14"/>
      <c r="N584" s="4"/>
    </row>
    <row r="585">
      <c r="A585" s="14"/>
      <c r="N585" s="4"/>
    </row>
    <row r="586">
      <c r="A586" s="14"/>
      <c r="N586" s="4"/>
    </row>
    <row r="587">
      <c r="A587" s="14"/>
      <c r="N587" s="4"/>
    </row>
    <row r="588">
      <c r="A588" s="14"/>
      <c r="N588" s="4"/>
    </row>
    <row r="589">
      <c r="A589" s="14"/>
      <c r="N589" s="4"/>
    </row>
    <row r="590">
      <c r="A590" s="14"/>
      <c r="N590" s="4"/>
    </row>
    <row r="591">
      <c r="A591" s="14"/>
      <c r="N591" s="4"/>
    </row>
    <row r="592">
      <c r="A592" s="14"/>
      <c r="N592" s="4"/>
    </row>
    <row r="593">
      <c r="A593" s="14"/>
      <c r="N593" s="4"/>
    </row>
    <row r="594">
      <c r="A594" s="14"/>
      <c r="N594" s="4"/>
    </row>
    <row r="595">
      <c r="A595" s="14"/>
      <c r="N595" s="4"/>
    </row>
    <row r="596">
      <c r="A596" s="14"/>
      <c r="N596" s="4"/>
    </row>
    <row r="597">
      <c r="A597" s="14"/>
      <c r="N597" s="4"/>
    </row>
    <row r="598">
      <c r="A598" s="14"/>
      <c r="N598" s="4"/>
    </row>
    <row r="599">
      <c r="A599" s="14"/>
      <c r="N599" s="4"/>
    </row>
    <row r="600">
      <c r="A600" s="14"/>
      <c r="N600" s="4"/>
    </row>
    <row r="601">
      <c r="A601" s="14"/>
      <c r="N601" s="4"/>
    </row>
    <row r="602">
      <c r="A602" s="14"/>
      <c r="N602" s="4"/>
    </row>
    <row r="603">
      <c r="A603" s="14"/>
      <c r="N603" s="4"/>
    </row>
    <row r="604">
      <c r="A604" s="14"/>
      <c r="N604" s="4"/>
    </row>
    <row r="605">
      <c r="A605" s="14"/>
      <c r="N605" s="4"/>
    </row>
    <row r="606">
      <c r="A606" s="14"/>
      <c r="N606" s="4"/>
    </row>
    <row r="607">
      <c r="A607" s="14"/>
      <c r="N607" s="4"/>
    </row>
    <row r="608">
      <c r="A608" s="14"/>
      <c r="N608" s="4"/>
    </row>
    <row r="609">
      <c r="A609" s="14"/>
      <c r="N609" s="4"/>
    </row>
    <row r="610">
      <c r="A610" s="14"/>
      <c r="N610" s="4"/>
    </row>
    <row r="611">
      <c r="A611" s="14"/>
      <c r="N611" s="4"/>
    </row>
    <row r="612">
      <c r="A612" s="14"/>
      <c r="N612" s="4"/>
    </row>
    <row r="613">
      <c r="A613" s="14"/>
      <c r="N613" s="4"/>
    </row>
    <row r="614">
      <c r="A614" s="14"/>
      <c r="N614" s="4"/>
    </row>
    <row r="615">
      <c r="A615" s="14"/>
      <c r="N615" s="4"/>
    </row>
    <row r="616">
      <c r="A616" s="14"/>
      <c r="N616" s="4"/>
    </row>
    <row r="617">
      <c r="A617" s="14"/>
      <c r="N617" s="4"/>
    </row>
    <row r="618">
      <c r="A618" s="14"/>
      <c r="N618" s="4"/>
    </row>
    <row r="619">
      <c r="A619" s="14"/>
      <c r="N619" s="4"/>
    </row>
    <row r="620">
      <c r="A620" s="14"/>
      <c r="N620" s="4"/>
    </row>
    <row r="621">
      <c r="A621" s="14"/>
      <c r="N621" s="4"/>
    </row>
    <row r="622">
      <c r="A622" s="14"/>
      <c r="N622" s="4"/>
    </row>
    <row r="623">
      <c r="A623" s="14"/>
      <c r="N623" s="4"/>
    </row>
    <row r="624">
      <c r="A624" s="14"/>
      <c r="N624" s="4"/>
    </row>
    <row r="625">
      <c r="A625" s="14"/>
      <c r="N625" s="4"/>
    </row>
    <row r="626">
      <c r="A626" s="14"/>
      <c r="N626" s="4"/>
    </row>
    <row r="627">
      <c r="A627" s="14"/>
      <c r="N627" s="4"/>
    </row>
    <row r="628">
      <c r="A628" s="14"/>
      <c r="N628" s="4"/>
    </row>
    <row r="629">
      <c r="A629" s="14"/>
      <c r="N629" s="4"/>
    </row>
    <row r="630">
      <c r="A630" s="14"/>
      <c r="N630" s="4"/>
    </row>
    <row r="631">
      <c r="A631" s="14"/>
      <c r="N631" s="4"/>
    </row>
    <row r="632">
      <c r="A632" s="14"/>
      <c r="N632" s="4"/>
    </row>
    <row r="633">
      <c r="A633" s="14"/>
      <c r="N633" s="4"/>
    </row>
    <row r="634">
      <c r="A634" s="14"/>
      <c r="N634" s="4"/>
    </row>
    <row r="635">
      <c r="A635" s="14"/>
      <c r="N635" s="4"/>
    </row>
    <row r="636">
      <c r="A636" s="14"/>
      <c r="N636" s="4"/>
    </row>
    <row r="637">
      <c r="A637" s="14"/>
      <c r="N637" s="4"/>
    </row>
    <row r="638">
      <c r="A638" s="14"/>
      <c r="N638" s="4"/>
    </row>
    <row r="639">
      <c r="A639" s="14"/>
      <c r="N639" s="4"/>
    </row>
    <row r="640">
      <c r="A640" s="14"/>
      <c r="N640" s="4"/>
    </row>
    <row r="641">
      <c r="A641" s="14"/>
      <c r="N641" s="4"/>
    </row>
    <row r="642">
      <c r="A642" s="14"/>
      <c r="N642" s="4"/>
    </row>
    <row r="643">
      <c r="A643" s="14"/>
      <c r="N643" s="4"/>
    </row>
    <row r="644">
      <c r="A644" s="14"/>
      <c r="N644" s="4"/>
    </row>
    <row r="645">
      <c r="A645" s="14"/>
      <c r="N645" s="4"/>
    </row>
    <row r="646">
      <c r="A646" s="14"/>
      <c r="N646" s="4"/>
    </row>
    <row r="647">
      <c r="A647" s="14"/>
      <c r="N647" s="4"/>
    </row>
    <row r="648">
      <c r="A648" s="14"/>
      <c r="N648" s="4"/>
    </row>
    <row r="649">
      <c r="A649" s="14"/>
      <c r="N649" s="4"/>
    </row>
    <row r="650">
      <c r="A650" s="14"/>
      <c r="N650" s="4"/>
    </row>
    <row r="651">
      <c r="A651" s="14"/>
      <c r="N651" s="4"/>
    </row>
    <row r="652">
      <c r="A652" s="14"/>
      <c r="N652" s="4"/>
    </row>
    <row r="653">
      <c r="A653" s="14"/>
      <c r="N653" s="4"/>
    </row>
    <row r="654">
      <c r="A654" s="14"/>
      <c r="N654" s="4"/>
    </row>
    <row r="655">
      <c r="A655" s="14"/>
      <c r="N655" s="4"/>
    </row>
    <row r="656">
      <c r="A656" s="14"/>
      <c r="N656" s="4"/>
    </row>
    <row r="657">
      <c r="A657" s="14"/>
      <c r="N657" s="4"/>
    </row>
    <row r="658">
      <c r="A658" s="14"/>
      <c r="N658" s="4"/>
    </row>
    <row r="659">
      <c r="A659" s="14"/>
      <c r="N659" s="4"/>
    </row>
    <row r="660">
      <c r="A660" s="14"/>
      <c r="N660" s="4"/>
    </row>
    <row r="661">
      <c r="A661" s="14"/>
      <c r="N661" s="4"/>
    </row>
    <row r="662">
      <c r="A662" s="14"/>
      <c r="N662" s="4"/>
    </row>
    <row r="663">
      <c r="A663" s="14"/>
      <c r="N663" s="4"/>
    </row>
    <row r="664">
      <c r="A664" s="14"/>
      <c r="N664" s="4"/>
    </row>
    <row r="665">
      <c r="A665" s="14"/>
      <c r="N665" s="4"/>
    </row>
    <row r="666">
      <c r="A666" s="14"/>
      <c r="N666" s="4"/>
    </row>
    <row r="667">
      <c r="A667" s="14"/>
      <c r="N667" s="4"/>
    </row>
    <row r="668">
      <c r="A668" s="14"/>
      <c r="N668" s="4"/>
    </row>
    <row r="669">
      <c r="A669" s="14"/>
      <c r="N669" s="4"/>
    </row>
    <row r="670">
      <c r="A670" s="14"/>
      <c r="N670" s="4"/>
    </row>
    <row r="671">
      <c r="A671" s="14"/>
      <c r="N671" s="4"/>
    </row>
    <row r="672">
      <c r="A672" s="14"/>
      <c r="N672" s="4"/>
    </row>
    <row r="673">
      <c r="A673" s="14"/>
      <c r="N673" s="4"/>
    </row>
    <row r="674">
      <c r="A674" s="14"/>
      <c r="N674" s="4"/>
    </row>
    <row r="675">
      <c r="A675" s="14"/>
      <c r="N675" s="4"/>
    </row>
    <row r="676">
      <c r="A676" s="14"/>
      <c r="N676" s="4"/>
    </row>
    <row r="677">
      <c r="A677" s="14"/>
      <c r="N677" s="4"/>
    </row>
    <row r="678">
      <c r="A678" s="14"/>
      <c r="N678" s="4"/>
    </row>
    <row r="679">
      <c r="A679" s="14"/>
      <c r="N679" s="4"/>
    </row>
    <row r="680">
      <c r="A680" s="14"/>
      <c r="N680" s="4"/>
    </row>
    <row r="681">
      <c r="A681" s="14"/>
      <c r="N681" s="4"/>
    </row>
    <row r="682">
      <c r="A682" s="14"/>
      <c r="N682" s="4"/>
    </row>
    <row r="683">
      <c r="A683" s="14"/>
      <c r="N683" s="4"/>
    </row>
    <row r="684">
      <c r="A684" s="14"/>
      <c r="N684" s="4"/>
    </row>
    <row r="685">
      <c r="A685" s="14"/>
      <c r="N685" s="4"/>
    </row>
    <row r="686">
      <c r="A686" s="14"/>
      <c r="N686" s="4"/>
    </row>
    <row r="687">
      <c r="A687" s="14"/>
      <c r="N687" s="4"/>
    </row>
    <row r="688">
      <c r="A688" s="14"/>
      <c r="N688" s="4"/>
    </row>
    <row r="689">
      <c r="A689" s="14"/>
      <c r="N689" s="4"/>
    </row>
    <row r="690">
      <c r="A690" s="14"/>
      <c r="N690" s="4"/>
    </row>
    <row r="691">
      <c r="A691" s="14"/>
      <c r="N691" s="4"/>
    </row>
    <row r="692">
      <c r="A692" s="14"/>
      <c r="N692" s="4"/>
    </row>
    <row r="693">
      <c r="A693" s="14"/>
      <c r="N693" s="4"/>
    </row>
    <row r="694">
      <c r="A694" s="14"/>
      <c r="N694" s="4"/>
    </row>
    <row r="695">
      <c r="A695" s="14"/>
      <c r="N695" s="4"/>
    </row>
    <row r="696">
      <c r="A696" s="14"/>
      <c r="N696" s="4"/>
    </row>
    <row r="697">
      <c r="A697" s="14"/>
      <c r="N697" s="4"/>
    </row>
    <row r="698">
      <c r="A698" s="14"/>
      <c r="N698" s="4"/>
    </row>
    <row r="699">
      <c r="A699" s="14"/>
      <c r="N699" s="4"/>
    </row>
    <row r="700">
      <c r="A700" s="14"/>
      <c r="N700" s="4"/>
    </row>
    <row r="701">
      <c r="A701" s="14"/>
      <c r="N701" s="4"/>
    </row>
    <row r="702">
      <c r="A702" s="14"/>
      <c r="N702" s="4"/>
    </row>
    <row r="703">
      <c r="A703" s="14"/>
      <c r="N703" s="4"/>
    </row>
    <row r="704">
      <c r="A704" s="14"/>
      <c r="N704" s="4"/>
    </row>
    <row r="705">
      <c r="A705" s="14"/>
      <c r="N705" s="4"/>
    </row>
    <row r="706">
      <c r="A706" s="14"/>
      <c r="N706" s="4"/>
    </row>
    <row r="707">
      <c r="A707" s="14"/>
      <c r="N707" s="4"/>
    </row>
    <row r="708">
      <c r="A708" s="14"/>
      <c r="N708" s="4"/>
    </row>
    <row r="709">
      <c r="A709" s="14"/>
      <c r="N709" s="4"/>
    </row>
    <row r="710">
      <c r="A710" s="14"/>
      <c r="N710" s="4"/>
    </row>
    <row r="711">
      <c r="A711" s="14"/>
      <c r="N711" s="4"/>
    </row>
    <row r="712">
      <c r="A712" s="14"/>
      <c r="N712" s="4"/>
    </row>
    <row r="713">
      <c r="A713" s="14"/>
      <c r="N713" s="4"/>
    </row>
    <row r="714">
      <c r="A714" s="14"/>
      <c r="N714" s="4"/>
    </row>
    <row r="715">
      <c r="A715" s="14"/>
      <c r="N715" s="4"/>
    </row>
    <row r="716">
      <c r="A716" s="14"/>
      <c r="N716" s="4"/>
    </row>
    <row r="717">
      <c r="A717" s="14"/>
      <c r="N717" s="4"/>
    </row>
    <row r="718">
      <c r="A718" s="14"/>
      <c r="N718" s="4"/>
    </row>
    <row r="719">
      <c r="A719" s="14"/>
      <c r="N719" s="4"/>
    </row>
    <row r="720">
      <c r="A720" s="14"/>
      <c r="N720" s="4"/>
    </row>
    <row r="721">
      <c r="A721" s="14"/>
      <c r="N721" s="4"/>
    </row>
    <row r="722">
      <c r="A722" s="14"/>
      <c r="N722" s="4"/>
    </row>
    <row r="723">
      <c r="A723" s="14"/>
      <c r="N723" s="4"/>
    </row>
    <row r="724">
      <c r="A724" s="14"/>
      <c r="N724" s="4"/>
    </row>
    <row r="725">
      <c r="A725" s="14"/>
      <c r="N725" s="4"/>
    </row>
    <row r="726">
      <c r="A726" s="14"/>
      <c r="N726" s="4"/>
    </row>
    <row r="727">
      <c r="A727" s="14"/>
      <c r="N727" s="4"/>
    </row>
    <row r="728">
      <c r="A728" s="14"/>
      <c r="N728" s="4"/>
    </row>
    <row r="729">
      <c r="A729" s="14"/>
      <c r="N729" s="4"/>
    </row>
    <row r="730">
      <c r="A730" s="14"/>
      <c r="N730" s="4"/>
    </row>
    <row r="731">
      <c r="A731" s="14"/>
      <c r="N731" s="4"/>
    </row>
    <row r="732">
      <c r="A732" s="14"/>
      <c r="N732" s="4"/>
    </row>
    <row r="733">
      <c r="A733" s="14"/>
      <c r="N733" s="4"/>
    </row>
    <row r="734">
      <c r="A734" s="14"/>
      <c r="N734" s="4"/>
    </row>
    <row r="735">
      <c r="A735" s="14"/>
      <c r="N735" s="4"/>
    </row>
    <row r="736">
      <c r="A736" s="14"/>
      <c r="N736" s="4"/>
    </row>
    <row r="737">
      <c r="A737" s="14"/>
      <c r="N737" s="4"/>
    </row>
    <row r="738">
      <c r="A738" s="14"/>
      <c r="N738" s="4"/>
    </row>
    <row r="739">
      <c r="A739" s="14"/>
      <c r="N739" s="4"/>
    </row>
    <row r="740">
      <c r="A740" s="14"/>
      <c r="N740" s="4"/>
    </row>
    <row r="741">
      <c r="A741" s="14"/>
      <c r="N741" s="4"/>
    </row>
    <row r="742">
      <c r="A742" s="14"/>
      <c r="N742" s="4"/>
    </row>
    <row r="743">
      <c r="A743" s="14"/>
      <c r="N743" s="4"/>
    </row>
    <row r="744">
      <c r="A744" s="14"/>
      <c r="N744" s="4"/>
    </row>
    <row r="745">
      <c r="A745" s="14"/>
      <c r="N745" s="4"/>
    </row>
    <row r="746">
      <c r="A746" s="14"/>
      <c r="N746" s="4"/>
    </row>
    <row r="747">
      <c r="A747" s="14"/>
      <c r="N747" s="4"/>
    </row>
    <row r="748">
      <c r="A748" s="14"/>
      <c r="N748" s="4"/>
    </row>
    <row r="749">
      <c r="A749" s="14"/>
      <c r="N749" s="4"/>
    </row>
    <row r="750">
      <c r="A750" s="14"/>
      <c r="N750" s="4"/>
    </row>
    <row r="751">
      <c r="A751" s="14"/>
      <c r="N751" s="4"/>
    </row>
    <row r="752">
      <c r="A752" s="14"/>
      <c r="N752" s="4"/>
    </row>
    <row r="753">
      <c r="A753" s="14"/>
      <c r="N753" s="4"/>
    </row>
    <row r="754">
      <c r="A754" s="14"/>
      <c r="N754" s="4"/>
    </row>
    <row r="755">
      <c r="A755" s="14"/>
      <c r="N755" s="4"/>
    </row>
    <row r="756">
      <c r="A756" s="14"/>
      <c r="N756" s="4"/>
    </row>
    <row r="757">
      <c r="A757" s="14"/>
      <c r="N757" s="4"/>
    </row>
    <row r="758">
      <c r="A758" s="14"/>
      <c r="N758" s="4"/>
    </row>
    <row r="759">
      <c r="A759" s="14"/>
      <c r="N759" s="4"/>
    </row>
    <row r="760">
      <c r="A760" s="14"/>
      <c r="N760" s="4"/>
    </row>
    <row r="761">
      <c r="A761" s="14"/>
      <c r="N761" s="4"/>
    </row>
    <row r="762">
      <c r="A762" s="14"/>
      <c r="N762" s="4"/>
    </row>
    <row r="763">
      <c r="A763" s="14"/>
      <c r="N763" s="4"/>
    </row>
    <row r="764">
      <c r="A764" s="14"/>
      <c r="N764" s="4"/>
    </row>
    <row r="765">
      <c r="A765" s="14"/>
      <c r="N765" s="4"/>
    </row>
    <row r="766">
      <c r="A766" s="14"/>
      <c r="N766" s="4"/>
    </row>
    <row r="767">
      <c r="A767" s="14"/>
      <c r="N767" s="4"/>
    </row>
    <row r="768">
      <c r="A768" s="14"/>
      <c r="N768" s="4"/>
    </row>
    <row r="769">
      <c r="A769" s="14"/>
      <c r="N769" s="4"/>
    </row>
    <row r="770">
      <c r="A770" s="14"/>
      <c r="N770" s="4"/>
    </row>
    <row r="771">
      <c r="A771" s="14"/>
      <c r="N771" s="4"/>
    </row>
    <row r="772">
      <c r="A772" s="14"/>
      <c r="N772" s="4"/>
    </row>
    <row r="773">
      <c r="A773" s="14"/>
      <c r="N773" s="4"/>
    </row>
    <row r="774">
      <c r="A774" s="14"/>
      <c r="N774" s="4"/>
    </row>
    <row r="775">
      <c r="A775" s="14"/>
      <c r="N775" s="4"/>
    </row>
    <row r="776">
      <c r="A776" s="14"/>
      <c r="N776" s="4"/>
    </row>
    <row r="777">
      <c r="A777" s="14"/>
      <c r="N777" s="4"/>
    </row>
    <row r="778">
      <c r="A778" s="14"/>
      <c r="N778" s="4"/>
    </row>
    <row r="779">
      <c r="A779" s="14"/>
      <c r="N779" s="4"/>
    </row>
    <row r="780">
      <c r="A780" s="14"/>
      <c r="N780" s="4"/>
    </row>
    <row r="781">
      <c r="A781" s="14"/>
      <c r="N781" s="4"/>
    </row>
    <row r="782">
      <c r="A782" s="14"/>
      <c r="N782" s="4"/>
    </row>
    <row r="783">
      <c r="A783" s="14"/>
      <c r="N783" s="4"/>
    </row>
    <row r="784">
      <c r="A784" s="14"/>
      <c r="N784" s="4"/>
    </row>
    <row r="785">
      <c r="A785" s="14"/>
      <c r="N785" s="4"/>
    </row>
    <row r="786">
      <c r="A786" s="14"/>
      <c r="N786" s="4"/>
    </row>
    <row r="787">
      <c r="A787" s="14"/>
      <c r="N787" s="4"/>
    </row>
    <row r="788">
      <c r="A788" s="14"/>
      <c r="N788" s="4"/>
    </row>
    <row r="789">
      <c r="A789" s="14"/>
      <c r="N789" s="4"/>
    </row>
    <row r="790">
      <c r="A790" s="14"/>
      <c r="N790" s="4"/>
    </row>
    <row r="791">
      <c r="A791" s="14"/>
      <c r="N791" s="4"/>
    </row>
    <row r="792">
      <c r="A792" s="14"/>
      <c r="N792" s="4"/>
    </row>
    <row r="793">
      <c r="A793" s="14"/>
      <c r="N793" s="4"/>
    </row>
    <row r="794">
      <c r="A794" s="14"/>
      <c r="N794" s="4"/>
    </row>
    <row r="795">
      <c r="A795" s="14"/>
      <c r="N795" s="4"/>
    </row>
    <row r="796">
      <c r="A796" s="14"/>
      <c r="N796" s="4"/>
    </row>
    <row r="797">
      <c r="A797" s="14"/>
      <c r="N797" s="4"/>
    </row>
    <row r="798">
      <c r="A798" s="14"/>
      <c r="N798" s="4"/>
    </row>
    <row r="799">
      <c r="A799" s="14"/>
      <c r="N799" s="4"/>
    </row>
    <row r="800">
      <c r="A800" s="14"/>
      <c r="N800" s="4"/>
    </row>
    <row r="801">
      <c r="A801" s="14"/>
      <c r="N801" s="4"/>
    </row>
    <row r="802">
      <c r="A802" s="14"/>
      <c r="N802" s="4"/>
    </row>
    <row r="803">
      <c r="A803" s="14"/>
      <c r="N803" s="4"/>
    </row>
    <row r="804">
      <c r="A804" s="14"/>
      <c r="N804" s="4"/>
    </row>
    <row r="805">
      <c r="A805" s="14"/>
      <c r="N805" s="4"/>
    </row>
    <row r="806">
      <c r="A806" s="14"/>
      <c r="N806" s="4"/>
    </row>
    <row r="807">
      <c r="A807" s="14"/>
      <c r="N807" s="4"/>
    </row>
    <row r="808">
      <c r="A808" s="14"/>
      <c r="N808" s="4"/>
    </row>
    <row r="809">
      <c r="A809" s="14"/>
      <c r="N809" s="4"/>
    </row>
    <row r="810">
      <c r="A810" s="14"/>
      <c r="N810" s="4"/>
    </row>
    <row r="811">
      <c r="A811" s="14"/>
      <c r="N811" s="4"/>
    </row>
    <row r="812">
      <c r="A812" s="14"/>
      <c r="N812" s="4"/>
    </row>
    <row r="813">
      <c r="A813" s="14"/>
      <c r="N813" s="4"/>
    </row>
    <row r="814">
      <c r="A814" s="14"/>
      <c r="N814" s="4"/>
    </row>
    <row r="815">
      <c r="A815" s="14"/>
      <c r="N815" s="4"/>
    </row>
    <row r="816">
      <c r="A816" s="14"/>
      <c r="N816" s="4"/>
    </row>
    <row r="817">
      <c r="A817" s="14"/>
      <c r="N817" s="4"/>
    </row>
    <row r="818">
      <c r="A818" s="14"/>
      <c r="N818" s="4"/>
    </row>
    <row r="819">
      <c r="A819" s="14"/>
      <c r="N819" s="4"/>
    </row>
    <row r="820">
      <c r="A820" s="14"/>
      <c r="N820" s="4"/>
    </row>
    <row r="821">
      <c r="A821" s="14"/>
      <c r="N821" s="4"/>
    </row>
    <row r="822">
      <c r="A822" s="14"/>
      <c r="N822" s="4"/>
    </row>
    <row r="823">
      <c r="A823" s="14"/>
      <c r="N823" s="4"/>
    </row>
    <row r="824">
      <c r="A824" s="14"/>
      <c r="N824" s="4"/>
    </row>
    <row r="825">
      <c r="A825" s="14"/>
      <c r="N825" s="4"/>
    </row>
    <row r="826">
      <c r="A826" s="14"/>
      <c r="N826" s="4"/>
    </row>
    <row r="827">
      <c r="A827" s="14"/>
      <c r="N827" s="4"/>
    </row>
    <row r="828">
      <c r="A828" s="14"/>
      <c r="N828" s="4"/>
    </row>
    <row r="829">
      <c r="A829" s="14"/>
      <c r="N829" s="4"/>
    </row>
    <row r="830">
      <c r="A830" s="14"/>
      <c r="N830" s="4"/>
    </row>
    <row r="831">
      <c r="A831" s="14"/>
      <c r="N831" s="4"/>
    </row>
    <row r="832">
      <c r="A832" s="14"/>
      <c r="N832" s="4"/>
    </row>
    <row r="833">
      <c r="A833" s="14"/>
      <c r="N833" s="4"/>
    </row>
    <row r="834">
      <c r="A834" s="14"/>
      <c r="N834" s="4"/>
    </row>
    <row r="835">
      <c r="A835" s="14"/>
      <c r="N835" s="4"/>
    </row>
    <row r="836">
      <c r="A836" s="14"/>
      <c r="N836" s="4"/>
    </row>
    <row r="837">
      <c r="A837" s="14"/>
      <c r="N837" s="4"/>
    </row>
    <row r="838">
      <c r="A838" s="14"/>
      <c r="N838" s="4"/>
    </row>
    <row r="839">
      <c r="A839" s="14"/>
      <c r="N839" s="4"/>
    </row>
    <row r="840">
      <c r="A840" s="14"/>
      <c r="N840" s="4"/>
    </row>
    <row r="841">
      <c r="A841" s="14"/>
      <c r="N841" s="4"/>
    </row>
    <row r="842">
      <c r="A842" s="14"/>
      <c r="N842" s="4"/>
    </row>
    <row r="843">
      <c r="A843" s="14"/>
      <c r="N843" s="4"/>
    </row>
    <row r="844">
      <c r="A844" s="14"/>
      <c r="N844" s="4"/>
    </row>
    <row r="845">
      <c r="A845" s="14"/>
      <c r="N845" s="4"/>
    </row>
    <row r="846">
      <c r="A846" s="14"/>
      <c r="N846" s="4"/>
    </row>
    <row r="847">
      <c r="A847" s="14"/>
      <c r="N847" s="4"/>
    </row>
    <row r="848">
      <c r="A848" s="14"/>
      <c r="N848" s="4"/>
    </row>
    <row r="849">
      <c r="A849" s="14"/>
      <c r="N849" s="4"/>
    </row>
    <row r="850">
      <c r="A850" s="14"/>
      <c r="N850" s="4"/>
    </row>
    <row r="851">
      <c r="A851" s="14"/>
      <c r="N851" s="4"/>
    </row>
    <row r="852">
      <c r="A852" s="14"/>
      <c r="N852" s="4"/>
    </row>
    <row r="853">
      <c r="A853" s="14"/>
      <c r="N853" s="4"/>
    </row>
    <row r="854">
      <c r="A854" s="14"/>
      <c r="N854" s="4"/>
    </row>
    <row r="855">
      <c r="A855" s="14"/>
      <c r="N855" s="4"/>
    </row>
    <row r="856">
      <c r="A856" s="14"/>
      <c r="N856" s="4"/>
    </row>
    <row r="857">
      <c r="A857" s="14"/>
      <c r="N857" s="4"/>
    </row>
    <row r="858">
      <c r="A858" s="14"/>
      <c r="N858" s="4"/>
    </row>
    <row r="859">
      <c r="A859" s="14"/>
      <c r="N859" s="4"/>
    </row>
    <row r="860">
      <c r="A860" s="14"/>
      <c r="N860" s="4"/>
    </row>
    <row r="861">
      <c r="A861" s="14"/>
      <c r="N861" s="4"/>
    </row>
    <row r="862">
      <c r="A862" s="14"/>
      <c r="N862" s="4"/>
    </row>
    <row r="863">
      <c r="A863" s="14"/>
      <c r="N863" s="4"/>
    </row>
    <row r="864">
      <c r="A864" s="14"/>
      <c r="N864" s="4"/>
    </row>
    <row r="865">
      <c r="A865" s="14"/>
      <c r="N865" s="4"/>
    </row>
    <row r="866">
      <c r="A866" s="14"/>
      <c r="N866" s="4"/>
    </row>
    <row r="867">
      <c r="A867" s="14"/>
      <c r="N867" s="4"/>
    </row>
    <row r="868">
      <c r="A868" s="14"/>
      <c r="N868" s="4"/>
    </row>
    <row r="869">
      <c r="A869" s="14"/>
      <c r="N869" s="4"/>
    </row>
    <row r="870">
      <c r="A870" s="14"/>
      <c r="N870" s="4"/>
    </row>
    <row r="871">
      <c r="A871" s="14"/>
      <c r="N871" s="4"/>
    </row>
    <row r="872">
      <c r="A872" s="14"/>
      <c r="N872" s="4"/>
    </row>
    <row r="873">
      <c r="A873" s="14"/>
      <c r="N873" s="4"/>
    </row>
    <row r="874">
      <c r="A874" s="14"/>
      <c r="N874" s="4"/>
    </row>
    <row r="875">
      <c r="A875" s="14"/>
      <c r="N875" s="4"/>
    </row>
    <row r="876">
      <c r="A876" s="14"/>
      <c r="N876" s="4"/>
    </row>
    <row r="877">
      <c r="A877" s="14"/>
      <c r="N877" s="4"/>
    </row>
    <row r="878">
      <c r="A878" s="14"/>
      <c r="N878" s="4"/>
    </row>
    <row r="879">
      <c r="A879" s="14"/>
      <c r="N879" s="4"/>
    </row>
    <row r="880">
      <c r="A880" s="14"/>
      <c r="N880" s="4"/>
    </row>
    <row r="881">
      <c r="A881" s="14"/>
      <c r="N881" s="4"/>
    </row>
    <row r="882">
      <c r="A882" s="14"/>
      <c r="N882" s="4"/>
    </row>
    <row r="883">
      <c r="A883" s="14"/>
      <c r="N883" s="4"/>
    </row>
    <row r="884">
      <c r="A884" s="14"/>
      <c r="N884" s="4"/>
    </row>
    <row r="885">
      <c r="A885" s="14"/>
      <c r="N885" s="4"/>
    </row>
    <row r="886">
      <c r="A886" s="14"/>
      <c r="N886" s="4"/>
    </row>
    <row r="887">
      <c r="A887" s="14"/>
      <c r="N887" s="4"/>
    </row>
    <row r="888">
      <c r="A888" s="14"/>
      <c r="N888" s="4"/>
    </row>
    <row r="889">
      <c r="A889" s="14"/>
      <c r="N889" s="4"/>
    </row>
    <row r="890">
      <c r="A890" s="14"/>
      <c r="N890" s="4"/>
    </row>
    <row r="891">
      <c r="A891" s="14"/>
      <c r="N891" s="4"/>
    </row>
    <row r="892">
      <c r="A892" s="14"/>
      <c r="N892" s="4"/>
    </row>
    <row r="893">
      <c r="A893" s="14"/>
      <c r="N893" s="4"/>
    </row>
    <row r="894">
      <c r="A894" s="14"/>
      <c r="N894" s="4"/>
    </row>
    <row r="895">
      <c r="A895" s="14"/>
      <c r="N895" s="4"/>
    </row>
    <row r="896">
      <c r="A896" s="14"/>
      <c r="N896" s="4"/>
    </row>
    <row r="897">
      <c r="A897" s="14"/>
      <c r="N897" s="4"/>
    </row>
    <row r="898">
      <c r="A898" s="14"/>
      <c r="N898" s="4"/>
    </row>
    <row r="899">
      <c r="A899" s="14"/>
      <c r="N899" s="4"/>
    </row>
    <row r="900">
      <c r="A900" s="14"/>
      <c r="N900" s="4"/>
    </row>
    <row r="901">
      <c r="A901" s="14"/>
      <c r="N901" s="4"/>
    </row>
    <row r="902">
      <c r="A902" s="14"/>
      <c r="N902" s="4"/>
    </row>
    <row r="903">
      <c r="A903" s="14"/>
      <c r="N903" s="4"/>
    </row>
    <row r="904">
      <c r="A904" s="14"/>
      <c r="N904" s="4"/>
    </row>
    <row r="905">
      <c r="A905" s="14"/>
      <c r="N905" s="4"/>
    </row>
    <row r="906">
      <c r="A906" s="14"/>
      <c r="N906" s="4"/>
    </row>
    <row r="907">
      <c r="A907" s="14"/>
      <c r="N907" s="4"/>
    </row>
    <row r="908">
      <c r="A908" s="14"/>
      <c r="N908" s="4"/>
    </row>
    <row r="909">
      <c r="A909" s="14"/>
      <c r="N909" s="4"/>
    </row>
    <row r="910">
      <c r="A910" s="14"/>
      <c r="N910" s="4"/>
    </row>
    <row r="911">
      <c r="A911" s="14"/>
      <c r="N911" s="4"/>
    </row>
    <row r="912">
      <c r="A912" s="14"/>
      <c r="N912" s="4"/>
    </row>
    <row r="913">
      <c r="A913" s="14"/>
      <c r="N913" s="4"/>
    </row>
    <row r="914">
      <c r="A914" s="14"/>
      <c r="N914" s="4"/>
    </row>
    <row r="915">
      <c r="A915" s="14"/>
      <c r="N915" s="4"/>
    </row>
    <row r="916">
      <c r="A916" s="14"/>
      <c r="N916" s="4"/>
    </row>
    <row r="917">
      <c r="A917" s="14"/>
      <c r="N917" s="4"/>
    </row>
    <row r="918">
      <c r="A918" s="14"/>
      <c r="N918" s="4"/>
    </row>
    <row r="919">
      <c r="A919" s="14"/>
      <c r="N919" s="4"/>
    </row>
    <row r="920">
      <c r="A920" s="14"/>
      <c r="N920" s="4"/>
    </row>
    <row r="921">
      <c r="A921" s="14"/>
      <c r="N921" s="4"/>
    </row>
    <row r="922">
      <c r="A922" s="14"/>
      <c r="N922" s="4"/>
    </row>
    <row r="923">
      <c r="A923" s="14"/>
      <c r="N923" s="4"/>
    </row>
    <row r="924">
      <c r="A924" s="14"/>
      <c r="N924" s="4"/>
    </row>
    <row r="925">
      <c r="A925" s="14"/>
      <c r="N925" s="4"/>
    </row>
    <row r="926">
      <c r="A926" s="14"/>
      <c r="N926" s="4"/>
    </row>
    <row r="927">
      <c r="A927" s="14"/>
      <c r="N927" s="4"/>
    </row>
    <row r="928">
      <c r="A928" s="14"/>
      <c r="N928" s="4"/>
    </row>
    <row r="929">
      <c r="A929" s="14"/>
      <c r="N929" s="4"/>
    </row>
    <row r="930">
      <c r="A930" s="14"/>
      <c r="N930" s="4"/>
    </row>
    <row r="931">
      <c r="A931" s="14"/>
      <c r="N931" s="4"/>
    </row>
    <row r="932">
      <c r="A932" s="14"/>
      <c r="N932" s="4"/>
    </row>
    <row r="933">
      <c r="A933" s="14"/>
      <c r="N933" s="4"/>
    </row>
    <row r="934">
      <c r="A934" s="14"/>
      <c r="N934" s="4"/>
    </row>
    <row r="935">
      <c r="A935" s="14"/>
      <c r="N935" s="4"/>
    </row>
    <row r="936">
      <c r="A936" s="14"/>
      <c r="N936" s="4"/>
    </row>
    <row r="937">
      <c r="A937" s="14"/>
      <c r="N937" s="4"/>
    </row>
    <row r="938">
      <c r="A938" s="14"/>
      <c r="N938" s="4"/>
    </row>
    <row r="939">
      <c r="A939" s="14"/>
      <c r="N939" s="4"/>
    </row>
    <row r="940">
      <c r="A940" s="14"/>
      <c r="N940" s="4"/>
    </row>
    <row r="941">
      <c r="A941" s="14"/>
      <c r="N941" s="4"/>
    </row>
    <row r="942">
      <c r="A942" s="14"/>
      <c r="N942" s="4"/>
    </row>
    <row r="943">
      <c r="A943" s="14"/>
      <c r="N943" s="4"/>
    </row>
    <row r="944">
      <c r="A944" s="14"/>
      <c r="N944" s="4"/>
    </row>
    <row r="945">
      <c r="A945" s="14"/>
      <c r="N945" s="4"/>
    </row>
    <row r="946">
      <c r="A946" s="14"/>
      <c r="N946" s="4"/>
    </row>
    <row r="947">
      <c r="A947" s="14"/>
      <c r="N947" s="4"/>
    </row>
    <row r="948">
      <c r="A948" s="14"/>
      <c r="N948" s="4"/>
    </row>
    <row r="949">
      <c r="A949" s="14"/>
      <c r="N949" s="4"/>
    </row>
    <row r="950">
      <c r="A950" s="14"/>
      <c r="N950" s="4"/>
    </row>
    <row r="951">
      <c r="A951" s="14"/>
      <c r="N951" s="4"/>
    </row>
    <row r="952">
      <c r="A952" s="14"/>
      <c r="N952" s="4"/>
    </row>
    <row r="953">
      <c r="A953" s="14"/>
      <c r="N953" s="4"/>
    </row>
    <row r="954">
      <c r="A954" s="14"/>
      <c r="N954" s="4"/>
    </row>
    <row r="955">
      <c r="A955" s="14"/>
      <c r="N955" s="4"/>
    </row>
    <row r="956">
      <c r="A956" s="14"/>
      <c r="N956" s="4"/>
    </row>
    <row r="957">
      <c r="A957" s="14"/>
      <c r="N957" s="4"/>
    </row>
    <row r="958">
      <c r="A958" s="14"/>
      <c r="N958" s="4"/>
    </row>
    <row r="959">
      <c r="A959" s="14"/>
      <c r="N959" s="4"/>
    </row>
    <row r="960">
      <c r="A960" s="14"/>
      <c r="N960" s="4"/>
    </row>
    <row r="961">
      <c r="A961" s="14"/>
      <c r="N961" s="4"/>
    </row>
    <row r="962">
      <c r="A962" s="14"/>
      <c r="N962" s="4"/>
    </row>
    <row r="963">
      <c r="A963" s="14"/>
      <c r="N963" s="4"/>
    </row>
    <row r="964">
      <c r="A964" s="14"/>
      <c r="N964" s="4"/>
    </row>
    <row r="965">
      <c r="A965" s="14"/>
      <c r="N965" s="4"/>
    </row>
    <row r="966">
      <c r="A966" s="14"/>
      <c r="N966" s="4"/>
    </row>
    <row r="967">
      <c r="A967" s="14"/>
      <c r="N967" s="4"/>
    </row>
    <row r="968">
      <c r="A968" s="14"/>
      <c r="N968" s="4"/>
    </row>
    <row r="969">
      <c r="A969" s="14"/>
      <c r="N969" s="4"/>
    </row>
    <row r="970">
      <c r="A970" s="14"/>
      <c r="N970" s="4"/>
    </row>
    <row r="971">
      <c r="A971" s="14"/>
      <c r="N971" s="4"/>
    </row>
    <row r="972">
      <c r="A972" s="14"/>
      <c r="N972" s="4"/>
    </row>
    <row r="973">
      <c r="A973" s="14"/>
      <c r="N973" s="4"/>
    </row>
    <row r="974">
      <c r="A974" s="14"/>
      <c r="N974" s="4"/>
    </row>
    <row r="975">
      <c r="A975" s="14"/>
      <c r="N975" s="4"/>
    </row>
    <row r="976">
      <c r="A976" s="14"/>
      <c r="N976" s="4"/>
    </row>
    <row r="977">
      <c r="A977" s="14"/>
      <c r="N977" s="4"/>
    </row>
    <row r="978">
      <c r="A978" s="14"/>
      <c r="N978" s="4"/>
    </row>
    <row r="979">
      <c r="A979" s="14"/>
      <c r="N979" s="4"/>
    </row>
    <row r="980">
      <c r="A980" s="14"/>
      <c r="N980" s="4"/>
    </row>
    <row r="981">
      <c r="A981" s="14"/>
      <c r="N981" s="4"/>
    </row>
    <row r="982">
      <c r="A982" s="14"/>
      <c r="N982" s="4"/>
    </row>
    <row r="983">
      <c r="A983" s="14"/>
      <c r="N983" s="4"/>
    </row>
    <row r="984">
      <c r="A984" s="14"/>
      <c r="N984" s="4"/>
    </row>
    <row r="985">
      <c r="A985" s="14"/>
      <c r="N985" s="4"/>
    </row>
    <row r="986">
      <c r="A986" s="14"/>
      <c r="N986" s="4"/>
    </row>
  </sheetData>
  <dataValidations>
    <dataValidation type="list" allowBlank="1" showErrorMessage="1" sqref="N1:N986">
      <formula1>"Approved,Pending,No Stock"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</hyperlinks>
  <drawing r:id="rId2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1.25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6.5"/>
    <col customWidth="1" min="9" max="9" width="33.0"/>
    <col customWidth="1" min="10" max="10" width="6.0"/>
    <col customWidth="1" min="11" max="11" width="6.75"/>
    <col customWidth="1" min="12" max="12" width="4.5"/>
    <col customWidth="1" min="13" max="13" width="15.63"/>
    <col customWidth="1" min="14" max="14" width="16.5"/>
    <col customWidth="1" min="15" max="15" width="11.13"/>
    <col customWidth="1" min="16" max="16" width="10.38"/>
    <col customWidth="1" min="17" max="17" width="69.0"/>
    <col customWidth="1" min="18" max="26" width="1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1">
        <v>46030.37266864583</v>
      </c>
      <c r="B2" s="2" t="s">
        <v>40</v>
      </c>
      <c r="C2" s="5">
        <v>46030.0</v>
      </c>
      <c r="D2" s="2" t="s">
        <v>19</v>
      </c>
      <c r="E2" s="2" t="s">
        <v>798</v>
      </c>
      <c r="F2" s="2" t="s">
        <v>576</v>
      </c>
      <c r="G2" s="2">
        <v>1.0</v>
      </c>
      <c r="H2" s="2" t="s">
        <v>571</v>
      </c>
      <c r="I2" s="2" t="s">
        <v>577</v>
      </c>
      <c r="K2" s="2">
        <v>0.0</v>
      </c>
      <c r="L2" s="2">
        <v>0.0</v>
      </c>
      <c r="M2" s="2" t="s">
        <v>838</v>
      </c>
      <c r="N2" s="2" t="s">
        <v>24</v>
      </c>
      <c r="Q2" s="9" t="s">
        <v>839</v>
      </c>
    </row>
    <row r="3">
      <c r="A3" s="1">
        <v>46030.37266864583</v>
      </c>
      <c r="B3" s="2" t="s">
        <v>40</v>
      </c>
      <c r="C3" s="5">
        <v>46030.0</v>
      </c>
      <c r="D3" s="2" t="s">
        <v>19</v>
      </c>
      <c r="E3" s="2" t="s">
        <v>798</v>
      </c>
      <c r="F3" s="2" t="s">
        <v>592</v>
      </c>
      <c r="G3" s="2">
        <v>20.0</v>
      </c>
      <c r="H3" s="2" t="s">
        <v>66</v>
      </c>
      <c r="I3" s="2" t="s">
        <v>593</v>
      </c>
      <c r="K3" s="2">
        <v>0.0</v>
      </c>
      <c r="L3" s="2">
        <v>0.0</v>
      </c>
      <c r="M3" s="2" t="s">
        <v>838</v>
      </c>
      <c r="N3" s="2" t="s">
        <v>24</v>
      </c>
      <c r="Q3" s="9" t="s">
        <v>839</v>
      </c>
    </row>
    <row r="4">
      <c r="A4" s="1">
        <v>46030.37266864583</v>
      </c>
      <c r="B4" s="2" t="s">
        <v>40</v>
      </c>
      <c r="C4" s="5">
        <v>46030.0</v>
      </c>
      <c r="D4" s="2" t="s">
        <v>19</v>
      </c>
      <c r="E4" s="2" t="s">
        <v>798</v>
      </c>
      <c r="F4" s="2" t="s">
        <v>622</v>
      </c>
      <c r="G4" s="2">
        <v>1.0</v>
      </c>
      <c r="H4" s="2" t="s">
        <v>21</v>
      </c>
      <c r="I4" s="2" t="s">
        <v>623</v>
      </c>
      <c r="K4" s="2">
        <v>0.0</v>
      </c>
      <c r="L4" s="2">
        <v>0.0</v>
      </c>
      <c r="M4" s="2" t="s">
        <v>838</v>
      </c>
      <c r="N4" s="2" t="s">
        <v>24</v>
      </c>
      <c r="Q4" s="9" t="s">
        <v>839</v>
      </c>
    </row>
    <row r="5">
      <c r="A5" s="1">
        <v>46030.37266864583</v>
      </c>
      <c r="B5" s="2" t="s">
        <v>40</v>
      </c>
      <c r="C5" s="5">
        <v>46030.0</v>
      </c>
      <c r="D5" s="2" t="s">
        <v>19</v>
      </c>
      <c r="E5" s="2" t="s">
        <v>798</v>
      </c>
      <c r="F5" s="2" t="s">
        <v>606</v>
      </c>
      <c r="G5" s="2">
        <v>5.0</v>
      </c>
      <c r="H5" s="2" t="s">
        <v>66</v>
      </c>
      <c r="I5" s="2" t="s">
        <v>607</v>
      </c>
      <c r="K5" s="2">
        <v>0.0</v>
      </c>
      <c r="L5" s="2">
        <v>0.0</v>
      </c>
      <c r="M5" s="2" t="s">
        <v>838</v>
      </c>
      <c r="N5" s="2" t="s">
        <v>837</v>
      </c>
      <c r="Q5" s="9" t="s">
        <v>839</v>
      </c>
    </row>
    <row r="6">
      <c r="A6" s="1">
        <v>46030.37266864583</v>
      </c>
      <c r="B6" s="2" t="s">
        <v>40</v>
      </c>
      <c r="C6" s="5">
        <v>46030.0</v>
      </c>
      <c r="D6" s="2" t="s">
        <v>19</v>
      </c>
      <c r="E6" s="2" t="s">
        <v>798</v>
      </c>
      <c r="F6" s="2" t="s">
        <v>608</v>
      </c>
      <c r="G6" s="2">
        <v>2.0</v>
      </c>
      <c r="H6" s="2" t="s">
        <v>66</v>
      </c>
      <c r="I6" s="2" t="s">
        <v>609</v>
      </c>
      <c r="K6" s="2">
        <v>0.0</v>
      </c>
      <c r="L6" s="2">
        <v>0.0</v>
      </c>
      <c r="M6" s="2" t="s">
        <v>838</v>
      </c>
      <c r="N6" s="2" t="s">
        <v>24</v>
      </c>
      <c r="Q6" s="9" t="s">
        <v>839</v>
      </c>
    </row>
    <row r="7">
      <c r="A7" s="1">
        <v>46030.37266864583</v>
      </c>
      <c r="B7" s="2" t="s">
        <v>40</v>
      </c>
      <c r="C7" s="5">
        <v>46030.0</v>
      </c>
      <c r="D7" s="2" t="s">
        <v>19</v>
      </c>
      <c r="E7" s="2" t="s">
        <v>798</v>
      </c>
      <c r="F7" s="2" t="s">
        <v>666</v>
      </c>
      <c r="G7" s="2">
        <v>1.0</v>
      </c>
      <c r="H7" s="2" t="s">
        <v>21</v>
      </c>
      <c r="I7" s="2" t="s">
        <v>667</v>
      </c>
      <c r="K7" s="2">
        <v>0.0</v>
      </c>
      <c r="L7" s="2">
        <v>0.0</v>
      </c>
      <c r="M7" s="2" t="s">
        <v>838</v>
      </c>
      <c r="N7" s="2" t="s">
        <v>840</v>
      </c>
      <c r="Q7" s="9" t="s">
        <v>839</v>
      </c>
    </row>
    <row r="8">
      <c r="A8" s="1">
        <v>46030.37266864583</v>
      </c>
      <c r="B8" s="2" t="s">
        <v>40</v>
      </c>
      <c r="C8" s="5">
        <v>46030.0</v>
      </c>
      <c r="D8" s="2" t="s">
        <v>19</v>
      </c>
      <c r="E8" s="2" t="s">
        <v>798</v>
      </c>
      <c r="F8" s="2" t="s">
        <v>664</v>
      </c>
      <c r="G8" s="2">
        <v>1.0</v>
      </c>
      <c r="H8" s="2" t="s">
        <v>21</v>
      </c>
      <c r="I8" s="2" t="s">
        <v>665</v>
      </c>
      <c r="K8" s="2">
        <v>0.0</v>
      </c>
      <c r="L8" s="2">
        <v>0.0</v>
      </c>
      <c r="M8" s="2" t="s">
        <v>838</v>
      </c>
      <c r="N8" s="2" t="s">
        <v>840</v>
      </c>
      <c r="Q8" s="9" t="s">
        <v>839</v>
      </c>
    </row>
    <row r="9">
      <c r="A9" s="1">
        <v>46030.37266864583</v>
      </c>
      <c r="B9" s="2" t="s">
        <v>40</v>
      </c>
      <c r="C9" s="5">
        <v>46030.0</v>
      </c>
      <c r="D9" s="2" t="s">
        <v>19</v>
      </c>
      <c r="E9" s="2" t="s">
        <v>798</v>
      </c>
      <c r="F9" s="2" t="s">
        <v>662</v>
      </c>
      <c r="G9" s="2">
        <v>1.0</v>
      </c>
      <c r="H9" s="2" t="s">
        <v>21</v>
      </c>
      <c r="I9" s="2" t="s">
        <v>663</v>
      </c>
      <c r="K9" s="2">
        <v>0.0</v>
      </c>
      <c r="L9" s="2">
        <v>0.0</v>
      </c>
      <c r="M9" s="2" t="s">
        <v>838</v>
      </c>
      <c r="N9" s="2" t="s">
        <v>840</v>
      </c>
      <c r="Q9" s="9" t="s">
        <v>839</v>
      </c>
    </row>
    <row r="10">
      <c r="A10" s="1">
        <v>46030.37266864583</v>
      </c>
      <c r="B10" s="2" t="s">
        <v>40</v>
      </c>
      <c r="C10" s="5">
        <v>46030.0</v>
      </c>
      <c r="D10" s="2" t="s">
        <v>19</v>
      </c>
      <c r="E10" s="2" t="s">
        <v>798</v>
      </c>
      <c r="F10" s="2" t="s">
        <v>678</v>
      </c>
      <c r="G10" s="2">
        <v>6.0</v>
      </c>
      <c r="H10" s="2" t="s">
        <v>66</v>
      </c>
      <c r="I10" s="2" t="s">
        <v>679</v>
      </c>
      <c r="K10" s="2">
        <v>0.0</v>
      </c>
      <c r="L10" s="2">
        <v>0.0</v>
      </c>
      <c r="M10" s="2" t="s">
        <v>838</v>
      </c>
      <c r="N10" s="2" t="s">
        <v>24</v>
      </c>
      <c r="Q10" s="9" t="s">
        <v>839</v>
      </c>
    </row>
    <row r="11">
      <c r="A11" s="1">
        <v>46030.37266864583</v>
      </c>
      <c r="B11" s="2" t="s">
        <v>40</v>
      </c>
      <c r="C11" s="5">
        <v>46030.0</v>
      </c>
      <c r="D11" s="2" t="s">
        <v>19</v>
      </c>
      <c r="E11" s="2" t="s">
        <v>798</v>
      </c>
      <c r="F11" s="2" t="s">
        <v>750</v>
      </c>
      <c r="G11" s="2">
        <v>1.0</v>
      </c>
      <c r="H11" s="2" t="s">
        <v>841</v>
      </c>
      <c r="I11" s="2" t="s">
        <v>751</v>
      </c>
      <c r="K11" s="2">
        <v>0.0</v>
      </c>
      <c r="L11" s="2">
        <v>0.0</v>
      </c>
      <c r="M11" s="2" t="s">
        <v>838</v>
      </c>
      <c r="N11" s="2" t="s">
        <v>24</v>
      </c>
      <c r="Q11" s="9" t="s">
        <v>839</v>
      </c>
    </row>
    <row r="12">
      <c r="A12" s="1">
        <v>46030.37266864583</v>
      </c>
      <c r="B12" s="2" t="s">
        <v>40</v>
      </c>
      <c r="C12" s="5">
        <v>46030.0</v>
      </c>
      <c r="D12" s="2" t="s">
        <v>19</v>
      </c>
      <c r="E12" s="2" t="s">
        <v>798</v>
      </c>
      <c r="F12" s="2" t="s">
        <v>764</v>
      </c>
      <c r="G12" s="2">
        <v>3.0</v>
      </c>
      <c r="H12" s="2" t="s">
        <v>822</v>
      </c>
      <c r="I12" s="2" t="s">
        <v>765</v>
      </c>
      <c r="K12" s="2">
        <v>0.0</v>
      </c>
      <c r="L12" s="2">
        <v>0.0</v>
      </c>
      <c r="M12" s="2" t="s">
        <v>838</v>
      </c>
      <c r="N12" s="2" t="s">
        <v>24</v>
      </c>
      <c r="Q12" s="9" t="s">
        <v>839</v>
      </c>
    </row>
    <row r="13">
      <c r="A13" s="1">
        <v>46030.41030775463</v>
      </c>
      <c r="B13" s="2" t="s">
        <v>40</v>
      </c>
      <c r="C13" s="5">
        <v>46030.0</v>
      </c>
      <c r="D13" s="2" t="s">
        <v>19</v>
      </c>
      <c r="E13" s="2" t="s">
        <v>798</v>
      </c>
      <c r="F13" s="2" t="s">
        <v>769</v>
      </c>
      <c r="G13" s="2">
        <v>1.0</v>
      </c>
      <c r="H13" s="2" t="s">
        <v>768</v>
      </c>
      <c r="I13" s="2" t="s">
        <v>770</v>
      </c>
      <c r="K13" s="2">
        <v>0.0</v>
      </c>
      <c r="L13" s="2">
        <v>0.0</v>
      </c>
      <c r="M13" s="2" t="s">
        <v>838</v>
      </c>
      <c r="N13" s="2" t="s">
        <v>24</v>
      </c>
      <c r="Q13" s="9" t="s">
        <v>842</v>
      </c>
    </row>
    <row r="14">
      <c r="A14" s="1">
        <v>46034.362781909724</v>
      </c>
      <c r="B14" s="2" t="s">
        <v>40</v>
      </c>
      <c r="C14" s="5">
        <v>46034.0</v>
      </c>
      <c r="D14" s="2" t="s">
        <v>19</v>
      </c>
      <c r="E14" s="2" t="s">
        <v>798</v>
      </c>
      <c r="F14" s="2" t="s">
        <v>572</v>
      </c>
      <c r="G14" s="2">
        <v>1.0</v>
      </c>
      <c r="H14" s="2" t="s">
        <v>571</v>
      </c>
      <c r="I14" s="2" t="s">
        <v>573</v>
      </c>
      <c r="K14" s="2">
        <v>0.0</v>
      </c>
      <c r="L14" s="2">
        <v>0.0</v>
      </c>
      <c r="M14" s="2" t="s">
        <v>390</v>
      </c>
      <c r="N14" s="2" t="s">
        <v>24</v>
      </c>
      <c r="Q14" s="9" t="s">
        <v>843</v>
      </c>
    </row>
    <row r="15">
      <c r="A15" s="1">
        <v>46034.362781909724</v>
      </c>
      <c r="B15" s="2" t="s">
        <v>40</v>
      </c>
      <c r="C15" s="5">
        <v>46034.0</v>
      </c>
      <c r="D15" s="2" t="s">
        <v>19</v>
      </c>
      <c r="E15" s="2" t="s">
        <v>798</v>
      </c>
      <c r="F15" s="2" t="s">
        <v>622</v>
      </c>
      <c r="G15" s="2">
        <v>4.0</v>
      </c>
      <c r="H15" s="2" t="s">
        <v>66</v>
      </c>
      <c r="I15" s="2" t="s">
        <v>623</v>
      </c>
      <c r="K15" s="2">
        <v>0.0</v>
      </c>
      <c r="L15" s="2">
        <v>0.0</v>
      </c>
      <c r="M15" s="2" t="s">
        <v>390</v>
      </c>
      <c r="N15" s="2" t="s">
        <v>24</v>
      </c>
      <c r="Q15" s="9" t="s">
        <v>843</v>
      </c>
    </row>
    <row r="16">
      <c r="A16" s="1">
        <v>46034.362781909724</v>
      </c>
      <c r="B16" s="2" t="s">
        <v>40</v>
      </c>
      <c r="C16" s="5">
        <v>46034.0</v>
      </c>
      <c r="D16" s="2" t="s">
        <v>19</v>
      </c>
      <c r="E16" s="2" t="s">
        <v>798</v>
      </c>
      <c r="F16" s="2" t="s">
        <v>746</v>
      </c>
      <c r="G16" s="2">
        <v>1.0</v>
      </c>
      <c r="H16" s="2" t="s">
        <v>48</v>
      </c>
      <c r="I16" s="2" t="s">
        <v>747</v>
      </c>
      <c r="K16" s="2">
        <v>0.0</v>
      </c>
      <c r="L16" s="2">
        <v>0.0</v>
      </c>
      <c r="M16" s="2" t="s">
        <v>390</v>
      </c>
      <c r="N16" s="2" t="s">
        <v>24</v>
      </c>
      <c r="Q16" s="9" t="s">
        <v>843</v>
      </c>
    </row>
    <row r="17">
      <c r="A17" s="1">
        <v>46038.370484768515</v>
      </c>
      <c r="B17" s="2" t="s">
        <v>40</v>
      </c>
      <c r="C17" s="5">
        <v>46038.0</v>
      </c>
      <c r="D17" s="2" t="s">
        <v>19</v>
      </c>
      <c r="E17" s="2" t="s">
        <v>798</v>
      </c>
      <c r="F17" s="2" t="s">
        <v>572</v>
      </c>
      <c r="G17" s="2">
        <v>1.0</v>
      </c>
      <c r="H17" s="2" t="s">
        <v>571</v>
      </c>
      <c r="I17" s="2" t="s">
        <v>573</v>
      </c>
      <c r="K17" s="2">
        <v>0.0</v>
      </c>
      <c r="L17" s="2">
        <v>0.0</v>
      </c>
      <c r="M17" s="2" t="s">
        <v>844</v>
      </c>
      <c r="N17" s="2" t="s">
        <v>24</v>
      </c>
      <c r="Q17" s="9" t="s">
        <v>845</v>
      </c>
    </row>
    <row r="18">
      <c r="A18" s="1">
        <v>46038.370484768515</v>
      </c>
      <c r="B18" s="2" t="s">
        <v>40</v>
      </c>
      <c r="C18" s="5">
        <v>46038.0</v>
      </c>
      <c r="D18" s="2" t="s">
        <v>19</v>
      </c>
      <c r="E18" s="2" t="s">
        <v>798</v>
      </c>
      <c r="F18" s="2" t="s">
        <v>574</v>
      </c>
      <c r="G18" s="2">
        <v>1.0</v>
      </c>
      <c r="H18" s="2" t="s">
        <v>571</v>
      </c>
      <c r="I18" s="2" t="s">
        <v>575</v>
      </c>
      <c r="K18" s="2">
        <v>0.0</v>
      </c>
      <c r="L18" s="2">
        <v>0.0</v>
      </c>
      <c r="M18" s="2" t="s">
        <v>844</v>
      </c>
      <c r="N18" s="2" t="s">
        <v>24</v>
      </c>
      <c r="Q18" s="9" t="s">
        <v>845</v>
      </c>
    </row>
    <row r="19">
      <c r="A19" s="1">
        <v>46038.370484768515</v>
      </c>
      <c r="B19" s="2" t="s">
        <v>40</v>
      </c>
      <c r="C19" s="5">
        <v>46038.0</v>
      </c>
      <c r="D19" s="2" t="s">
        <v>19</v>
      </c>
      <c r="E19" s="2" t="s">
        <v>798</v>
      </c>
      <c r="F19" s="2" t="s">
        <v>588</v>
      </c>
      <c r="G19" s="2">
        <v>15.0</v>
      </c>
      <c r="H19" s="2" t="s">
        <v>66</v>
      </c>
      <c r="I19" s="2" t="s">
        <v>589</v>
      </c>
      <c r="K19" s="2">
        <v>0.0</v>
      </c>
      <c r="L19" s="2">
        <v>0.0</v>
      </c>
      <c r="M19" s="2" t="s">
        <v>844</v>
      </c>
      <c r="N19" s="2" t="s">
        <v>24</v>
      </c>
      <c r="Q19" s="9" t="s">
        <v>845</v>
      </c>
    </row>
    <row r="20">
      <c r="A20" s="1">
        <v>46038.370484768515</v>
      </c>
      <c r="B20" s="2" t="s">
        <v>40</v>
      </c>
      <c r="C20" s="5">
        <v>46038.0</v>
      </c>
      <c r="D20" s="2" t="s">
        <v>19</v>
      </c>
      <c r="E20" s="2" t="s">
        <v>798</v>
      </c>
      <c r="F20" s="2" t="s">
        <v>590</v>
      </c>
      <c r="G20" s="2">
        <v>20.0</v>
      </c>
      <c r="H20" s="2" t="s">
        <v>66</v>
      </c>
      <c r="I20" s="2" t="s">
        <v>591</v>
      </c>
      <c r="K20" s="2">
        <v>0.0</v>
      </c>
      <c r="L20" s="2">
        <v>0.0</v>
      </c>
      <c r="M20" s="2" t="s">
        <v>844</v>
      </c>
      <c r="N20" s="2" t="s">
        <v>24</v>
      </c>
      <c r="Q20" s="9" t="s">
        <v>845</v>
      </c>
    </row>
    <row r="21">
      <c r="A21" s="1">
        <v>46038.370484768515</v>
      </c>
      <c r="B21" s="2" t="s">
        <v>40</v>
      </c>
      <c r="C21" s="5">
        <v>46038.0</v>
      </c>
      <c r="D21" s="2" t="s">
        <v>19</v>
      </c>
      <c r="E21" s="2" t="s">
        <v>798</v>
      </c>
      <c r="F21" s="2" t="s">
        <v>592</v>
      </c>
      <c r="G21" s="2">
        <v>20.0</v>
      </c>
      <c r="H21" s="2" t="s">
        <v>66</v>
      </c>
      <c r="I21" s="2" t="s">
        <v>593</v>
      </c>
      <c r="K21" s="2">
        <v>0.0</v>
      </c>
      <c r="L21" s="2">
        <v>0.0</v>
      </c>
      <c r="M21" s="2" t="s">
        <v>844</v>
      </c>
      <c r="N21" s="2" t="s">
        <v>24</v>
      </c>
      <c r="Q21" s="9" t="s">
        <v>845</v>
      </c>
    </row>
    <row r="22">
      <c r="A22" s="1">
        <v>46038.370484768515</v>
      </c>
      <c r="B22" s="2" t="s">
        <v>40</v>
      </c>
      <c r="C22" s="5">
        <v>46038.0</v>
      </c>
      <c r="D22" s="2" t="s">
        <v>19</v>
      </c>
      <c r="E22" s="2" t="s">
        <v>798</v>
      </c>
      <c r="F22" s="2" t="s">
        <v>678</v>
      </c>
      <c r="G22" s="2">
        <v>5.0</v>
      </c>
      <c r="H22" s="2" t="s">
        <v>66</v>
      </c>
      <c r="I22" s="2" t="s">
        <v>679</v>
      </c>
      <c r="K22" s="2">
        <v>0.0</v>
      </c>
      <c r="L22" s="2">
        <v>0.0</v>
      </c>
      <c r="M22" s="2" t="s">
        <v>844</v>
      </c>
      <c r="N22" s="2" t="s">
        <v>24</v>
      </c>
      <c r="Q22" s="9" t="s">
        <v>845</v>
      </c>
    </row>
    <row r="23">
      <c r="A23" s="1">
        <v>46038.370484768515</v>
      </c>
      <c r="B23" s="2" t="s">
        <v>40</v>
      </c>
      <c r="C23" s="5">
        <v>46038.0</v>
      </c>
      <c r="D23" s="2" t="s">
        <v>19</v>
      </c>
      <c r="E23" s="2" t="s">
        <v>798</v>
      </c>
      <c r="F23" s="2" t="s">
        <v>750</v>
      </c>
      <c r="G23" s="2">
        <v>1.0</v>
      </c>
      <c r="H23" s="2" t="s">
        <v>752</v>
      </c>
      <c r="I23" s="2" t="s">
        <v>751</v>
      </c>
      <c r="K23" s="2">
        <v>0.0</v>
      </c>
      <c r="L23" s="2">
        <v>0.0</v>
      </c>
      <c r="M23" s="2" t="s">
        <v>844</v>
      </c>
      <c r="N23" s="2" t="s">
        <v>24</v>
      </c>
      <c r="Q23" s="9" t="s">
        <v>845</v>
      </c>
    </row>
    <row r="24">
      <c r="A24" s="1">
        <v>46038.370484768515</v>
      </c>
      <c r="B24" s="2" t="s">
        <v>40</v>
      </c>
      <c r="C24" s="5">
        <v>46038.0</v>
      </c>
      <c r="D24" s="2" t="s">
        <v>19</v>
      </c>
      <c r="E24" s="2" t="s">
        <v>798</v>
      </c>
      <c r="F24" s="2" t="s">
        <v>753</v>
      </c>
      <c r="G24" s="2">
        <v>1.0</v>
      </c>
      <c r="H24" s="2" t="s">
        <v>755</v>
      </c>
      <c r="I24" s="2" t="s">
        <v>754</v>
      </c>
      <c r="K24" s="2">
        <v>0.0</v>
      </c>
      <c r="L24" s="2">
        <v>0.0</v>
      </c>
      <c r="M24" s="2" t="s">
        <v>844</v>
      </c>
      <c r="N24" s="2" t="s">
        <v>24</v>
      </c>
      <c r="Q24" s="9" t="s">
        <v>845</v>
      </c>
    </row>
    <row r="25">
      <c r="A25" s="1">
        <v>46038.370484768515</v>
      </c>
      <c r="B25" s="2" t="s">
        <v>40</v>
      </c>
      <c r="C25" s="5">
        <v>46038.0</v>
      </c>
      <c r="D25" s="2" t="s">
        <v>19</v>
      </c>
      <c r="E25" s="2" t="s">
        <v>798</v>
      </c>
      <c r="F25" s="2" t="s">
        <v>598</v>
      </c>
      <c r="G25" s="2">
        <v>5.0</v>
      </c>
      <c r="H25" s="2" t="s">
        <v>66</v>
      </c>
      <c r="I25" s="2" t="s">
        <v>599</v>
      </c>
      <c r="K25" s="2">
        <v>0.0</v>
      </c>
      <c r="L25" s="2">
        <v>0.0</v>
      </c>
      <c r="M25" s="2" t="s">
        <v>844</v>
      </c>
      <c r="N25" s="2" t="s">
        <v>24</v>
      </c>
      <c r="Q25" s="9" t="s">
        <v>845</v>
      </c>
    </row>
    <row r="26">
      <c r="A26" s="1">
        <v>46038.65884820602</v>
      </c>
      <c r="B26" s="2" t="s">
        <v>40</v>
      </c>
      <c r="C26" s="5">
        <v>46038.0</v>
      </c>
      <c r="D26" s="2" t="s">
        <v>19</v>
      </c>
      <c r="E26" s="2" t="s">
        <v>798</v>
      </c>
      <c r="F26" s="2" t="s">
        <v>586</v>
      </c>
      <c r="G26" s="2">
        <v>5.0</v>
      </c>
      <c r="H26" s="2" t="s">
        <v>66</v>
      </c>
      <c r="I26" s="2" t="s">
        <v>587</v>
      </c>
      <c r="K26" s="2">
        <v>0.0</v>
      </c>
      <c r="L26" s="2">
        <v>0.0</v>
      </c>
      <c r="M26" s="2" t="s">
        <v>838</v>
      </c>
      <c r="N26" s="2" t="s">
        <v>24</v>
      </c>
      <c r="Q26" s="9" t="s">
        <v>846</v>
      </c>
    </row>
    <row r="27">
      <c r="A27" s="1">
        <v>46038.65884820602</v>
      </c>
      <c r="B27" s="2" t="s">
        <v>40</v>
      </c>
      <c r="C27" s="5">
        <v>46038.0</v>
      </c>
      <c r="D27" s="2" t="s">
        <v>19</v>
      </c>
      <c r="E27" s="2" t="s">
        <v>798</v>
      </c>
      <c r="F27" s="2" t="s">
        <v>724</v>
      </c>
      <c r="G27" s="2">
        <v>1.0</v>
      </c>
      <c r="H27" s="2" t="s">
        <v>722</v>
      </c>
      <c r="I27" s="2" t="s">
        <v>725</v>
      </c>
      <c r="K27" s="2">
        <v>0.0</v>
      </c>
      <c r="L27" s="2">
        <v>0.0</v>
      </c>
      <c r="M27" s="2" t="s">
        <v>838</v>
      </c>
      <c r="N27" s="2" t="s">
        <v>24</v>
      </c>
      <c r="Q27" s="9" t="s">
        <v>846</v>
      </c>
    </row>
    <row r="28">
      <c r="A28" s="1">
        <v>46038.65884820602</v>
      </c>
      <c r="B28" s="2" t="s">
        <v>40</v>
      </c>
      <c r="C28" s="5">
        <v>46038.0</v>
      </c>
      <c r="D28" s="2" t="s">
        <v>19</v>
      </c>
      <c r="E28" s="2" t="s">
        <v>798</v>
      </c>
      <c r="F28" s="2" t="s">
        <v>728</v>
      </c>
      <c r="G28" s="2">
        <v>1.0</v>
      </c>
      <c r="H28" s="2" t="s">
        <v>722</v>
      </c>
      <c r="I28" s="2" t="s">
        <v>729</v>
      </c>
      <c r="K28" s="2">
        <v>0.0</v>
      </c>
      <c r="L28" s="2">
        <v>0.0</v>
      </c>
      <c r="M28" s="2" t="s">
        <v>838</v>
      </c>
      <c r="N28" s="2" t="s">
        <v>24</v>
      </c>
      <c r="Q28" s="9" t="s">
        <v>846</v>
      </c>
    </row>
    <row r="29">
      <c r="A29" s="1">
        <v>46038.65884820602</v>
      </c>
      <c r="B29" s="2" t="s">
        <v>40</v>
      </c>
      <c r="C29" s="5">
        <v>46038.0</v>
      </c>
      <c r="D29" s="2" t="s">
        <v>19</v>
      </c>
      <c r="E29" s="2" t="s">
        <v>798</v>
      </c>
      <c r="F29" s="2" t="s">
        <v>726</v>
      </c>
      <c r="G29" s="2">
        <v>1.0</v>
      </c>
      <c r="H29" s="2" t="s">
        <v>722</v>
      </c>
      <c r="I29" s="2" t="s">
        <v>727</v>
      </c>
      <c r="K29" s="2">
        <v>0.0</v>
      </c>
      <c r="L29" s="2">
        <v>0.0</v>
      </c>
      <c r="M29" s="2" t="s">
        <v>838</v>
      </c>
      <c r="N29" s="2" t="s">
        <v>24</v>
      </c>
      <c r="Q29" s="9" t="s">
        <v>846</v>
      </c>
    </row>
    <row r="30">
      <c r="A30" s="1">
        <v>46038.65884820602</v>
      </c>
      <c r="B30" s="2" t="s">
        <v>40</v>
      </c>
      <c r="C30" s="5">
        <v>46038.0</v>
      </c>
      <c r="D30" s="2" t="s">
        <v>19</v>
      </c>
      <c r="E30" s="2" t="s">
        <v>798</v>
      </c>
      <c r="F30" s="2" t="s">
        <v>740</v>
      </c>
      <c r="G30" s="2">
        <v>1.0</v>
      </c>
      <c r="H30" s="2" t="s">
        <v>66</v>
      </c>
      <c r="I30" s="2" t="s">
        <v>741</v>
      </c>
      <c r="K30" s="2">
        <v>0.0</v>
      </c>
      <c r="L30" s="2">
        <v>0.0</v>
      </c>
      <c r="M30" s="2" t="s">
        <v>838</v>
      </c>
      <c r="N30" s="2" t="s">
        <v>24</v>
      </c>
      <c r="Q30" s="9" t="s">
        <v>846</v>
      </c>
    </row>
    <row r="31">
      <c r="A31" s="1">
        <v>46038.65884820602</v>
      </c>
      <c r="B31" s="2" t="s">
        <v>40</v>
      </c>
      <c r="C31" s="5">
        <v>46038.0</v>
      </c>
      <c r="D31" s="2" t="s">
        <v>19</v>
      </c>
      <c r="E31" s="2" t="s">
        <v>798</v>
      </c>
      <c r="F31" s="2" t="s">
        <v>732</v>
      </c>
      <c r="G31" s="2">
        <v>1.0</v>
      </c>
      <c r="H31" s="2" t="s">
        <v>722</v>
      </c>
      <c r="I31" s="2" t="s">
        <v>733</v>
      </c>
      <c r="K31" s="2">
        <v>0.0</v>
      </c>
      <c r="L31" s="2">
        <v>0.0</v>
      </c>
      <c r="M31" s="2" t="s">
        <v>838</v>
      </c>
      <c r="N31" s="2" t="s">
        <v>24</v>
      </c>
      <c r="Q31" s="9" t="s">
        <v>846</v>
      </c>
    </row>
    <row r="32">
      <c r="A32" s="1">
        <v>46038.65884820602</v>
      </c>
      <c r="B32" s="2" t="s">
        <v>40</v>
      </c>
      <c r="C32" s="5">
        <v>46038.0</v>
      </c>
      <c r="D32" s="2" t="s">
        <v>19</v>
      </c>
      <c r="E32" s="2" t="s">
        <v>798</v>
      </c>
      <c r="F32" s="2" t="s">
        <v>624</v>
      </c>
      <c r="G32" s="2">
        <v>30.0</v>
      </c>
      <c r="H32" s="2" t="s">
        <v>66</v>
      </c>
      <c r="I32" s="2" t="s">
        <v>625</v>
      </c>
      <c r="K32" s="2">
        <v>0.0</v>
      </c>
      <c r="L32" s="2">
        <v>0.0</v>
      </c>
      <c r="M32" s="2" t="s">
        <v>838</v>
      </c>
      <c r="N32" s="2" t="s">
        <v>24</v>
      </c>
      <c r="Q32" s="9" t="s">
        <v>846</v>
      </c>
    </row>
    <row r="33">
      <c r="A33" s="1">
        <v>46038.65884820602</v>
      </c>
      <c r="B33" s="2" t="s">
        <v>40</v>
      </c>
      <c r="C33" s="5">
        <v>46038.0</v>
      </c>
      <c r="D33" s="2" t="s">
        <v>19</v>
      </c>
      <c r="E33" s="2" t="s">
        <v>798</v>
      </c>
      <c r="F33" s="2" t="s">
        <v>730</v>
      </c>
      <c r="G33" s="2">
        <v>1.0</v>
      </c>
      <c r="H33" s="2" t="s">
        <v>722</v>
      </c>
      <c r="I33" s="2" t="s">
        <v>731</v>
      </c>
      <c r="K33" s="2">
        <v>0.0</v>
      </c>
      <c r="L33" s="2">
        <v>0.0</v>
      </c>
      <c r="M33" s="2" t="s">
        <v>838</v>
      </c>
      <c r="N33" s="2" t="s">
        <v>24</v>
      </c>
      <c r="Q33" s="9" t="s">
        <v>846</v>
      </c>
    </row>
    <row r="34">
      <c r="A34" s="1">
        <v>46038.65884820602</v>
      </c>
      <c r="B34" s="2" t="s">
        <v>40</v>
      </c>
      <c r="C34" s="5">
        <v>46038.0</v>
      </c>
      <c r="D34" s="2" t="s">
        <v>19</v>
      </c>
      <c r="E34" s="2" t="s">
        <v>798</v>
      </c>
      <c r="F34" s="2" t="s">
        <v>648</v>
      </c>
      <c r="G34" s="2">
        <v>2.0</v>
      </c>
      <c r="H34" s="2" t="s">
        <v>66</v>
      </c>
      <c r="I34" s="2" t="s">
        <v>649</v>
      </c>
      <c r="K34" s="2">
        <v>0.0</v>
      </c>
      <c r="L34" s="2">
        <v>0.0</v>
      </c>
      <c r="M34" s="2" t="s">
        <v>838</v>
      </c>
      <c r="N34" s="2" t="s">
        <v>24</v>
      </c>
      <c r="Q34" s="9" t="s">
        <v>846</v>
      </c>
    </row>
    <row r="35">
      <c r="A35" s="1">
        <v>46038.65884820602</v>
      </c>
      <c r="B35" s="2" t="s">
        <v>40</v>
      </c>
      <c r="C35" s="5">
        <v>46038.0</v>
      </c>
      <c r="D35" s="2" t="s">
        <v>19</v>
      </c>
      <c r="E35" s="2" t="s">
        <v>798</v>
      </c>
      <c r="F35" s="2" t="s">
        <v>690</v>
      </c>
      <c r="G35" s="2">
        <v>5.0</v>
      </c>
      <c r="H35" s="2" t="s">
        <v>66</v>
      </c>
      <c r="I35" s="2" t="s">
        <v>691</v>
      </c>
      <c r="K35" s="2">
        <v>0.0</v>
      </c>
      <c r="L35" s="2">
        <v>0.0</v>
      </c>
      <c r="M35" s="2" t="s">
        <v>838</v>
      </c>
      <c r="N35" s="2" t="s">
        <v>24</v>
      </c>
      <c r="Q35" s="9" t="s">
        <v>846</v>
      </c>
    </row>
    <row r="36">
      <c r="A36" s="1">
        <v>46038.65884820602</v>
      </c>
      <c r="B36" s="2" t="s">
        <v>40</v>
      </c>
      <c r="C36" s="5">
        <v>46038.0</v>
      </c>
      <c r="D36" s="2" t="s">
        <v>19</v>
      </c>
      <c r="E36" s="2" t="s">
        <v>798</v>
      </c>
      <c r="F36" s="2" t="s">
        <v>701</v>
      </c>
      <c r="G36" s="2">
        <v>1.0</v>
      </c>
      <c r="H36" s="2" t="s">
        <v>301</v>
      </c>
      <c r="I36" s="2" t="s">
        <v>702</v>
      </c>
      <c r="K36" s="2">
        <v>0.0</v>
      </c>
      <c r="L36" s="2">
        <v>0.0</v>
      </c>
      <c r="M36" s="2" t="s">
        <v>838</v>
      </c>
      <c r="N36" s="2" t="s">
        <v>24</v>
      </c>
      <c r="Q36" s="9" t="s">
        <v>846</v>
      </c>
    </row>
    <row r="37">
      <c r="A37" s="1">
        <v>46038.65884820602</v>
      </c>
      <c r="B37" s="2" t="s">
        <v>40</v>
      </c>
      <c r="C37" s="5">
        <v>46038.0</v>
      </c>
      <c r="D37" s="2" t="s">
        <v>19</v>
      </c>
      <c r="E37" s="2" t="s">
        <v>798</v>
      </c>
      <c r="F37" s="2" t="s">
        <v>644</v>
      </c>
      <c r="G37" s="2" t="s">
        <v>17</v>
      </c>
      <c r="H37" s="2" t="s">
        <v>66</v>
      </c>
      <c r="I37" s="2" t="s">
        <v>645</v>
      </c>
      <c r="K37" s="2">
        <v>0.0</v>
      </c>
      <c r="L37" s="2">
        <v>0.0</v>
      </c>
      <c r="M37" s="2" t="s">
        <v>838</v>
      </c>
      <c r="N37" s="2" t="s">
        <v>24</v>
      </c>
      <c r="Q37" s="9" t="s">
        <v>846</v>
      </c>
    </row>
    <row r="38">
      <c r="A38" s="1">
        <v>46038.65884820602</v>
      </c>
      <c r="B38" s="2" t="s">
        <v>40</v>
      </c>
      <c r="C38" s="5">
        <v>46038.0</v>
      </c>
      <c r="D38" s="2" t="s">
        <v>19</v>
      </c>
      <c r="E38" s="2" t="s">
        <v>798</v>
      </c>
      <c r="F38" s="2" t="s">
        <v>646</v>
      </c>
      <c r="G38" s="2">
        <v>2.0</v>
      </c>
      <c r="H38" s="2" t="s">
        <v>66</v>
      </c>
      <c r="I38" s="2" t="s">
        <v>647</v>
      </c>
      <c r="K38" s="2">
        <v>0.0</v>
      </c>
      <c r="L38" s="2">
        <v>0.0</v>
      </c>
      <c r="M38" s="2" t="s">
        <v>838</v>
      </c>
      <c r="N38" s="2" t="s">
        <v>837</v>
      </c>
      <c r="Q38" s="9" t="s">
        <v>846</v>
      </c>
    </row>
    <row r="39">
      <c r="A39" s="1">
        <v>46038.65884820602</v>
      </c>
      <c r="B39" s="2" t="s">
        <v>40</v>
      </c>
      <c r="C39" s="5">
        <v>46038.0</v>
      </c>
      <c r="D39" s="2" t="s">
        <v>19</v>
      </c>
      <c r="E39" s="2" t="s">
        <v>798</v>
      </c>
      <c r="F39" s="2" t="s">
        <v>734</v>
      </c>
      <c r="G39" s="2">
        <v>30.0</v>
      </c>
      <c r="H39" s="2" t="s">
        <v>66</v>
      </c>
      <c r="I39" s="2" t="s">
        <v>735</v>
      </c>
      <c r="K39" s="2">
        <v>0.0</v>
      </c>
      <c r="L39" s="2">
        <v>0.0</v>
      </c>
      <c r="M39" s="2" t="s">
        <v>838</v>
      </c>
      <c r="N39" s="2" t="s">
        <v>24</v>
      </c>
      <c r="Q39" s="9" t="s">
        <v>846</v>
      </c>
    </row>
    <row r="40">
      <c r="A40" s="1">
        <v>46044.35928567129</v>
      </c>
      <c r="B40" s="2" t="s">
        <v>40</v>
      </c>
      <c r="C40" s="5">
        <v>46044.0</v>
      </c>
      <c r="D40" s="2" t="s">
        <v>19</v>
      </c>
      <c r="E40" s="2" t="s">
        <v>798</v>
      </c>
      <c r="F40" s="2" t="s">
        <v>586</v>
      </c>
      <c r="G40" s="2">
        <v>5.0</v>
      </c>
      <c r="H40" s="2" t="s">
        <v>66</v>
      </c>
      <c r="I40" s="2" t="s">
        <v>587</v>
      </c>
      <c r="K40" s="2">
        <v>0.0</v>
      </c>
      <c r="L40" s="2">
        <v>0.0</v>
      </c>
      <c r="M40" s="2" t="s">
        <v>847</v>
      </c>
      <c r="N40" s="2" t="s">
        <v>24</v>
      </c>
      <c r="Q40" s="9" t="s">
        <v>848</v>
      </c>
    </row>
    <row r="41">
      <c r="A41" s="1">
        <v>46044.35928567129</v>
      </c>
      <c r="B41" s="2" t="s">
        <v>40</v>
      </c>
      <c r="C41" s="5">
        <v>46044.0</v>
      </c>
      <c r="D41" s="2" t="s">
        <v>19</v>
      </c>
      <c r="E41" s="2" t="s">
        <v>798</v>
      </c>
      <c r="F41" s="2" t="s">
        <v>724</v>
      </c>
      <c r="G41" s="2">
        <v>1.0</v>
      </c>
      <c r="H41" s="2" t="s">
        <v>722</v>
      </c>
      <c r="I41" s="2" t="s">
        <v>725</v>
      </c>
      <c r="K41" s="2">
        <v>0.0</v>
      </c>
      <c r="L41" s="2">
        <v>0.0</v>
      </c>
      <c r="M41" s="2" t="s">
        <v>847</v>
      </c>
      <c r="N41" s="2" t="s">
        <v>24</v>
      </c>
      <c r="Q41" s="9" t="s">
        <v>848</v>
      </c>
    </row>
    <row r="42">
      <c r="A42" s="1">
        <v>46044.35928567129</v>
      </c>
      <c r="B42" s="2" t="s">
        <v>40</v>
      </c>
      <c r="C42" s="5">
        <v>46044.0</v>
      </c>
      <c r="D42" s="2" t="s">
        <v>19</v>
      </c>
      <c r="E42" s="2" t="s">
        <v>798</v>
      </c>
      <c r="F42" s="2" t="s">
        <v>726</v>
      </c>
      <c r="G42" s="2">
        <v>1.0</v>
      </c>
      <c r="H42" s="2" t="s">
        <v>722</v>
      </c>
      <c r="I42" s="2" t="s">
        <v>727</v>
      </c>
      <c r="K42" s="2">
        <v>0.0</v>
      </c>
      <c r="L42" s="2">
        <v>0.0</v>
      </c>
      <c r="M42" s="2" t="s">
        <v>847</v>
      </c>
      <c r="N42" s="2" t="s">
        <v>24</v>
      </c>
      <c r="Q42" s="9" t="s">
        <v>848</v>
      </c>
    </row>
    <row r="43">
      <c r="A43" s="1">
        <v>46044.35928567129</v>
      </c>
      <c r="B43" s="2" t="s">
        <v>40</v>
      </c>
      <c r="C43" s="5">
        <v>46044.0</v>
      </c>
      <c r="D43" s="2" t="s">
        <v>19</v>
      </c>
      <c r="E43" s="2" t="s">
        <v>798</v>
      </c>
      <c r="F43" s="2" t="s">
        <v>678</v>
      </c>
      <c r="G43" s="2">
        <v>6.0</v>
      </c>
      <c r="H43" s="2" t="s">
        <v>66</v>
      </c>
      <c r="I43" s="2" t="s">
        <v>679</v>
      </c>
      <c r="K43" s="2">
        <v>0.0</v>
      </c>
      <c r="L43" s="2">
        <v>0.0</v>
      </c>
      <c r="M43" s="2" t="s">
        <v>847</v>
      </c>
      <c r="N43" s="2" t="s">
        <v>24</v>
      </c>
      <c r="Q43" s="9" t="s">
        <v>848</v>
      </c>
    </row>
    <row r="44">
      <c r="A44" s="1">
        <v>46044.35928567129</v>
      </c>
      <c r="B44" s="2" t="s">
        <v>40</v>
      </c>
      <c r="C44" s="5">
        <v>46044.0</v>
      </c>
      <c r="D44" s="2" t="s">
        <v>19</v>
      </c>
      <c r="E44" s="2" t="s">
        <v>798</v>
      </c>
      <c r="F44" s="2" t="s">
        <v>750</v>
      </c>
      <c r="G44" s="2">
        <v>1.0</v>
      </c>
      <c r="H44" s="2" t="s">
        <v>752</v>
      </c>
      <c r="I44" s="2" t="s">
        <v>751</v>
      </c>
      <c r="K44" s="2">
        <v>0.0</v>
      </c>
      <c r="L44" s="2">
        <v>0.0</v>
      </c>
      <c r="M44" s="2" t="s">
        <v>847</v>
      </c>
      <c r="N44" s="2" t="s">
        <v>24</v>
      </c>
      <c r="Q44" s="9" t="s">
        <v>848</v>
      </c>
    </row>
    <row r="45">
      <c r="A45" s="1">
        <v>46044.35928567129</v>
      </c>
      <c r="B45" s="2" t="s">
        <v>40</v>
      </c>
      <c r="C45" s="5">
        <v>46044.0</v>
      </c>
      <c r="D45" s="2" t="s">
        <v>19</v>
      </c>
      <c r="E45" s="2" t="s">
        <v>798</v>
      </c>
      <c r="F45" s="2" t="s">
        <v>734</v>
      </c>
      <c r="G45" s="2">
        <v>30.0</v>
      </c>
      <c r="H45" s="2" t="s">
        <v>66</v>
      </c>
      <c r="I45" s="2" t="s">
        <v>735</v>
      </c>
      <c r="K45" s="2">
        <v>0.0</v>
      </c>
      <c r="L45" s="2">
        <v>0.0</v>
      </c>
      <c r="M45" s="2" t="s">
        <v>847</v>
      </c>
      <c r="N45" s="2" t="s">
        <v>24</v>
      </c>
      <c r="Q45" s="9" t="s">
        <v>848</v>
      </c>
    </row>
    <row r="46">
      <c r="A46" s="1">
        <v>46044.35928567129</v>
      </c>
      <c r="B46" s="2" t="s">
        <v>40</v>
      </c>
      <c r="C46" s="5">
        <v>46044.0</v>
      </c>
      <c r="D46" s="2" t="s">
        <v>19</v>
      </c>
      <c r="E46" s="2" t="s">
        <v>798</v>
      </c>
      <c r="F46" s="2" t="s">
        <v>764</v>
      </c>
      <c r="G46" s="2">
        <v>2.0</v>
      </c>
      <c r="H46" s="2" t="s">
        <v>822</v>
      </c>
      <c r="I46" s="2" t="s">
        <v>765</v>
      </c>
      <c r="K46" s="2">
        <v>0.0</v>
      </c>
      <c r="L46" s="2">
        <v>0.0</v>
      </c>
      <c r="M46" s="2" t="s">
        <v>847</v>
      </c>
      <c r="N46" s="2" t="s">
        <v>24</v>
      </c>
      <c r="Q46" s="9" t="s">
        <v>848</v>
      </c>
    </row>
    <row r="47">
      <c r="A47" s="1">
        <v>46044.35928567129</v>
      </c>
      <c r="B47" s="2" t="s">
        <v>40</v>
      </c>
      <c r="C47" s="5">
        <v>46044.0</v>
      </c>
      <c r="D47" s="2" t="s">
        <v>19</v>
      </c>
      <c r="E47" s="2" t="s">
        <v>798</v>
      </c>
      <c r="F47" s="2" t="s">
        <v>758</v>
      </c>
      <c r="G47" s="2">
        <v>1.0</v>
      </c>
      <c r="H47" s="2" t="s">
        <v>822</v>
      </c>
      <c r="I47" s="2" t="s">
        <v>759</v>
      </c>
      <c r="K47" s="2">
        <v>0.0</v>
      </c>
      <c r="L47" s="2">
        <v>0.0</v>
      </c>
      <c r="M47" s="2" t="s">
        <v>847</v>
      </c>
      <c r="N47" s="2" t="s">
        <v>24</v>
      </c>
      <c r="Q47" s="9" t="s">
        <v>848</v>
      </c>
    </row>
    <row r="48">
      <c r="A48" s="1">
        <v>46044.35928567129</v>
      </c>
      <c r="B48" s="2" t="s">
        <v>40</v>
      </c>
      <c r="C48" s="5">
        <v>46044.0</v>
      </c>
      <c r="D48" s="2" t="s">
        <v>19</v>
      </c>
      <c r="E48" s="2" t="s">
        <v>798</v>
      </c>
      <c r="F48" s="2" t="s">
        <v>753</v>
      </c>
      <c r="G48" s="2">
        <v>1.0</v>
      </c>
      <c r="H48" s="2" t="s">
        <v>822</v>
      </c>
      <c r="I48" s="2" t="s">
        <v>754</v>
      </c>
      <c r="K48" s="2">
        <v>0.0</v>
      </c>
      <c r="L48" s="2">
        <v>0.0</v>
      </c>
      <c r="M48" s="2" t="s">
        <v>847</v>
      </c>
      <c r="N48" s="2" t="s">
        <v>24</v>
      </c>
      <c r="Q48" s="9" t="s">
        <v>848</v>
      </c>
    </row>
    <row r="49">
      <c r="A49" s="1">
        <v>46044.36078903935</v>
      </c>
      <c r="B49" s="2" t="s">
        <v>40</v>
      </c>
      <c r="C49" s="5">
        <v>46044.0</v>
      </c>
      <c r="D49" s="2" t="s">
        <v>19</v>
      </c>
      <c r="E49" s="2" t="s">
        <v>798</v>
      </c>
      <c r="F49" s="2" t="s">
        <v>746</v>
      </c>
      <c r="G49" s="2">
        <v>1.0</v>
      </c>
      <c r="H49" s="2" t="s">
        <v>48</v>
      </c>
      <c r="I49" s="2" t="s">
        <v>747</v>
      </c>
      <c r="K49" s="2">
        <v>0.0</v>
      </c>
      <c r="L49" s="2">
        <v>0.0</v>
      </c>
      <c r="M49" s="2" t="s">
        <v>847</v>
      </c>
      <c r="N49" s="2" t="s">
        <v>24</v>
      </c>
      <c r="Q49" s="9" t="s">
        <v>849</v>
      </c>
    </row>
    <row r="50">
      <c r="A50" s="14"/>
      <c r="N50" s="4"/>
    </row>
    <row r="51">
      <c r="A51" s="14"/>
      <c r="N51" s="4"/>
    </row>
    <row r="52">
      <c r="A52" s="14"/>
      <c r="N52" s="4"/>
    </row>
    <row r="53">
      <c r="A53" s="14"/>
      <c r="N53" s="4"/>
    </row>
    <row r="54">
      <c r="A54" s="14"/>
      <c r="N54" s="4"/>
    </row>
    <row r="55">
      <c r="A55" s="14"/>
      <c r="N55" s="4"/>
    </row>
    <row r="56">
      <c r="A56" s="14"/>
      <c r="N56" s="4"/>
    </row>
    <row r="57">
      <c r="A57" s="14"/>
      <c r="N57" s="4"/>
    </row>
    <row r="58">
      <c r="A58" s="14"/>
      <c r="N58" s="4"/>
    </row>
    <row r="59">
      <c r="A59" s="14"/>
      <c r="N59" s="4"/>
    </row>
    <row r="60">
      <c r="A60" s="14"/>
      <c r="N60" s="4"/>
    </row>
    <row r="61">
      <c r="A61" s="14"/>
      <c r="N61" s="4"/>
    </row>
    <row r="62">
      <c r="A62" s="14"/>
      <c r="N62" s="4"/>
    </row>
    <row r="63">
      <c r="A63" s="14"/>
      <c r="N63" s="4"/>
    </row>
    <row r="64">
      <c r="A64" s="14"/>
      <c r="N64" s="4"/>
    </row>
    <row r="65">
      <c r="A65" s="14"/>
      <c r="N65" s="4"/>
    </row>
    <row r="66">
      <c r="A66" s="14"/>
      <c r="N66" s="4"/>
    </row>
    <row r="67">
      <c r="A67" s="14"/>
      <c r="N67" s="4"/>
    </row>
    <row r="68">
      <c r="A68" s="14"/>
      <c r="N68" s="4"/>
    </row>
    <row r="69">
      <c r="A69" s="14"/>
      <c r="N69" s="4"/>
    </row>
    <row r="70">
      <c r="A70" s="14"/>
      <c r="N70" s="4"/>
    </row>
    <row r="71">
      <c r="A71" s="14"/>
      <c r="N71" s="4"/>
    </row>
    <row r="72">
      <c r="A72" s="14"/>
      <c r="N72" s="4"/>
    </row>
    <row r="73">
      <c r="A73" s="14"/>
      <c r="N73" s="4"/>
    </row>
    <row r="74">
      <c r="A74" s="14"/>
      <c r="N74" s="4"/>
    </row>
    <row r="75">
      <c r="A75" s="14"/>
      <c r="N75" s="4"/>
    </row>
    <row r="76">
      <c r="A76" s="14"/>
      <c r="N76" s="4"/>
    </row>
    <row r="77">
      <c r="A77" s="14"/>
      <c r="N77" s="4"/>
    </row>
    <row r="78">
      <c r="A78" s="14"/>
      <c r="N78" s="4"/>
    </row>
    <row r="79">
      <c r="A79" s="14"/>
      <c r="N79" s="4"/>
    </row>
    <row r="80">
      <c r="A80" s="14"/>
      <c r="N80" s="4"/>
    </row>
    <row r="81">
      <c r="A81" s="14"/>
      <c r="N81" s="4"/>
    </row>
    <row r="82">
      <c r="A82" s="14"/>
      <c r="N82" s="4"/>
    </row>
    <row r="83">
      <c r="A83" s="14"/>
      <c r="N83" s="4"/>
    </row>
    <row r="84">
      <c r="A84" s="14"/>
      <c r="N84" s="4"/>
    </row>
    <row r="85">
      <c r="A85" s="14"/>
      <c r="N85" s="4"/>
    </row>
    <row r="86">
      <c r="A86" s="14"/>
      <c r="N86" s="4"/>
    </row>
    <row r="87">
      <c r="A87" s="14"/>
      <c r="N87" s="4"/>
    </row>
    <row r="88">
      <c r="A88" s="14"/>
      <c r="N88" s="4"/>
    </row>
    <row r="89">
      <c r="A89" s="14"/>
      <c r="N89" s="4"/>
    </row>
    <row r="90">
      <c r="A90" s="14"/>
      <c r="N90" s="4"/>
    </row>
    <row r="91">
      <c r="A91" s="14"/>
      <c r="N91" s="4"/>
    </row>
    <row r="92">
      <c r="A92" s="14"/>
      <c r="N92" s="4"/>
    </row>
    <row r="93">
      <c r="A93" s="14"/>
      <c r="N93" s="4"/>
    </row>
    <row r="94">
      <c r="A94" s="14"/>
      <c r="N94" s="4"/>
    </row>
    <row r="95">
      <c r="A95" s="14"/>
      <c r="N95" s="4"/>
    </row>
    <row r="96">
      <c r="A96" s="14"/>
      <c r="N96" s="4"/>
    </row>
    <row r="97">
      <c r="A97" s="14"/>
      <c r="N97" s="4"/>
    </row>
    <row r="98">
      <c r="A98" s="14"/>
      <c r="N98" s="4"/>
    </row>
    <row r="99">
      <c r="A99" s="14"/>
      <c r="N99" s="4"/>
    </row>
    <row r="100">
      <c r="A100" s="14"/>
      <c r="N100" s="4"/>
    </row>
    <row r="101">
      <c r="A101" s="14"/>
      <c r="N101" s="4"/>
    </row>
    <row r="102">
      <c r="A102" s="14"/>
      <c r="N102" s="4"/>
    </row>
    <row r="103">
      <c r="A103" s="14"/>
      <c r="N103" s="4"/>
    </row>
    <row r="104">
      <c r="A104" s="14"/>
      <c r="N104" s="4"/>
    </row>
    <row r="105">
      <c r="A105" s="14"/>
      <c r="N105" s="4"/>
    </row>
    <row r="106">
      <c r="A106" s="14"/>
      <c r="N106" s="4"/>
    </row>
    <row r="107">
      <c r="A107" s="14"/>
      <c r="N107" s="4"/>
    </row>
    <row r="108">
      <c r="A108" s="14"/>
      <c r="N108" s="4"/>
    </row>
    <row r="109">
      <c r="A109" s="14"/>
      <c r="N109" s="4"/>
    </row>
    <row r="110">
      <c r="A110" s="14"/>
      <c r="N110" s="4"/>
    </row>
    <row r="111">
      <c r="A111" s="14"/>
      <c r="N111" s="4"/>
    </row>
    <row r="112">
      <c r="A112" s="14"/>
      <c r="N112" s="4"/>
    </row>
    <row r="113">
      <c r="A113" s="14"/>
      <c r="N113" s="4"/>
    </row>
    <row r="114">
      <c r="A114" s="14"/>
      <c r="N114" s="4"/>
    </row>
    <row r="115">
      <c r="A115" s="14"/>
      <c r="N115" s="4"/>
    </row>
    <row r="116">
      <c r="A116" s="14"/>
      <c r="N116" s="4"/>
    </row>
    <row r="117">
      <c r="A117" s="14"/>
      <c r="N117" s="4"/>
    </row>
    <row r="118">
      <c r="A118" s="14"/>
      <c r="N118" s="4"/>
    </row>
    <row r="119">
      <c r="A119" s="14"/>
      <c r="N119" s="4"/>
    </row>
    <row r="120">
      <c r="A120" s="14"/>
      <c r="N120" s="4"/>
    </row>
    <row r="121">
      <c r="A121" s="14"/>
      <c r="N121" s="4"/>
    </row>
    <row r="122">
      <c r="A122" s="14"/>
      <c r="N122" s="4"/>
    </row>
    <row r="123">
      <c r="A123" s="14"/>
      <c r="N123" s="4"/>
    </row>
    <row r="124">
      <c r="A124" s="14"/>
      <c r="N124" s="4"/>
    </row>
    <row r="125">
      <c r="A125" s="14"/>
      <c r="N125" s="4"/>
    </row>
    <row r="126">
      <c r="A126" s="14"/>
      <c r="N126" s="4"/>
    </row>
    <row r="127">
      <c r="A127" s="14"/>
      <c r="N127" s="4"/>
    </row>
    <row r="128">
      <c r="A128" s="14"/>
      <c r="N128" s="4"/>
    </row>
    <row r="129">
      <c r="A129" s="14"/>
      <c r="N129" s="4"/>
    </row>
    <row r="130">
      <c r="A130" s="14"/>
      <c r="N130" s="4"/>
    </row>
    <row r="131">
      <c r="A131" s="14"/>
      <c r="N131" s="4"/>
    </row>
    <row r="132">
      <c r="A132" s="14"/>
      <c r="N132" s="4"/>
    </row>
    <row r="133">
      <c r="A133" s="14"/>
      <c r="N133" s="4"/>
    </row>
    <row r="134">
      <c r="A134" s="14"/>
      <c r="N134" s="4"/>
    </row>
    <row r="135">
      <c r="A135" s="14"/>
      <c r="N135" s="4"/>
    </row>
    <row r="136">
      <c r="A136" s="14"/>
      <c r="N136" s="4"/>
    </row>
    <row r="137">
      <c r="A137" s="14"/>
      <c r="N137" s="4"/>
    </row>
    <row r="138">
      <c r="A138" s="14"/>
      <c r="N138" s="4"/>
    </row>
    <row r="139">
      <c r="A139" s="14"/>
      <c r="N139" s="4"/>
    </row>
    <row r="140">
      <c r="A140" s="14"/>
      <c r="N140" s="4"/>
    </row>
    <row r="141">
      <c r="A141" s="14"/>
      <c r="N141" s="4"/>
    </row>
    <row r="142">
      <c r="A142" s="14"/>
      <c r="N142" s="4"/>
    </row>
    <row r="143">
      <c r="A143" s="14"/>
      <c r="N143" s="4"/>
    </row>
    <row r="144">
      <c r="A144" s="14"/>
      <c r="N144" s="4"/>
    </row>
    <row r="145">
      <c r="A145" s="14"/>
      <c r="N145" s="4"/>
    </row>
    <row r="146">
      <c r="A146" s="14"/>
      <c r="N146" s="4"/>
    </row>
    <row r="147">
      <c r="A147" s="14"/>
      <c r="N147" s="4"/>
    </row>
    <row r="148">
      <c r="A148" s="14"/>
      <c r="N148" s="4"/>
    </row>
    <row r="149">
      <c r="A149" s="14"/>
      <c r="N149" s="4"/>
    </row>
    <row r="150">
      <c r="A150" s="14"/>
      <c r="N150" s="4"/>
    </row>
    <row r="151">
      <c r="A151" s="14"/>
      <c r="N151" s="4"/>
    </row>
    <row r="152">
      <c r="A152" s="14"/>
      <c r="N152" s="4"/>
    </row>
    <row r="153">
      <c r="A153" s="14"/>
      <c r="N153" s="4"/>
    </row>
    <row r="154">
      <c r="A154" s="14"/>
      <c r="N154" s="4"/>
    </row>
    <row r="155">
      <c r="A155" s="14"/>
      <c r="N155" s="4"/>
    </row>
    <row r="156">
      <c r="A156" s="14"/>
      <c r="N156" s="4"/>
    </row>
    <row r="157">
      <c r="A157" s="14"/>
      <c r="N157" s="4"/>
    </row>
    <row r="158">
      <c r="A158" s="14"/>
      <c r="N158" s="4"/>
    </row>
    <row r="159">
      <c r="A159" s="14"/>
      <c r="N159" s="4"/>
    </row>
    <row r="160">
      <c r="A160" s="14"/>
      <c r="N160" s="4"/>
    </row>
    <row r="161">
      <c r="A161" s="14"/>
      <c r="N161" s="4"/>
    </row>
    <row r="162">
      <c r="A162" s="14"/>
      <c r="N162" s="4"/>
    </row>
    <row r="163">
      <c r="A163" s="14"/>
      <c r="N163" s="4"/>
    </row>
    <row r="164">
      <c r="A164" s="14"/>
      <c r="N164" s="4"/>
    </row>
    <row r="165">
      <c r="A165" s="14"/>
      <c r="N165" s="4"/>
    </row>
    <row r="166">
      <c r="A166" s="14"/>
      <c r="N166" s="4"/>
    </row>
    <row r="167">
      <c r="A167" s="14"/>
      <c r="N167" s="4"/>
    </row>
    <row r="168">
      <c r="A168" s="14"/>
      <c r="N168" s="4"/>
    </row>
    <row r="169">
      <c r="A169" s="14"/>
      <c r="N169" s="4"/>
    </row>
    <row r="170">
      <c r="A170" s="14"/>
      <c r="N170" s="4"/>
    </row>
    <row r="171">
      <c r="A171" s="14"/>
      <c r="N171" s="4"/>
    </row>
    <row r="172">
      <c r="A172" s="14"/>
      <c r="N172" s="4"/>
    </row>
    <row r="173">
      <c r="A173" s="14"/>
      <c r="N173" s="4"/>
    </row>
    <row r="174">
      <c r="A174" s="14"/>
      <c r="N174" s="4"/>
    </row>
    <row r="175">
      <c r="A175" s="14"/>
      <c r="N175" s="4"/>
    </row>
    <row r="176">
      <c r="A176" s="14"/>
      <c r="N176" s="4"/>
    </row>
    <row r="177">
      <c r="A177" s="14"/>
      <c r="N177" s="4"/>
    </row>
    <row r="178">
      <c r="A178" s="14"/>
      <c r="N178" s="4"/>
    </row>
    <row r="179">
      <c r="A179" s="14"/>
      <c r="N179" s="4"/>
    </row>
    <row r="180">
      <c r="A180" s="14"/>
      <c r="N180" s="4"/>
    </row>
    <row r="181">
      <c r="A181" s="14"/>
      <c r="N181" s="4"/>
    </row>
    <row r="182">
      <c r="A182" s="14"/>
      <c r="N182" s="4"/>
    </row>
    <row r="183">
      <c r="A183" s="14"/>
      <c r="N183" s="4"/>
    </row>
    <row r="184">
      <c r="A184" s="14"/>
      <c r="N184" s="4"/>
    </row>
    <row r="185">
      <c r="A185" s="14"/>
      <c r="N185" s="4"/>
    </row>
    <row r="186">
      <c r="A186" s="14"/>
      <c r="N186" s="4"/>
    </row>
    <row r="187">
      <c r="A187" s="14"/>
      <c r="N187" s="4"/>
    </row>
    <row r="188">
      <c r="A188" s="14"/>
      <c r="N188" s="4"/>
    </row>
    <row r="189">
      <c r="A189" s="14"/>
      <c r="N189" s="4"/>
    </row>
    <row r="190">
      <c r="A190" s="14"/>
      <c r="N190" s="4"/>
    </row>
    <row r="191">
      <c r="A191" s="14"/>
      <c r="N191" s="4"/>
    </row>
    <row r="192">
      <c r="A192" s="14"/>
      <c r="N192" s="4"/>
    </row>
    <row r="193">
      <c r="A193" s="14"/>
      <c r="N193" s="4"/>
    </row>
    <row r="194">
      <c r="A194" s="14"/>
      <c r="N194" s="4"/>
    </row>
    <row r="195">
      <c r="A195" s="14"/>
      <c r="N195" s="4"/>
    </row>
    <row r="196">
      <c r="A196" s="14"/>
      <c r="N196" s="4"/>
    </row>
    <row r="197">
      <c r="A197" s="14"/>
      <c r="N197" s="4"/>
    </row>
    <row r="198">
      <c r="A198" s="14"/>
      <c r="N198" s="4"/>
    </row>
    <row r="199">
      <c r="A199" s="14"/>
      <c r="N199" s="4"/>
    </row>
    <row r="200">
      <c r="A200" s="14"/>
      <c r="N200" s="4"/>
    </row>
    <row r="201">
      <c r="A201" s="14"/>
      <c r="N201" s="4"/>
    </row>
    <row r="202">
      <c r="A202" s="14"/>
      <c r="N202" s="4"/>
    </row>
    <row r="203">
      <c r="A203" s="14"/>
      <c r="N203" s="4"/>
    </row>
    <row r="204">
      <c r="A204" s="14"/>
      <c r="N204" s="4"/>
    </row>
    <row r="205">
      <c r="A205" s="14"/>
      <c r="N205" s="4"/>
    </row>
    <row r="206">
      <c r="A206" s="14"/>
      <c r="N206" s="4"/>
    </row>
    <row r="207">
      <c r="A207" s="14"/>
      <c r="N207" s="4"/>
    </row>
    <row r="208">
      <c r="A208" s="14"/>
      <c r="N208" s="4"/>
    </row>
    <row r="209">
      <c r="A209" s="14"/>
      <c r="N209" s="4"/>
    </row>
    <row r="210">
      <c r="A210" s="14"/>
      <c r="N210" s="4"/>
    </row>
    <row r="211">
      <c r="A211" s="14"/>
      <c r="N211" s="4"/>
    </row>
    <row r="212">
      <c r="A212" s="14"/>
      <c r="N212" s="4"/>
    </row>
    <row r="213">
      <c r="A213" s="14"/>
      <c r="N213" s="4"/>
    </row>
    <row r="214">
      <c r="A214" s="14"/>
      <c r="N214" s="4"/>
    </row>
    <row r="215">
      <c r="A215" s="14"/>
      <c r="N215" s="4"/>
    </row>
    <row r="216">
      <c r="A216" s="14"/>
      <c r="N216" s="4"/>
    </row>
    <row r="217">
      <c r="A217" s="14"/>
      <c r="N217" s="4"/>
    </row>
    <row r="218">
      <c r="A218" s="14"/>
      <c r="N218" s="4"/>
    </row>
    <row r="219">
      <c r="A219" s="14"/>
      <c r="N219" s="4"/>
    </row>
    <row r="220">
      <c r="A220" s="14"/>
      <c r="N220" s="4"/>
    </row>
    <row r="221">
      <c r="A221" s="14"/>
      <c r="N221" s="4"/>
    </row>
    <row r="222">
      <c r="A222" s="14"/>
      <c r="N222" s="4"/>
    </row>
    <row r="223">
      <c r="A223" s="14"/>
      <c r="N223" s="4"/>
    </row>
    <row r="224">
      <c r="A224" s="14"/>
      <c r="N224" s="4"/>
    </row>
    <row r="225">
      <c r="A225" s="14"/>
      <c r="N225" s="4"/>
    </row>
    <row r="226">
      <c r="A226" s="14"/>
      <c r="N226" s="4"/>
    </row>
    <row r="227">
      <c r="A227" s="14"/>
      <c r="N227" s="4"/>
    </row>
    <row r="228">
      <c r="A228" s="14"/>
      <c r="N228" s="4"/>
    </row>
    <row r="229">
      <c r="A229" s="14"/>
      <c r="N229" s="4"/>
    </row>
    <row r="230">
      <c r="A230" s="14"/>
      <c r="N230" s="4"/>
    </row>
    <row r="231">
      <c r="A231" s="14"/>
      <c r="N231" s="4"/>
    </row>
    <row r="232">
      <c r="A232" s="14"/>
      <c r="N232" s="4"/>
    </row>
    <row r="233">
      <c r="A233" s="14"/>
      <c r="N233" s="4"/>
    </row>
    <row r="234">
      <c r="A234" s="14"/>
      <c r="N234" s="4"/>
    </row>
    <row r="235">
      <c r="A235" s="14"/>
      <c r="N235" s="4"/>
    </row>
    <row r="236">
      <c r="A236" s="14"/>
      <c r="N236" s="4"/>
    </row>
    <row r="237">
      <c r="A237" s="14"/>
      <c r="N237" s="4"/>
    </row>
    <row r="238">
      <c r="A238" s="14"/>
      <c r="N238" s="4"/>
    </row>
    <row r="239">
      <c r="A239" s="14"/>
      <c r="N239" s="4"/>
    </row>
    <row r="240">
      <c r="A240" s="14"/>
      <c r="N240" s="4"/>
    </row>
    <row r="241">
      <c r="A241" s="14"/>
      <c r="N241" s="4"/>
    </row>
    <row r="242">
      <c r="A242" s="14"/>
      <c r="N242" s="4"/>
    </row>
    <row r="243">
      <c r="A243" s="14"/>
      <c r="N243" s="4"/>
    </row>
    <row r="244">
      <c r="A244" s="14"/>
      <c r="N244" s="4"/>
    </row>
    <row r="245">
      <c r="A245" s="14"/>
      <c r="N245" s="4"/>
    </row>
    <row r="246">
      <c r="A246" s="14"/>
      <c r="N246" s="4"/>
    </row>
    <row r="247">
      <c r="A247" s="14"/>
      <c r="N247" s="4"/>
    </row>
    <row r="248">
      <c r="A248" s="14"/>
      <c r="N248" s="4"/>
    </row>
    <row r="249">
      <c r="A249" s="14"/>
      <c r="N249" s="4"/>
    </row>
    <row r="250">
      <c r="A250" s="14"/>
      <c r="N250" s="4"/>
    </row>
    <row r="251">
      <c r="A251" s="14"/>
      <c r="N251" s="4"/>
    </row>
    <row r="252">
      <c r="A252" s="14"/>
      <c r="N252" s="4"/>
    </row>
    <row r="253">
      <c r="A253" s="14"/>
      <c r="N253" s="4"/>
    </row>
    <row r="254">
      <c r="A254" s="14"/>
      <c r="N254" s="4"/>
    </row>
    <row r="255">
      <c r="A255" s="14"/>
      <c r="N255" s="4"/>
    </row>
    <row r="256">
      <c r="A256" s="14"/>
      <c r="N256" s="4"/>
    </row>
    <row r="257">
      <c r="A257" s="14"/>
      <c r="N257" s="4"/>
    </row>
    <row r="258">
      <c r="A258" s="14"/>
      <c r="N258" s="4"/>
    </row>
    <row r="259">
      <c r="A259" s="14"/>
      <c r="N259" s="4"/>
    </row>
    <row r="260">
      <c r="A260" s="14"/>
      <c r="N260" s="4"/>
    </row>
    <row r="261">
      <c r="A261" s="14"/>
      <c r="N261" s="4"/>
    </row>
    <row r="262">
      <c r="A262" s="14"/>
      <c r="N262" s="4"/>
    </row>
    <row r="263">
      <c r="A263" s="14"/>
      <c r="N263" s="4"/>
    </row>
    <row r="264">
      <c r="A264" s="14"/>
      <c r="N264" s="4"/>
    </row>
    <row r="265">
      <c r="A265" s="14"/>
      <c r="N265" s="4"/>
    </row>
    <row r="266">
      <c r="A266" s="14"/>
      <c r="N266" s="4"/>
    </row>
    <row r="267">
      <c r="A267" s="14"/>
      <c r="N267" s="4"/>
    </row>
    <row r="268">
      <c r="A268" s="14"/>
      <c r="N268" s="4"/>
    </row>
    <row r="269">
      <c r="A269" s="14"/>
      <c r="N269" s="4"/>
    </row>
    <row r="270">
      <c r="A270" s="14"/>
      <c r="N270" s="4"/>
    </row>
    <row r="271">
      <c r="A271" s="14"/>
      <c r="N271" s="4"/>
    </row>
    <row r="272">
      <c r="A272" s="14"/>
      <c r="N272" s="4"/>
    </row>
    <row r="273">
      <c r="A273" s="14"/>
      <c r="N273" s="4"/>
    </row>
    <row r="274">
      <c r="A274" s="14"/>
      <c r="N274" s="4"/>
    </row>
    <row r="275">
      <c r="A275" s="14"/>
      <c r="N275" s="4"/>
    </row>
    <row r="276">
      <c r="A276" s="14"/>
      <c r="N276" s="4"/>
    </row>
    <row r="277">
      <c r="A277" s="14"/>
      <c r="N277" s="4"/>
    </row>
    <row r="278">
      <c r="A278" s="14"/>
      <c r="N278" s="4"/>
    </row>
    <row r="279">
      <c r="A279" s="14"/>
      <c r="N279" s="4"/>
    </row>
    <row r="280">
      <c r="A280" s="14"/>
      <c r="N280" s="4"/>
    </row>
    <row r="281">
      <c r="A281" s="14"/>
      <c r="N281" s="4"/>
    </row>
    <row r="282">
      <c r="A282" s="14"/>
      <c r="N282" s="4"/>
    </row>
    <row r="283">
      <c r="A283" s="14"/>
      <c r="N283" s="4"/>
    </row>
    <row r="284">
      <c r="A284" s="14"/>
      <c r="N284" s="4"/>
    </row>
    <row r="285">
      <c r="A285" s="14"/>
      <c r="N285" s="4"/>
    </row>
    <row r="286">
      <c r="A286" s="14"/>
      <c r="N286" s="4"/>
    </row>
    <row r="287">
      <c r="A287" s="14"/>
      <c r="N287" s="4"/>
    </row>
    <row r="288">
      <c r="A288" s="14"/>
      <c r="N288" s="4"/>
    </row>
    <row r="289">
      <c r="A289" s="14"/>
      <c r="N289" s="4"/>
    </row>
    <row r="290">
      <c r="A290" s="14"/>
      <c r="N290" s="4"/>
    </row>
    <row r="291">
      <c r="A291" s="14"/>
      <c r="N291" s="4"/>
    </row>
    <row r="292">
      <c r="A292" s="14"/>
      <c r="N292" s="4"/>
    </row>
    <row r="293">
      <c r="A293" s="14"/>
      <c r="N293" s="4"/>
    </row>
    <row r="294">
      <c r="A294" s="14"/>
      <c r="N294" s="4"/>
    </row>
    <row r="295">
      <c r="A295" s="14"/>
      <c r="N295" s="4"/>
    </row>
    <row r="296">
      <c r="A296" s="14"/>
      <c r="N296" s="4"/>
    </row>
    <row r="297">
      <c r="A297" s="14"/>
      <c r="N297" s="4"/>
    </row>
    <row r="298">
      <c r="A298" s="14"/>
      <c r="N298" s="4"/>
    </row>
    <row r="299">
      <c r="A299" s="14"/>
      <c r="N299" s="4"/>
    </row>
    <row r="300">
      <c r="A300" s="14"/>
      <c r="N300" s="4"/>
    </row>
    <row r="301">
      <c r="A301" s="14"/>
      <c r="N301" s="4"/>
    </row>
    <row r="302">
      <c r="A302" s="14"/>
      <c r="N302" s="4"/>
    </row>
    <row r="303">
      <c r="A303" s="14"/>
      <c r="N303" s="4"/>
    </row>
    <row r="304">
      <c r="A304" s="14"/>
      <c r="N304" s="4"/>
    </row>
    <row r="305">
      <c r="A305" s="14"/>
      <c r="N305" s="4"/>
    </row>
    <row r="306">
      <c r="A306" s="14"/>
      <c r="N306" s="4"/>
    </row>
    <row r="307">
      <c r="A307" s="14"/>
      <c r="N307" s="4"/>
    </row>
    <row r="308">
      <c r="A308" s="14"/>
      <c r="N308" s="4"/>
    </row>
    <row r="309">
      <c r="A309" s="14"/>
      <c r="N309" s="4"/>
    </row>
    <row r="310">
      <c r="A310" s="14"/>
      <c r="N310" s="4"/>
    </row>
    <row r="311">
      <c r="A311" s="14"/>
      <c r="N311" s="4"/>
    </row>
    <row r="312">
      <c r="A312" s="14"/>
      <c r="N312" s="4"/>
    </row>
    <row r="313">
      <c r="A313" s="14"/>
      <c r="N313" s="4"/>
    </row>
    <row r="314">
      <c r="A314" s="14"/>
      <c r="N314" s="4"/>
    </row>
    <row r="315">
      <c r="A315" s="14"/>
      <c r="N315" s="4"/>
    </row>
    <row r="316">
      <c r="A316" s="14"/>
      <c r="N316" s="4"/>
    </row>
    <row r="317">
      <c r="A317" s="14"/>
      <c r="N317" s="4"/>
    </row>
    <row r="318">
      <c r="A318" s="14"/>
      <c r="N318" s="4"/>
    </row>
    <row r="319">
      <c r="A319" s="14"/>
      <c r="N319" s="4"/>
    </row>
    <row r="320">
      <c r="A320" s="14"/>
      <c r="N320" s="4"/>
    </row>
    <row r="321">
      <c r="A321" s="14"/>
      <c r="N321" s="4"/>
    </row>
    <row r="322">
      <c r="A322" s="14"/>
      <c r="N322" s="4"/>
    </row>
    <row r="323">
      <c r="A323" s="14"/>
      <c r="N323" s="4"/>
    </row>
    <row r="324">
      <c r="A324" s="14"/>
      <c r="N324" s="4"/>
    </row>
    <row r="325">
      <c r="A325" s="14"/>
      <c r="N325" s="4"/>
    </row>
    <row r="326">
      <c r="A326" s="14"/>
      <c r="N326" s="4"/>
    </row>
    <row r="327">
      <c r="A327" s="14"/>
      <c r="N327" s="4"/>
    </row>
    <row r="328">
      <c r="A328" s="14"/>
      <c r="N328" s="4"/>
    </row>
    <row r="329">
      <c r="A329" s="14"/>
      <c r="N329" s="4"/>
    </row>
    <row r="330">
      <c r="A330" s="14"/>
      <c r="N330" s="4"/>
    </row>
    <row r="331">
      <c r="A331" s="14"/>
      <c r="N331" s="4"/>
    </row>
    <row r="332">
      <c r="A332" s="14"/>
      <c r="N332" s="4"/>
    </row>
    <row r="333">
      <c r="A333" s="14"/>
      <c r="N333" s="4"/>
    </row>
    <row r="334">
      <c r="A334" s="14"/>
      <c r="N334" s="4"/>
    </row>
    <row r="335">
      <c r="A335" s="14"/>
      <c r="N335" s="4"/>
    </row>
    <row r="336">
      <c r="A336" s="14"/>
      <c r="N336" s="4"/>
    </row>
    <row r="337">
      <c r="A337" s="14"/>
      <c r="N337" s="4"/>
    </row>
    <row r="338">
      <c r="A338" s="14"/>
      <c r="N338" s="4"/>
    </row>
    <row r="339">
      <c r="A339" s="14"/>
      <c r="N339" s="4"/>
    </row>
    <row r="340">
      <c r="A340" s="14"/>
      <c r="N340" s="4"/>
    </row>
    <row r="341">
      <c r="A341" s="14"/>
      <c r="N341" s="4"/>
    </row>
    <row r="342">
      <c r="A342" s="14"/>
      <c r="N342" s="4"/>
    </row>
    <row r="343">
      <c r="A343" s="14"/>
      <c r="N343" s="4"/>
    </row>
    <row r="344">
      <c r="A344" s="14"/>
      <c r="N344" s="4"/>
    </row>
    <row r="345">
      <c r="A345" s="14"/>
      <c r="N345" s="4"/>
    </row>
    <row r="346">
      <c r="A346" s="14"/>
      <c r="N346" s="4"/>
    </row>
    <row r="347">
      <c r="A347" s="14"/>
      <c r="N347" s="4"/>
    </row>
    <row r="348">
      <c r="A348" s="14"/>
      <c r="N348" s="4"/>
    </row>
    <row r="349">
      <c r="A349" s="14"/>
      <c r="N349" s="4"/>
    </row>
    <row r="350">
      <c r="A350" s="14"/>
      <c r="N350" s="4"/>
    </row>
    <row r="351">
      <c r="A351" s="14"/>
      <c r="N351" s="4"/>
    </row>
    <row r="352">
      <c r="A352" s="14"/>
      <c r="N352" s="4"/>
    </row>
    <row r="353">
      <c r="A353" s="14"/>
      <c r="N353" s="4"/>
    </row>
    <row r="354">
      <c r="A354" s="14"/>
      <c r="N354" s="4"/>
    </row>
    <row r="355">
      <c r="A355" s="14"/>
      <c r="N355" s="4"/>
    </row>
    <row r="356">
      <c r="A356" s="14"/>
      <c r="N356" s="4"/>
    </row>
    <row r="357">
      <c r="A357" s="14"/>
      <c r="N357" s="4"/>
    </row>
    <row r="358">
      <c r="A358" s="14"/>
      <c r="N358" s="4"/>
    </row>
    <row r="359">
      <c r="A359" s="14"/>
      <c r="N359" s="4"/>
    </row>
    <row r="360">
      <c r="A360" s="14"/>
      <c r="N360" s="4"/>
    </row>
    <row r="361">
      <c r="A361" s="14"/>
      <c r="N361" s="4"/>
    </row>
    <row r="362">
      <c r="A362" s="14"/>
      <c r="N362" s="4"/>
    </row>
    <row r="363">
      <c r="A363" s="14"/>
      <c r="N363" s="4"/>
    </row>
    <row r="364">
      <c r="A364" s="14"/>
      <c r="N364" s="4"/>
    </row>
    <row r="365">
      <c r="A365" s="14"/>
      <c r="N365" s="4"/>
    </row>
    <row r="366">
      <c r="A366" s="14"/>
      <c r="N366" s="4"/>
    </row>
    <row r="367">
      <c r="A367" s="14"/>
      <c r="N367" s="4"/>
    </row>
    <row r="368">
      <c r="A368" s="14"/>
      <c r="N368" s="4"/>
    </row>
    <row r="369">
      <c r="A369" s="14"/>
      <c r="N369" s="4"/>
    </row>
    <row r="370">
      <c r="A370" s="14"/>
      <c r="N370" s="4"/>
    </row>
    <row r="371">
      <c r="A371" s="14"/>
      <c r="N371" s="4"/>
    </row>
    <row r="372">
      <c r="A372" s="14"/>
      <c r="N372" s="4"/>
    </row>
    <row r="373">
      <c r="A373" s="14"/>
      <c r="N373" s="4"/>
    </row>
    <row r="374">
      <c r="A374" s="14"/>
      <c r="N374" s="4"/>
    </row>
    <row r="375">
      <c r="A375" s="14"/>
      <c r="N375" s="4"/>
    </row>
    <row r="376">
      <c r="A376" s="14"/>
      <c r="N376" s="4"/>
    </row>
    <row r="377">
      <c r="A377" s="14"/>
      <c r="N377" s="4"/>
    </row>
    <row r="378">
      <c r="A378" s="14"/>
      <c r="N378" s="4"/>
    </row>
    <row r="379">
      <c r="A379" s="14"/>
      <c r="N379" s="4"/>
    </row>
    <row r="380">
      <c r="A380" s="14"/>
      <c r="N380" s="4"/>
    </row>
    <row r="381">
      <c r="A381" s="14"/>
      <c r="N381" s="4"/>
    </row>
    <row r="382">
      <c r="A382" s="14"/>
      <c r="N382" s="4"/>
    </row>
    <row r="383">
      <c r="A383" s="14"/>
      <c r="N383" s="4"/>
    </row>
    <row r="384">
      <c r="A384" s="14"/>
      <c r="N384" s="4"/>
    </row>
    <row r="385">
      <c r="A385" s="14"/>
      <c r="N385" s="4"/>
    </row>
    <row r="386">
      <c r="A386" s="14"/>
      <c r="N386" s="4"/>
    </row>
    <row r="387">
      <c r="A387" s="14"/>
      <c r="N387" s="4"/>
    </row>
    <row r="388">
      <c r="A388" s="14"/>
      <c r="N388" s="4"/>
    </row>
    <row r="389">
      <c r="A389" s="14"/>
      <c r="N389" s="4"/>
    </row>
    <row r="390">
      <c r="A390" s="14"/>
      <c r="N390" s="4"/>
    </row>
    <row r="391">
      <c r="A391" s="14"/>
      <c r="N391" s="4"/>
    </row>
    <row r="392">
      <c r="A392" s="14"/>
      <c r="N392" s="4"/>
    </row>
    <row r="393">
      <c r="A393" s="14"/>
      <c r="N393" s="4"/>
    </row>
    <row r="394">
      <c r="A394" s="14"/>
      <c r="N394" s="4"/>
    </row>
    <row r="395">
      <c r="A395" s="14"/>
      <c r="N395" s="4"/>
    </row>
    <row r="396">
      <c r="A396" s="14"/>
      <c r="N396" s="4"/>
    </row>
    <row r="397">
      <c r="A397" s="14"/>
      <c r="N397" s="4"/>
    </row>
    <row r="398">
      <c r="A398" s="14"/>
      <c r="N398" s="4"/>
    </row>
    <row r="399">
      <c r="A399" s="14"/>
      <c r="N399" s="4"/>
    </row>
    <row r="400">
      <c r="A400" s="14"/>
      <c r="N400" s="4"/>
    </row>
    <row r="401">
      <c r="A401" s="14"/>
      <c r="N401" s="4"/>
    </row>
    <row r="402">
      <c r="A402" s="14"/>
      <c r="N402" s="4"/>
    </row>
    <row r="403">
      <c r="A403" s="14"/>
      <c r="N403" s="4"/>
    </row>
    <row r="404">
      <c r="A404" s="14"/>
      <c r="N404" s="4"/>
    </row>
    <row r="405">
      <c r="A405" s="14"/>
      <c r="N405" s="4"/>
    </row>
    <row r="406">
      <c r="A406" s="14"/>
      <c r="N406" s="4"/>
    </row>
    <row r="407">
      <c r="A407" s="14"/>
      <c r="N407" s="4"/>
    </row>
    <row r="408">
      <c r="A408" s="14"/>
      <c r="N408" s="4"/>
    </row>
    <row r="409">
      <c r="A409" s="14"/>
      <c r="N409" s="4"/>
    </row>
    <row r="410">
      <c r="A410" s="14"/>
      <c r="N410" s="4"/>
    </row>
    <row r="411">
      <c r="A411" s="14"/>
      <c r="N411" s="4"/>
    </row>
    <row r="412">
      <c r="A412" s="14"/>
      <c r="N412" s="4"/>
    </row>
    <row r="413">
      <c r="A413" s="14"/>
      <c r="N413" s="4"/>
    </row>
    <row r="414">
      <c r="A414" s="14"/>
      <c r="N414" s="4"/>
    </row>
    <row r="415">
      <c r="A415" s="14"/>
      <c r="N415" s="4"/>
    </row>
    <row r="416">
      <c r="A416" s="14"/>
      <c r="N416" s="4"/>
    </row>
    <row r="417">
      <c r="A417" s="14"/>
      <c r="N417" s="4"/>
    </row>
    <row r="418">
      <c r="A418" s="14"/>
      <c r="N418" s="4"/>
    </row>
    <row r="419">
      <c r="A419" s="14"/>
      <c r="N419" s="4"/>
    </row>
    <row r="420">
      <c r="A420" s="14"/>
      <c r="N420" s="4"/>
    </row>
    <row r="421">
      <c r="A421" s="14"/>
      <c r="N421" s="4"/>
    </row>
    <row r="422">
      <c r="A422" s="14"/>
      <c r="N422" s="4"/>
    </row>
    <row r="423">
      <c r="A423" s="14"/>
      <c r="N423" s="4"/>
    </row>
    <row r="424">
      <c r="A424" s="14"/>
      <c r="N424" s="4"/>
    </row>
    <row r="425">
      <c r="A425" s="14"/>
      <c r="N425" s="4"/>
    </row>
    <row r="426">
      <c r="A426" s="14"/>
      <c r="N426" s="4"/>
    </row>
    <row r="427">
      <c r="A427" s="14"/>
      <c r="N427" s="4"/>
    </row>
    <row r="428">
      <c r="A428" s="14"/>
      <c r="N428" s="4"/>
    </row>
    <row r="429">
      <c r="A429" s="14"/>
      <c r="N429" s="4"/>
    </row>
    <row r="430">
      <c r="A430" s="14"/>
      <c r="N430" s="4"/>
    </row>
    <row r="431">
      <c r="A431" s="14"/>
      <c r="N431" s="4"/>
    </row>
    <row r="432">
      <c r="A432" s="14"/>
      <c r="N432" s="4"/>
    </row>
    <row r="433">
      <c r="A433" s="14"/>
      <c r="N433" s="4"/>
    </row>
    <row r="434">
      <c r="A434" s="14"/>
      <c r="N434" s="4"/>
    </row>
    <row r="435">
      <c r="A435" s="14"/>
      <c r="N435" s="4"/>
    </row>
    <row r="436">
      <c r="A436" s="14"/>
      <c r="N436" s="4"/>
    </row>
    <row r="437">
      <c r="A437" s="14"/>
      <c r="N437" s="4"/>
    </row>
    <row r="438">
      <c r="A438" s="14"/>
      <c r="N438" s="4"/>
    </row>
    <row r="439">
      <c r="A439" s="14"/>
      <c r="N439" s="4"/>
    </row>
    <row r="440">
      <c r="A440" s="14"/>
      <c r="N440" s="4"/>
    </row>
    <row r="441">
      <c r="A441" s="14"/>
      <c r="N441" s="4"/>
    </row>
    <row r="442">
      <c r="A442" s="14"/>
      <c r="N442" s="4"/>
    </row>
    <row r="443">
      <c r="A443" s="14"/>
      <c r="N443" s="4"/>
    </row>
    <row r="444">
      <c r="A444" s="14"/>
      <c r="N444" s="4"/>
    </row>
    <row r="445">
      <c r="A445" s="14"/>
      <c r="N445" s="4"/>
    </row>
    <row r="446">
      <c r="A446" s="14"/>
      <c r="N446" s="4"/>
    </row>
    <row r="447">
      <c r="A447" s="14"/>
      <c r="N447" s="4"/>
    </row>
    <row r="448">
      <c r="A448" s="14"/>
      <c r="N448" s="4"/>
    </row>
    <row r="449">
      <c r="A449" s="14"/>
      <c r="N449" s="4"/>
    </row>
    <row r="450">
      <c r="A450" s="14"/>
      <c r="N450" s="4"/>
    </row>
    <row r="451">
      <c r="A451" s="14"/>
      <c r="N451" s="4"/>
    </row>
    <row r="452">
      <c r="A452" s="14"/>
      <c r="N452" s="4"/>
    </row>
    <row r="453">
      <c r="A453" s="14"/>
      <c r="N453" s="4"/>
    </row>
    <row r="454">
      <c r="A454" s="14"/>
      <c r="N454" s="4"/>
    </row>
    <row r="455">
      <c r="A455" s="14"/>
      <c r="N455" s="4"/>
    </row>
    <row r="456">
      <c r="A456" s="14"/>
      <c r="N456" s="4"/>
    </row>
    <row r="457">
      <c r="A457" s="14"/>
      <c r="N457" s="4"/>
    </row>
    <row r="458">
      <c r="A458" s="14"/>
      <c r="N458" s="4"/>
    </row>
    <row r="459">
      <c r="A459" s="14"/>
      <c r="N459" s="4"/>
    </row>
    <row r="460">
      <c r="A460" s="14"/>
      <c r="N460" s="4"/>
    </row>
    <row r="461">
      <c r="A461" s="14"/>
      <c r="N461" s="4"/>
    </row>
    <row r="462">
      <c r="A462" s="14"/>
      <c r="N462" s="4"/>
    </row>
    <row r="463">
      <c r="A463" s="14"/>
      <c r="N463" s="4"/>
    </row>
    <row r="464">
      <c r="A464" s="14"/>
      <c r="N464" s="4"/>
    </row>
    <row r="465">
      <c r="A465" s="14"/>
      <c r="N465" s="4"/>
    </row>
    <row r="466">
      <c r="A466" s="14"/>
      <c r="N466" s="4"/>
    </row>
    <row r="467">
      <c r="A467" s="14"/>
      <c r="N467" s="4"/>
    </row>
    <row r="468">
      <c r="A468" s="14"/>
      <c r="N468" s="4"/>
    </row>
    <row r="469">
      <c r="A469" s="14"/>
      <c r="N469" s="4"/>
    </row>
    <row r="470">
      <c r="A470" s="14"/>
      <c r="N470" s="4"/>
    </row>
    <row r="471">
      <c r="A471" s="14"/>
      <c r="N471" s="4"/>
    </row>
    <row r="472">
      <c r="A472" s="14"/>
      <c r="N472" s="4"/>
    </row>
    <row r="473">
      <c r="A473" s="14"/>
      <c r="N473" s="4"/>
    </row>
    <row r="474">
      <c r="A474" s="14"/>
      <c r="N474" s="4"/>
    </row>
    <row r="475">
      <c r="A475" s="14"/>
      <c r="N475" s="4"/>
    </row>
    <row r="476">
      <c r="A476" s="14"/>
      <c r="N476" s="4"/>
    </row>
    <row r="477">
      <c r="A477" s="14"/>
      <c r="N477" s="4"/>
    </row>
    <row r="478">
      <c r="A478" s="14"/>
      <c r="N478" s="4"/>
    </row>
    <row r="479">
      <c r="A479" s="14"/>
      <c r="N479" s="4"/>
    </row>
    <row r="480">
      <c r="A480" s="14"/>
      <c r="N480" s="4"/>
    </row>
    <row r="481">
      <c r="A481" s="14"/>
      <c r="N481" s="4"/>
    </row>
    <row r="482">
      <c r="A482" s="14"/>
      <c r="N482" s="4"/>
    </row>
    <row r="483">
      <c r="A483" s="14"/>
      <c r="N483" s="4"/>
    </row>
    <row r="484">
      <c r="A484" s="14"/>
      <c r="N484" s="4"/>
    </row>
    <row r="485">
      <c r="A485" s="14"/>
      <c r="N485" s="4"/>
    </row>
    <row r="486">
      <c r="A486" s="14"/>
      <c r="N486" s="4"/>
    </row>
    <row r="487">
      <c r="A487" s="14"/>
      <c r="N487" s="4"/>
    </row>
    <row r="488">
      <c r="A488" s="14"/>
      <c r="N488" s="4"/>
    </row>
    <row r="489">
      <c r="A489" s="14"/>
      <c r="N489" s="4"/>
    </row>
    <row r="490">
      <c r="A490" s="14"/>
      <c r="N490" s="4"/>
    </row>
    <row r="491">
      <c r="A491" s="14"/>
      <c r="N491" s="4"/>
    </row>
    <row r="492">
      <c r="A492" s="14"/>
      <c r="N492" s="4"/>
    </row>
    <row r="493">
      <c r="A493" s="14"/>
      <c r="N493" s="4"/>
    </row>
    <row r="494">
      <c r="A494" s="14"/>
      <c r="N494" s="4"/>
    </row>
    <row r="495">
      <c r="A495" s="14"/>
      <c r="N495" s="4"/>
    </row>
    <row r="496">
      <c r="A496" s="14"/>
      <c r="N496" s="4"/>
    </row>
    <row r="497">
      <c r="A497" s="14"/>
      <c r="N497" s="4"/>
    </row>
    <row r="498">
      <c r="A498" s="14"/>
      <c r="N498" s="4"/>
    </row>
    <row r="499">
      <c r="A499" s="14"/>
      <c r="N499" s="4"/>
    </row>
    <row r="500">
      <c r="A500" s="14"/>
      <c r="N500" s="4"/>
    </row>
    <row r="501">
      <c r="A501" s="14"/>
      <c r="N501" s="4"/>
    </row>
    <row r="502">
      <c r="A502" s="14"/>
      <c r="N502" s="4"/>
    </row>
    <row r="503">
      <c r="A503" s="14"/>
      <c r="N503" s="4"/>
    </row>
    <row r="504">
      <c r="A504" s="14"/>
      <c r="N504" s="4"/>
    </row>
    <row r="505">
      <c r="A505" s="14"/>
      <c r="N505" s="4"/>
    </row>
    <row r="506">
      <c r="A506" s="14"/>
      <c r="N506" s="4"/>
    </row>
    <row r="507">
      <c r="A507" s="14"/>
      <c r="N507" s="4"/>
    </row>
    <row r="508">
      <c r="A508" s="14"/>
      <c r="N508" s="4"/>
    </row>
    <row r="509">
      <c r="A509" s="14"/>
      <c r="N509" s="4"/>
    </row>
    <row r="510">
      <c r="A510" s="14"/>
      <c r="N510" s="4"/>
    </row>
    <row r="511">
      <c r="A511" s="14"/>
      <c r="N511" s="4"/>
    </row>
    <row r="512">
      <c r="A512" s="14"/>
      <c r="N512" s="4"/>
    </row>
    <row r="513">
      <c r="A513" s="14"/>
      <c r="N513" s="4"/>
    </row>
    <row r="514">
      <c r="A514" s="14"/>
      <c r="N514" s="4"/>
    </row>
    <row r="515">
      <c r="A515" s="14"/>
      <c r="N515" s="4"/>
    </row>
    <row r="516">
      <c r="A516" s="14"/>
      <c r="N516" s="4"/>
    </row>
    <row r="517">
      <c r="A517" s="14"/>
      <c r="N517" s="4"/>
    </row>
    <row r="518">
      <c r="A518" s="14"/>
      <c r="N518" s="4"/>
    </row>
    <row r="519">
      <c r="A519" s="14"/>
      <c r="N519" s="4"/>
    </row>
    <row r="520">
      <c r="A520" s="14"/>
      <c r="N520" s="4"/>
    </row>
    <row r="521">
      <c r="A521" s="14"/>
      <c r="N521" s="4"/>
    </row>
    <row r="522">
      <c r="A522" s="14"/>
      <c r="N522" s="4"/>
    </row>
    <row r="523">
      <c r="A523" s="14"/>
      <c r="N523" s="4"/>
    </row>
    <row r="524">
      <c r="A524" s="14"/>
      <c r="N524" s="4"/>
    </row>
    <row r="525">
      <c r="A525" s="14"/>
      <c r="N525" s="4"/>
    </row>
    <row r="526">
      <c r="A526" s="14"/>
      <c r="N526" s="4"/>
    </row>
    <row r="527">
      <c r="A527" s="14"/>
      <c r="N527" s="4"/>
    </row>
    <row r="528">
      <c r="A528" s="14"/>
      <c r="N528" s="4"/>
    </row>
    <row r="529">
      <c r="A529" s="14"/>
      <c r="N529" s="4"/>
    </row>
    <row r="530">
      <c r="A530" s="14"/>
      <c r="N530" s="4"/>
    </row>
    <row r="531">
      <c r="A531" s="14"/>
      <c r="N531" s="4"/>
    </row>
    <row r="532">
      <c r="A532" s="14"/>
      <c r="N532" s="4"/>
    </row>
    <row r="533">
      <c r="A533" s="14"/>
      <c r="N533" s="4"/>
    </row>
    <row r="534">
      <c r="A534" s="14"/>
      <c r="N534" s="4"/>
    </row>
    <row r="535">
      <c r="A535" s="14"/>
      <c r="N535" s="4"/>
    </row>
    <row r="536">
      <c r="A536" s="14"/>
      <c r="N536" s="4"/>
    </row>
    <row r="537">
      <c r="A537" s="14"/>
      <c r="N537" s="4"/>
    </row>
    <row r="538">
      <c r="A538" s="14"/>
      <c r="N538" s="4"/>
    </row>
    <row r="539">
      <c r="A539" s="14"/>
      <c r="N539" s="4"/>
    </row>
    <row r="540">
      <c r="A540" s="14"/>
      <c r="N540" s="4"/>
    </row>
    <row r="541">
      <c r="A541" s="14"/>
      <c r="N541" s="4"/>
    </row>
    <row r="542">
      <c r="A542" s="14"/>
      <c r="N542" s="4"/>
    </row>
    <row r="543">
      <c r="A543" s="14"/>
      <c r="N543" s="4"/>
    </row>
    <row r="544">
      <c r="A544" s="14"/>
      <c r="N544" s="4"/>
    </row>
    <row r="545">
      <c r="A545" s="14"/>
      <c r="N545" s="4"/>
    </row>
    <row r="546">
      <c r="A546" s="14"/>
      <c r="N546" s="4"/>
    </row>
    <row r="547">
      <c r="A547" s="14"/>
      <c r="N547" s="4"/>
    </row>
    <row r="548">
      <c r="A548" s="14"/>
      <c r="N548" s="4"/>
    </row>
    <row r="549">
      <c r="A549" s="14"/>
      <c r="N549" s="4"/>
    </row>
    <row r="550">
      <c r="A550" s="14"/>
      <c r="N550" s="4"/>
    </row>
    <row r="551">
      <c r="A551" s="14"/>
      <c r="N551" s="4"/>
    </row>
    <row r="552">
      <c r="A552" s="14"/>
      <c r="N552" s="4"/>
    </row>
    <row r="553">
      <c r="A553" s="14"/>
      <c r="N553" s="4"/>
    </row>
    <row r="554">
      <c r="A554" s="14"/>
      <c r="N554" s="4"/>
    </row>
    <row r="555">
      <c r="A555" s="14"/>
      <c r="N555" s="4"/>
    </row>
    <row r="556">
      <c r="A556" s="14"/>
      <c r="N556" s="4"/>
    </row>
    <row r="557">
      <c r="A557" s="14"/>
      <c r="N557" s="4"/>
    </row>
    <row r="558">
      <c r="A558" s="14"/>
      <c r="N558" s="4"/>
    </row>
    <row r="559">
      <c r="A559" s="14"/>
      <c r="N559" s="4"/>
    </row>
    <row r="560">
      <c r="A560" s="14"/>
      <c r="N560" s="4"/>
    </row>
    <row r="561">
      <c r="A561" s="14"/>
      <c r="N561" s="4"/>
    </row>
    <row r="562">
      <c r="A562" s="14"/>
      <c r="N562" s="4"/>
    </row>
    <row r="563">
      <c r="A563" s="14"/>
      <c r="N563" s="4"/>
    </row>
    <row r="564">
      <c r="A564" s="14"/>
      <c r="N564" s="4"/>
    </row>
    <row r="565">
      <c r="A565" s="14"/>
      <c r="N565" s="4"/>
    </row>
    <row r="566">
      <c r="A566" s="14"/>
      <c r="N566" s="4"/>
    </row>
    <row r="567">
      <c r="A567" s="14"/>
      <c r="N567" s="4"/>
    </row>
    <row r="568">
      <c r="A568" s="14"/>
      <c r="N568" s="4"/>
    </row>
    <row r="569">
      <c r="A569" s="14"/>
      <c r="N569" s="4"/>
    </row>
    <row r="570">
      <c r="A570" s="14"/>
      <c r="N570" s="4"/>
    </row>
    <row r="571">
      <c r="A571" s="14"/>
      <c r="N571" s="4"/>
    </row>
    <row r="572">
      <c r="A572" s="14"/>
      <c r="N572" s="4"/>
    </row>
    <row r="573">
      <c r="A573" s="14"/>
      <c r="N573" s="4"/>
    </row>
    <row r="574">
      <c r="A574" s="14"/>
      <c r="N574" s="4"/>
    </row>
    <row r="575">
      <c r="A575" s="14"/>
      <c r="N575" s="4"/>
    </row>
    <row r="576">
      <c r="A576" s="14"/>
      <c r="N576" s="4"/>
    </row>
    <row r="577">
      <c r="A577" s="14"/>
      <c r="N577" s="4"/>
    </row>
    <row r="578">
      <c r="A578" s="14"/>
      <c r="N578" s="4"/>
    </row>
    <row r="579">
      <c r="A579" s="14"/>
      <c r="N579" s="4"/>
    </row>
    <row r="580">
      <c r="A580" s="14"/>
      <c r="N580" s="4"/>
    </row>
    <row r="581">
      <c r="A581" s="14"/>
      <c r="N581" s="4"/>
    </row>
    <row r="582">
      <c r="A582" s="14"/>
      <c r="N582" s="4"/>
    </row>
    <row r="583">
      <c r="A583" s="14"/>
      <c r="N583" s="4"/>
    </row>
    <row r="584">
      <c r="A584" s="14"/>
      <c r="N584" s="4"/>
    </row>
    <row r="585">
      <c r="A585" s="14"/>
      <c r="N585" s="4"/>
    </row>
    <row r="586">
      <c r="A586" s="14"/>
      <c r="N586" s="4"/>
    </row>
    <row r="587">
      <c r="A587" s="14"/>
      <c r="N587" s="4"/>
    </row>
    <row r="588">
      <c r="A588" s="14"/>
      <c r="N588" s="4"/>
    </row>
    <row r="589">
      <c r="A589" s="14"/>
      <c r="N589" s="4"/>
    </row>
    <row r="590">
      <c r="A590" s="14"/>
      <c r="N590" s="4"/>
    </row>
    <row r="591">
      <c r="A591" s="14"/>
      <c r="N591" s="4"/>
    </row>
    <row r="592">
      <c r="A592" s="14"/>
      <c r="N592" s="4"/>
    </row>
    <row r="593">
      <c r="A593" s="14"/>
      <c r="N593" s="4"/>
    </row>
    <row r="594">
      <c r="A594" s="14"/>
      <c r="N594" s="4"/>
    </row>
    <row r="595">
      <c r="A595" s="14"/>
      <c r="N595" s="4"/>
    </row>
    <row r="596">
      <c r="A596" s="14"/>
      <c r="N596" s="4"/>
    </row>
    <row r="597">
      <c r="A597" s="14"/>
      <c r="N597" s="4"/>
    </row>
    <row r="598">
      <c r="A598" s="14"/>
      <c r="N598" s="4"/>
    </row>
    <row r="599">
      <c r="A599" s="14"/>
      <c r="N599" s="4"/>
    </row>
    <row r="600">
      <c r="A600" s="14"/>
      <c r="N600" s="4"/>
    </row>
    <row r="601">
      <c r="A601" s="14"/>
      <c r="N601" s="4"/>
    </row>
    <row r="602">
      <c r="A602" s="14"/>
      <c r="N602" s="4"/>
    </row>
    <row r="603">
      <c r="A603" s="14"/>
      <c r="N603" s="4"/>
    </row>
    <row r="604">
      <c r="A604" s="14"/>
      <c r="N604" s="4"/>
    </row>
    <row r="605">
      <c r="A605" s="14"/>
      <c r="N605" s="4"/>
    </row>
    <row r="606">
      <c r="A606" s="14"/>
      <c r="N606" s="4"/>
    </row>
    <row r="607">
      <c r="A607" s="14"/>
      <c r="N607" s="4"/>
    </row>
    <row r="608">
      <c r="A608" s="14"/>
      <c r="N608" s="4"/>
    </row>
    <row r="609">
      <c r="A609" s="14"/>
      <c r="N609" s="4"/>
    </row>
    <row r="610">
      <c r="A610" s="14"/>
      <c r="N610" s="4"/>
    </row>
    <row r="611">
      <c r="A611" s="14"/>
      <c r="N611" s="4"/>
    </row>
    <row r="612">
      <c r="A612" s="14"/>
      <c r="N612" s="4"/>
    </row>
    <row r="613">
      <c r="A613" s="14"/>
      <c r="N613" s="4"/>
    </row>
    <row r="614">
      <c r="A614" s="14"/>
      <c r="N614" s="4"/>
    </row>
    <row r="615">
      <c r="A615" s="14"/>
      <c r="N615" s="4"/>
    </row>
    <row r="616">
      <c r="A616" s="14"/>
      <c r="N616" s="4"/>
    </row>
    <row r="617">
      <c r="A617" s="14"/>
      <c r="N617" s="4"/>
    </row>
    <row r="618">
      <c r="A618" s="14"/>
      <c r="N618" s="4"/>
    </row>
    <row r="619">
      <c r="A619" s="14"/>
      <c r="N619" s="4"/>
    </row>
    <row r="620">
      <c r="A620" s="14"/>
      <c r="N620" s="4"/>
    </row>
    <row r="621">
      <c r="A621" s="14"/>
      <c r="N621" s="4"/>
    </row>
    <row r="622">
      <c r="A622" s="14"/>
      <c r="N622" s="4"/>
    </row>
    <row r="623">
      <c r="A623" s="14"/>
      <c r="N623" s="4"/>
    </row>
    <row r="624">
      <c r="A624" s="14"/>
      <c r="N624" s="4"/>
    </row>
    <row r="625">
      <c r="A625" s="14"/>
      <c r="N625" s="4"/>
    </row>
    <row r="626">
      <c r="A626" s="14"/>
      <c r="N626" s="4"/>
    </row>
    <row r="627">
      <c r="A627" s="14"/>
      <c r="N627" s="4"/>
    </row>
    <row r="628">
      <c r="A628" s="14"/>
      <c r="N628" s="4"/>
    </row>
    <row r="629">
      <c r="A629" s="14"/>
      <c r="N629" s="4"/>
    </row>
    <row r="630">
      <c r="A630" s="14"/>
      <c r="N630" s="4"/>
    </row>
    <row r="631">
      <c r="A631" s="14"/>
      <c r="N631" s="4"/>
    </row>
    <row r="632">
      <c r="A632" s="14"/>
      <c r="N632" s="4"/>
    </row>
    <row r="633">
      <c r="A633" s="14"/>
      <c r="N633" s="4"/>
    </row>
    <row r="634">
      <c r="A634" s="14"/>
      <c r="N634" s="4"/>
    </row>
    <row r="635">
      <c r="A635" s="14"/>
      <c r="N635" s="4"/>
    </row>
    <row r="636">
      <c r="A636" s="14"/>
      <c r="N636" s="4"/>
    </row>
    <row r="637">
      <c r="A637" s="14"/>
      <c r="N637" s="4"/>
    </row>
    <row r="638">
      <c r="A638" s="14"/>
      <c r="N638" s="4"/>
    </row>
    <row r="639">
      <c r="A639" s="14"/>
      <c r="N639" s="4"/>
    </row>
    <row r="640">
      <c r="A640" s="14"/>
      <c r="N640" s="4"/>
    </row>
    <row r="641">
      <c r="A641" s="14"/>
      <c r="N641" s="4"/>
    </row>
    <row r="642">
      <c r="A642" s="14"/>
      <c r="N642" s="4"/>
    </row>
    <row r="643">
      <c r="A643" s="14"/>
      <c r="N643" s="4"/>
    </row>
    <row r="644">
      <c r="A644" s="14"/>
      <c r="N644" s="4"/>
    </row>
    <row r="645">
      <c r="A645" s="14"/>
      <c r="N645" s="4"/>
    </row>
    <row r="646">
      <c r="A646" s="14"/>
      <c r="N646" s="4"/>
    </row>
    <row r="647">
      <c r="A647" s="14"/>
      <c r="N647" s="4"/>
    </row>
    <row r="648">
      <c r="A648" s="14"/>
      <c r="N648" s="4"/>
    </row>
    <row r="649">
      <c r="A649" s="14"/>
      <c r="N649" s="4"/>
    </row>
    <row r="650">
      <c r="A650" s="14"/>
      <c r="N650" s="4"/>
    </row>
    <row r="651">
      <c r="A651" s="14"/>
      <c r="N651" s="4"/>
    </row>
    <row r="652">
      <c r="A652" s="14"/>
      <c r="N652" s="4"/>
    </row>
    <row r="653">
      <c r="A653" s="14"/>
      <c r="N653" s="4"/>
    </row>
    <row r="654">
      <c r="A654" s="14"/>
      <c r="N654" s="4"/>
    </row>
    <row r="655">
      <c r="A655" s="14"/>
      <c r="N655" s="4"/>
    </row>
    <row r="656">
      <c r="A656" s="14"/>
      <c r="N656" s="4"/>
    </row>
    <row r="657">
      <c r="A657" s="14"/>
      <c r="N657" s="4"/>
    </row>
    <row r="658">
      <c r="A658" s="14"/>
      <c r="N658" s="4"/>
    </row>
    <row r="659">
      <c r="A659" s="14"/>
      <c r="N659" s="4"/>
    </row>
    <row r="660">
      <c r="A660" s="14"/>
      <c r="N660" s="4"/>
    </row>
    <row r="661">
      <c r="A661" s="14"/>
      <c r="N661" s="4"/>
    </row>
    <row r="662">
      <c r="A662" s="14"/>
      <c r="N662" s="4"/>
    </row>
    <row r="663">
      <c r="A663" s="14"/>
      <c r="N663" s="4"/>
    </row>
    <row r="664">
      <c r="A664" s="14"/>
      <c r="N664" s="4"/>
    </row>
    <row r="665">
      <c r="A665" s="14"/>
      <c r="N665" s="4"/>
    </row>
    <row r="666">
      <c r="A666" s="14"/>
      <c r="N666" s="4"/>
    </row>
    <row r="667">
      <c r="A667" s="14"/>
      <c r="N667" s="4"/>
    </row>
    <row r="668">
      <c r="A668" s="14"/>
      <c r="N668" s="4"/>
    </row>
    <row r="669">
      <c r="A669" s="14"/>
      <c r="N669" s="4"/>
    </row>
    <row r="670">
      <c r="A670" s="14"/>
      <c r="N670" s="4"/>
    </row>
    <row r="671">
      <c r="A671" s="14"/>
      <c r="N671" s="4"/>
    </row>
    <row r="672">
      <c r="A672" s="14"/>
      <c r="N672" s="4"/>
    </row>
    <row r="673">
      <c r="A673" s="14"/>
      <c r="N673" s="4"/>
    </row>
    <row r="674">
      <c r="A674" s="14"/>
      <c r="N674" s="4"/>
    </row>
    <row r="675">
      <c r="A675" s="14"/>
      <c r="N675" s="4"/>
    </row>
    <row r="676">
      <c r="A676" s="14"/>
      <c r="N676" s="4"/>
    </row>
    <row r="677">
      <c r="A677" s="14"/>
      <c r="N677" s="4"/>
    </row>
    <row r="678">
      <c r="A678" s="14"/>
      <c r="N678" s="4"/>
    </row>
    <row r="679">
      <c r="A679" s="14"/>
      <c r="N679" s="4"/>
    </row>
    <row r="680">
      <c r="A680" s="14"/>
      <c r="N680" s="4"/>
    </row>
    <row r="681">
      <c r="A681" s="14"/>
      <c r="N681" s="4"/>
    </row>
    <row r="682">
      <c r="A682" s="14"/>
      <c r="N682" s="4"/>
    </row>
    <row r="683">
      <c r="A683" s="14"/>
      <c r="N683" s="4"/>
    </row>
    <row r="684">
      <c r="A684" s="14"/>
      <c r="N684" s="4"/>
    </row>
    <row r="685">
      <c r="A685" s="14"/>
      <c r="N685" s="4"/>
    </row>
    <row r="686">
      <c r="A686" s="14"/>
      <c r="N686" s="4"/>
    </row>
    <row r="687">
      <c r="A687" s="14"/>
      <c r="N687" s="4"/>
    </row>
    <row r="688">
      <c r="A688" s="14"/>
      <c r="N688" s="4"/>
    </row>
    <row r="689">
      <c r="A689" s="14"/>
      <c r="N689" s="4"/>
    </row>
    <row r="690">
      <c r="A690" s="14"/>
      <c r="N690" s="4"/>
    </row>
    <row r="691">
      <c r="A691" s="14"/>
      <c r="N691" s="4"/>
    </row>
    <row r="692">
      <c r="A692" s="14"/>
      <c r="N692" s="4"/>
    </row>
    <row r="693">
      <c r="A693" s="14"/>
      <c r="N693" s="4"/>
    </row>
    <row r="694">
      <c r="A694" s="14"/>
      <c r="N694" s="4"/>
    </row>
    <row r="695">
      <c r="A695" s="14"/>
      <c r="N695" s="4"/>
    </row>
    <row r="696">
      <c r="A696" s="14"/>
      <c r="N696" s="4"/>
    </row>
    <row r="697">
      <c r="A697" s="14"/>
      <c r="N697" s="4"/>
    </row>
    <row r="698">
      <c r="A698" s="14"/>
      <c r="N698" s="4"/>
    </row>
    <row r="699">
      <c r="A699" s="14"/>
      <c r="N699" s="4"/>
    </row>
    <row r="700">
      <c r="A700" s="14"/>
      <c r="N700" s="4"/>
    </row>
    <row r="701">
      <c r="A701" s="14"/>
      <c r="N701" s="4"/>
    </row>
    <row r="702">
      <c r="A702" s="14"/>
      <c r="N702" s="4"/>
    </row>
    <row r="703">
      <c r="A703" s="14"/>
      <c r="N703" s="4"/>
    </row>
    <row r="704">
      <c r="A704" s="14"/>
      <c r="N704" s="4"/>
    </row>
    <row r="705">
      <c r="A705" s="14"/>
      <c r="N705" s="4"/>
    </row>
    <row r="706">
      <c r="A706" s="14"/>
      <c r="N706" s="4"/>
    </row>
    <row r="707">
      <c r="A707" s="14"/>
      <c r="N707" s="4"/>
    </row>
    <row r="708">
      <c r="A708" s="14"/>
      <c r="N708" s="4"/>
    </row>
    <row r="709">
      <c r="A709" s="14"/>
      <c r="N709" s="4"/>
    </row>
    <row r="710">
      <c r="A710" s="14"/>
      <c r="N710" s="4"/>
    </row>
    <row r="711">
      <c r="A711" s="14"/>
      <c r="N711" s="4"/>
    </row>
    <row r="712">
      <c r="A712" s="14"/>
      <c r="N712" s="4"/>
    </row>
    <row r="713">
      <c r="A713" s="14"/>
      <c r="N713" s="4"/>
    </row>
    <row r="714">
      <c r="A714" s="14"/>
      <c r="N714" s="4"/>
    </row>
    <row r="715">
      <c r="A715" s="14"/>
      <c r="N715" s="4"/>
    </row>
    <row r="716">
      <c r="A716" s="14"/>
      <c r="N716" s="4"/>
    </row>
    <row r="717">
      <c r="A717" s="14"/>
      <c r="N717" s="4"/>
    </row>
    <row r="718">
      <c r="A718" s="14"/>
      <c r="N718" s="4"/>
    </row>
    <row r="719">
      <c r="A719" s="14"/>
      <c r="N719" s="4"/>
    </row>
    <row r="720">
      <c r="A720" s="14"/>
      <c r="N720" s="4"/>
    </row>
    <row r="721">
      <c r="A721" s="14"/>
      <c r="N721" s="4"/>
    </row>
    <row r="722">
      <c r="A722" s="14"/>
      <c r="N722" s="4"/>
    </row>
    <row r="723">
      <c r="A723" s="14"/>
      <c r="N723" s="4"/>
    </row>
    <row r="724">
      <c r="A724" s="14"/>
      <c r="N724" s="4"/>
    </row>
    <row r="725">
      <c r="A725" s="14"/>
      <c r="N725" s="4"/>
    </row>
    <row r="726">
      <c r="A726" s="14"/>
      <c r="N726" s="4"/>
    </row>
    <row r="727">
      <c r="A727" s="14"/>
      <c r="N727" s="4"/>
    </row>
    <row r="728">
      <c r="A728" s="14"/>
      <c r="N728" s="4"/>
    </row>
    <row r="729">
      <c r="A729" s="14"/>
      <c r="N729" s="4"/>
    </row>
    <row r="730">
      <c r="A730" s="14"/>
      <c r="N730" s="4"/>
    </row>
    <row r="731">
      <c r="A731" s="14"/>
      <c r="N731" s="4"/>
    </row>
    <row r="732">
      <c r="A732" s="14"/>
      <c r="N732" s="4"/>
    </row>
    <row r="733">
      <c r="A733" s="14"/>
      <c r="N733" s="4"/>
    </row>
    <row r="734">
      <c r="A734" s="14"/>
      <c r="N734" s="4"/>
    </row>
    <row r="735">
      <c r="A735" s="14"/>
      <c r="N735" s="4"/>
    </row>
    <row r="736">
      <c r="A736" s="14"/>
      <c r="N736" s="4"/>
    </row>
    <row r="737">
      <c r="A737" s="14"/>
      <c r="N737" s="4"/>
    </row>
    <row r="738">
      <c r="A738" s="14"/>
      <c r="N738" s="4"/>
    </row>
    <row r="739">
      <c r="A739" s="14"/>
      <c r="N739" s="4"/>
    </row>
    <row r="740">
      <c r="A740" s="14"/>
      <c r="N740" s="4"/>
    </row>
    <row r="741">
      <c r="A741" s="14"/>
      <c r="N741" s="4"/>
    </row>
    <row r="742">
      <c r="A742" s="14"/>
      <c r="N742" s="4"/>
    </row>
    <row r="743">
      <c r="A743" s="14"/>
      <c r="N743" s="4"/>
    </row>
    <row r="744">
      <c r="A744" s="14"/>
      <c r="N744" s="4"/>
    </row>
    <row r="745">
      <c r="A745" s="14"/>
      <c r="N745" s="4"/>
    </row>
    <row r="746">
      <c r="A746" s="14"/>
      <c r="N746" s="4"/>
    </row>
    <row r="747">
      <c r="A747" s="14"/>
      <c r="N747" s="4"/>
    </row>
    <row r="748">
      <c r="A748" s="14"/>
      <c r="N748" s="4"/>
    </row>
    <row r="749">
      <c r="A749" s="14"/>
      <c r="N749" s="4"/>
    </row>
    <row r="750">
      <c r="A750" s="14"/>
      <c r="N750" s="4"/>
    </row>
    <row r="751">
      <c r="A751" s="14"/>
      <c r="N751" s="4"/>
    </row>
    <row r="752">
      <c r="A752" s="14"/>
      <c r="N752" s="4"/>
    </row>
    <row r="753">
      <c r="A753" s="14"/>
      <c r="N753" s="4"/>
    </row>
    <row r="754">
      <c r="A754" s="14"/>
      <c r="N754" s="4"/>
    </row>
    <row r="755">
      <c r="A755" s="14"/>
      <c r="N755" s="4"/>
    </row>
    <row r="756">
      <c r="A756" s="14"/>
      <c r="N756" s="4"/>
    </row>
    <row r="757">
      <c r="A757" s="14"/>
      <c r="N757" s="4"/>
    </row>
    <row r="758">
      <c r="A758" s="14"/>
      <c r="N758" s="4"/>
    </row>
    <row r="759">
      <c r="A759" s="14"/>
      <c r="N759" s="4"/>
    </row>
    <row r="760">
      <c r="A760" s="14"/>
      <c r="N760" s="4"/>
    </row>
    <row r="761">
      <c r="A761" s="14"/>
      <c r="N761" s="4"/>
    </row>
    <row r="762">
      <c r="A762" s="14"/>
      <c r="N762" s="4"/>
    </row>
    <row r="763">
      <c r="A763" s="14"/>
      <c r="N763" s="4"/>
    </row>
    <row r="764">
      <c r="A764" s="14"/>
      <c r="N764" s="4"/>
    </row>
    <row r="765">
      <c r="A765" s="14"/>
      <c r="N765" s="4"/>
    </row>
    <row r="766">
      <c r="A766" s="14"/>
      <c r="N766" s="4"/>
    </row>
    <row r="767">
      <c r="A767" s="14"/>
      <c r="N767" s="4"/>
    </row>
    <row r="768">
      <c r="A768" s="14"/>
      <c r="N768" s="4"/>
    </row>
    <row r="769">
      <c r="A769" s="14"/>
      <c r="N769" s="4"/>
    </row>
    <row r="770">
      <c r="A770" s="14"/>
      <c r="N770" s="4"/>
    </row>
    <row r="771">
      <c r="A771" s="14"/>
      <c r="N771" s="4"/>
    </row>
    <row r="772">
      <c r="A772" s="14"/>
      <c r="N772" s="4"/>
    </row>
    <row r="773">
      <c r="A773" s="14"/>
      <c r="N773" s="4"/>
    </row>
    <row r="774">
      <c r="A774" s="14"/>
      <c r="N774" s="4"/>
    </row>
    <row r="775">
      <c r="A775" s="14"/>
      <c r="N775" s="4"/>
    </row>
    <row r="776">
      <c r="A776" s="14"/>
      <c r="N776" s="4"/>
    </row>
    <row r="777">
      <c r="A777" s="14"/>
      <c r="N777" s="4"/>
    </row>
    <row r="778">
      <c r="A778" s="14"/>
      <c r="N778" s="4"/>
    </row>
    <row r="779">
      <c r="A779" s="14"/>
      <c r="N779" s="4"/>
    </row>
    <row r="780">
      <c r="A780" s="14"/>
      <c r="N780" s="4"/>
    </row>
    <row r="781">
      <c r="A781" s="14"/>
      <c r="N781" s="4"/>
    </row>
    <row r="782">
      <c r="A782" s="14"/>
      <c r="N782" s="4"/>
    </row>
    <row r="783">
      <c r="A783" s="14"/>
      <c r="N783" s="4"/>
    </row>
    <row r="784">
      <c r="A784" s="14"/>
      <c r="N784" s="4"/>
    </row>
    <row r="785">
      <c r="A785" s="14"/>
      <c r="N785" s="4"/>
    </row>
    <row r="786">
      <c r="A786" s="14"/>
      <c r="N786" s="4"/>
    </row>
    <row r="787">
      <c r="A787" s="14"/>
      <c r="N787" s="4"/>
    </row>
    <row r="788">
      <c r="A788" s="14"/>
      <c r="N788" s="4"/>
    </row>
    <row r="789">
      <c r="A789" s="14"/>
      <c r="N789" s="4"/>
    </row>
    <row r="790">
      <c r="A790" s="14"/>
      <c r="N790" s="4"/>
    </row>
    <row r="791">
      <c r="A791" s="14"/>
      <c r="N791" s="4"/>
    </row>
    <row r="792">
      <c r="A792" s="14"/>
      <c r="N792" s="4"/>
    </row>
    <row r="793">
      <c r="A793" s="14"/>
      <c r="N793" s="4"/>
    </row>
    <row r="794">
      <c r="A794" s="14"/>
      <c r="N794" s="4"/>
    </row>
    <row r="795">
      <c r="A795" s="14"/>
      <c r="N795" s="4"/>
    </row>
    <row r="796">
      <c r="A796" s="14"/>
      <c r="N796" s="4"/>
    </row>
    <row r="797">
      <c r="A797" s="14"/>
      <c r="N797" s="4"/>
    </row>
    <row r="798">
      <c r="A798" s="14"/>
      <c r="N798" s="4"/>
    </row>
    <row r="799">
      <c r="A799" s="14"/>
      <c r="N799" s="4"/>
    </row>
    <row r="800">
      <c r="A800" s="14"/>
      <c r="N800" s="4"/>
    </row>
    <row r="801">
      <c r="A801" s="14"/>
      <c r="N801" s="4"/>
    </row>
    <row r="802">
      <c r="A802" s="14"/>
      <c r="N802" s="4"/>
    </row>
    <row r="803">
      <c r="A803" s="14"/>
      <c r="N803" s="4"/>
    </row>
    <row r="804">
      <c r="A804" s="14"/>
      <c r="N804" s="4"/>
    </row>
    <row r="805">
      <c r="A805" s="14"/>
      <c r="N805" s="4"/>
    </row>
    <row r="806">
      <c r="A806" s="14"/>
      <c r="N806" s="4"/>
    </row>
    <row r="807">
      <c r="A807" s="14"/>
      <c r="N807" s="4"/>
    </row>
    <row r="808">
      <c r="A808" s="14"/>
      <c r="N808" s="4"/>
    </row>
    <row r="809">
      <c r="A809" s="14"/>
      <c r="N809" s="4"/>
    </row>
    <row r="810">
      <c r="A810" s="14"/>
      <c r="N810" s="4"/>
    </row>
    <row r="811">
      <c r="A811" s="14"/>
      <c r="N811" s="4"/>
    </row>
    <row r="812">
      <c r="A812" s="14"/>
      <c r="N812" s="4"/>
    </row>
    <row r="813">
      <c r="A813" s="14"/>
      <c r="N813" s="4"/>
    </row>
    <row r="814">
      <c r="A814" s="14"/>
      <c r="N814" s="4"/>
    </row>
    <row r="815">
      <c r="A815" s="14"/>
      <c r="N815" s="4"/>
    </row>
    <row r="816">
      <c r="A816" s="14"/>
      <c r="N816" s="4"/>
    </row>
    <row r="817">
      <c r="A817" s="14"/>
      <c r="N817" s="4"/>
    </row>
    <row r="818">
      <c r="A818" s="14"/>
      <c r="N818" s="4"/>
    </row>
    <row r="819">
      <c r="A819" s="14"/>
      <c r="N819" s="4"/>
    </row>
    <row r="820">
      <c r="A820" s="14"/>
      <c r="N820" s="4"/>
    </row>
    <row r="821">
      <c r="A821" s="14"/>
      <c r="N821" s="4"/>
    </row>
    <row r="822">
      <c r="A822" s="14"/>
      <c r="N822" s="4"/>
    </row>
    <row r="823">
      <c r="A823" s="14"/>
      <c r="N823" s="4"/>
    </row>
    <row r="824">
      <c r="A824" s="14"/>
      <c r="N824" s="4"/>
    </row>
    <row r="825">
      <c r="A825" s="14"/>
      <c r="N825" s="4"/>
    </row>
    <row r="826">
      <c r="A826" s="14"/>
      <c r="N826" s="4"/>
    </row>
    <row r="827">
      <c r="A827" s="14"/>
      <c r="N827" s="4"/>
    </row>
    <row r="828">
      <c r="A828" s="14"/>
      <c r="N828" s="4"/>
    </row>
    <row r="829">
      <c r="A829" s="14"/>
      <c r="N829" s="4"/>
    </row>
    <row r="830">
      <c r="A830" s="14"/>
      <c r="N830" s="4"/>
    </row>
    <row r="831">
      <c r="A831" s="14"/>
      <c r="N831" s="4"/>
    </row>
    <row r="832">
      <c r="A832" s="14"/>
      <c r="N832" s="4"/>
    </row>
    <row r="833">
      <c r="A833" s="14"/>
      <c r="N833" s="4"/>
    </row>
    <row r="834">
      <c r="A834" s="14"/>
      <c r="N834" s="4"/>
    </row>
    <row r="835">
      <c r="A835" s="14"/>
      <c r="N835" s="4"/>
    </row>
    <row r="836">
      <c r="A836" s="14"/>
      <c r="N836" s="4"/>
    </row>
    <row r="837">
      <c r="A837" s="14"/>
      <c r="N837" s="4"/>
    </row>
    <row r="838">
      <c r="A838" s="14"/>
      <c r="N838" s="4"/>
    </row>
    <row r="839">
      <c r="A839" s="14"/>
      <c r="N839" s="4"/>
    </row>
    <row r="840">
      <c r="A840" s="14"/>
      <c r="N840" s="4"/>
    </row>
    <row r="841">
      <c r="A841" s="14"/>
      <c r="N841" s="4"/>
    </row>
    <row r="842">
      <c r="A842" s="14"/>
      <c r="N842" s="4"/>
    </row>
    <row r="843">
      <c r="A843" s="14"/>
      <c r="N843" s="4"/>
    </row>
    <row r="844">
      <c r="A844" s="14"/>
      <c r="N844" s="4"/>
    </row>
    <row r="845">
      <c r="A845" s="14"/>
      <c r="N845" s="4"/>
    </row>
    <row r="846">
      <c r="A846" s="14"/>
      <c r="N846" s="4"/>
    </row>
    <row r="847">
      <c r="A847" s="14"/>
      <c r="N847" s="4"/>
    </row>
    <row r="848">
      <c r="A848" s="14"/>
      <c r="N848" s="4"/>
    </row>
    <row r="849">
      <c r="A849" s="14"/>
      <c r="N849" s="4"/>
    </row>
    <row r="850">
      <c r="A850" s="14"/>
      <c r="N850" s="4"/>
    </row>
    <row r="851">
      <c r="A851" s="14"/>
      <c r="N851" s="4"/>
    </row>
    <row r="852">
      <c r="A852" s="14"/>
      <c r="N852" s="4"/>
    </row>
    <row r="853">
      <c r="A853" s="14"/>
      <c r="N853" s="4"/>
    </row>
    <row r="854">
      <c r="A854" s="14"/>
      <c r="N854" s="4"/>
    </row>
    <row r="855">
      <c r="A855" s="14"/>
      <c r="N855" s="4"/>
    </row>
    <row r="856">
      <c r="A856" s="14"/>
      <c r="N856" s="4"/>
    </row>
    <row r="857">
      <c r="A857" s="14"/>
      <c r="N857" s="4"/>
    </row>
    <row r="858">
      <c r="A858" s="14"/>
      <c r="N858" s="4"/>
    </row>
    <row r="859">
      <c r="A859" s="14"/>
      <c r="N859" s="4"/>
    </row>
    <row r="860">
      <c r="A860" s="14"/>
      <c r="N860" s="4"/>
    </row>
    <row r="861">
      <c r="A861" s="14"/>
      <c r="N861" s="4"/>
    </row>
    <row r="862">
      <c r="A862" s="14"/>
      <c r="N862" s="4"/>
    </row>
    <row r="863">
      <c r="A863" s="14"/>
      <c r="N863" s="4"/>
    </row>
    <row r="864">
      <c r="A864" s="14"/>
      <c r="N864" s="4"/>
    </row>
    <row r="865">
      <c r="A865" s="14"/>
      <c r="N865" s="4"/>
    </row>
    <row r="866">
      <c r="A866" s="14"/>
      <c r="N866" s="4"/>
    </row>
    <row r="867">
      <c r="A867" s="14"/>
      <c r="N867" s="4"/>
    </row>
    <row r="868">
      <c r="A868" s="14"/>
      <c r="N868" s="4"/>
    </row>
    <row r="869">
      <c r="A869" s="14"/>
      <c r="N869" s="4"/>
    </row>
    <row r="870">
      <c r="A870" s="14"/>
      <c r="N870" s="4"/>
    </row>
    <row r="871">
      <c r="A871" s="14"/>
      <c r="N871" s="4"/>
    </row>
    <row r="872">
      <c r="A872" s="14"/>
      <c r="N872" s="4"/>
    </row>
    <row r="873">
      <c r="A873" s="14"/>
      <c r="N873" s="4"/>
    </row>
    <row r="874">
      <c r="A874" s="14"/>
      <c r="N874" s="4"/>
    </row>
    <row r="875">
      <c r="A875" s="14"/>
      <c r="N875" s="4"/>
    </row>
    <row r="876">
      <c r="A876" s="14"/>
      <c r="N876" s="4"/>
    </row>
    <row r="877">
      <c r="A877" s="14"/>
      <c r="N877" s="4"/>
    </row>
    <row r="878">
      <c r="A878" s="14"/>
      <c r="N878" s="4"/>
    </row>
    <row r="879">
      <c r="A879" s="14"/>
      <c r="N879" s="4"/>
    </row>
    <row r="880">
      <c r="A880" s="14"/>
      <c r="N880" s="4"/>
    </row>
    <row r="881">
      <c r="A881" s="14"/>
      <c r="N881" s="4"/>
    </row>
    <row r="882">
      <c r="A882" s="14"/>
      <c r="N882" s="4"/>
    </row>
    <row r="883">
      <c r="A883" s="14"/>
      <c r="N883" s="4"/>
    </row>
    <row r="884">
      <c r="A884" s="14"/>
      <c r="N884" s="4"/>
    </row>
    <row r="885">
      <c r="A885" s="14"/>
      <c r="N885" s="4"/>
    </row>
    <row r="886">
      <c r="A886" s="14"/>
      <c r="N886" s="4"/>
    </row>
    <row r="887">
      <c r="A887" s="14"/>
      <c r="N887" s="4"/>
    </row>
    <row r="888">
      <c r="A888" s="14"/>
      <c r="N888" s="4"/>
    </row>
    <row r="889">
      <c r="A889" s="14"/>
      <c r="N889" s="4"/>
    </row>
    <row r="890">
      <c r="A890" s="14"/>
      <c r="N890" s="4"/>
    </row>
    <row r="891">
      <c r="A891" s="14"/>
      <c r="N891" s="4"/>
    </row>
    <row r="892">
      <c r="A892" s="14"/>
      <c r="N892" s="4"/>
    </row>
    <row r="893">
      <c r="A893" s="14"/>
      <c r="N893" s="4"/>
    </row>
    <row r="894">
      <c r="A894" s="14"/>
      <c r="N894" s="4"/>
    </row>
    <row r="895">
      <c r="A895" s="14"/>
      <c r="N895" s="4"/>
    </row>
    <row r="896">
      <c r="A896" s="14"/>
      <c r="N896" s="4"/>
    </row>
    <row r="897">
      <c r="A897" s="14"/>
      <c r="N897" s="4"/>
    </row>
    <row r="898">
      <c r="A898" s="14"/>
      <c r="N898" s="4"/>
    </row>
    <row r="899">
      <c r="A899" s="14"/>
      <c r="N899" s="4"/>
    </row>
    <row r="900">
      <c r="A900" s="14"/>
      <c r="N900" s="4"/>
    </row>
    <row r="901">
      <c r="A901" s="14"/>
      <c r="N901" s="4"/>
    </row>
    <row r="902">
      <c r="A902" s="14"/>
      <c r="N902" s="4"/>
    </row>
    <row r="903">
      <c r="A903" s="14"/>
      <c r="N903" s="4"/>
    </row>
    <row r="904">
      <c r="A904" s="14"/>
      <c r="N904" s="4"/>
    </row>
    <row r="905">
      <c r="A905" s="14"/>
      <c r="N905" s="4"/>
    </row>
    <row r="906">
      <c r="A906" s="14"/>
      <c r="N906" s="4"/>
    </row>
    <row r="907">
      <c r="A907" s="14"/>
      <c r="N907" s="4"/>
    </row>
    <row r="908">
      <c r="A908" s="14"/>
      <c r="N908" s="4"/>
    </row>
    <row r="909">
      <c r="A909" s="14"/>
      <c r="N909" s="4"/>
    </row>
    <row r="910">
      <c r="A910" s="14"/>
      <c r="N910" s="4"/>
    </row>
    <row r="911">
      <c r="A911" s="14"/>
      <c r="N911" s="4"/>
    </row>
    <row r="912">
      <c r="A912" s="14"/>
      <c r="N912" s="4"/>
    </row>
    <row r="913">
      <c r="A913" s="14"/>
      <c r="N913" s="4"/>
    </row>
    <row r="914">
      <c r="A914" s="14"/>
      <c r="N914" s="4"/>
    </row>
    <row r="915">
      <c r="A915" s="14"/>
      <c r="N915" s="4"/>
    </row>
    <row r="916">
      <c r="A916" s="14"/>
      <c r="N916" s="4"/>
    </row>
    <row r="917">
      <c r="A917" s="14"/>
      <c r="N917" s="4"/>
    </row>
  </sheetData>
  <dataValidations>
    <dataValidation type="list" allowBlank="1" showErrorMessage="1" sqref="N1:N917">
      <formula1>"Pending,Approved,No Stock,Convert to Set"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  <hyperlink r:id="rId43" ref="Q44"/>
    <hyperlink r:id="rId44" ref="Q45"/>
    <hyperlink r:id="rId45" ref="Q46"/>
    <hyperlink r:id="rId46" ref="Q47"/>
    <hyperlink r:id="rId47" ref="Q48"/>
    <hyperlink r:id="rId48" ref="Q49"/>
  </hyperlinks>
  <drawing r:id="rId49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2.0"/>
    <col customWidth="1" min="3" max="3" width="9.5"/>
    <col customWidth="1" min="4" max="4" width="18.63"/>
    <col customWidth="1" min="5" max="5" width="15.75"/>
    <col customWidth="1" min="6" max="6" width="7.63"/>
    <col customWidth="1" min="7" max="7" width="3.63"/>
    <col customWidth="1" min="8" max="8" width="5.88"/>
    <col customWidth="1" min="9" max="9" width="40.63"/>
    <col customWidth="1" min="10" max="10" width="6.0"/>
    <col customWidth="1" min="11" max="11" width="6.75"/>
    <col customWidth="1" min="12" max="12" width="4.5"/>
    <col customWidth="1" min="13" max="13" width="12.0"/>
    <col customWidth="1" min="14" max="14" width="13.0"/>
    <col customWidth="1" min="15" max="15" width="11.13"/>
    <col customWidth="1" min="16" max="16" width="10.38"/>
    <col customWidth="1" min="17" max="17" width="71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46027.436265358796</v>
      </c>
      <c r="B2" s="2" t="s">
        <v>47</v>
      </c>
      <c r="C2" s="5">
        <v>46027.0</v>
      </c>
      <c r="D2" s="2" t="s">
        <v>19</v>
      </c>
      <c r="E2" s="2" t="s">
        <v>798</v>
      </c>
      <c r="F2" s="2" t="s">
        <v>606</v>
      </c>
      <c r="G2" s="2">
        <v>2.0</v>
      </c>
      <c r="H2" s="2" t="s">
        <v>66</v>
      </c>
      <c r="I2" s="2" t="s">
        <v>607</v>
      </c>
      <c r="K2" s="2">
        <v>0.0</v>
      </c>
      <c r="L2" s="2">
        <v>0.0</v>
      </c>
      <c r="M2" s="2" t="s">
        <v>87</v>
      </c>
      <c r="N2" s="2" t="s">
        <v>24</v>
      </c>
      <c r="Q2" s="9" t="s">
        <v>850</v>
      </c>
    </row>
    <row r="3">
      <c r="A3" s="63">
        <v>46027.436265358796</v>
      </c>
      <c r="B3" s="2" t="s">
        <v>47</v>
      </c>
      <c r="C3" s="5">
        <v>46027.0</v>
      </c>
      <c r="D3" s="2" t="s">
        <v>19</v>
      </c>
      <c r="E3" s="2" t="s">
        <v>798</v>
      </c>
      <c r="F3" s="2" t="s">
        <v>748</v>
      </c>
      <c r="G3" s="2">
        <v>1.0</v>
      </c>
      <c r="H3" s="2" t="s">
        <v>48</v>
      </c>
      <c r="I3" s="2" t="s">
        <v>749</v>
      </c>
      <c r="K3" s="2">
        <v>0.0</v>
      </c>
      <c r="L3" s="2">
        <v>0.0</v>
      </c>
      <c r="M3" s="2" t="s">
        <v>87</v>
      </c>
      <c r="N3" s="2" t="s">
        <v>24</v>
      </c>
      <c r="Q3" s="9" t="s">
        <v>850</v>
      </c>
    </row>
    <row r="4">
      <c r="A4" s="63">
        <v>46027.436265358796</v>
      </c>
      <c r="B4" s="2" t="s">
        <v>47</v>
      </c>
      <c r="C4" s="5">
        <v>46027.0</v>
      </c>
      <c r="D4" s="2" t="s">
        <v>19</v>
      </c>
      <c r="E4" s="2" t="s">
        <v>798</v>
      </c>
      <c r="F4" s="2" t="s">
        <v>644</v>
      </c>
      <c r="G4" s="2">
        <v>1.0</v>
      </c>
      <c r="H4" s="2" t="s">
        <v>66</v>
      </c>
      <c r="I4" s="2" t="s">
        <v>645</v>
      </c>
      <c r="K4" s="2">
        <v>0.0</v>
      </c>
      <c r="L4" s="2">
        <v>0.0</v>
      </c>
      <c r="M4" s="2" t="s">
        <v>87</v>
      </c>
      <c r="N4" s="2" t="s">
        <v>24</v>
      </c>
      <c r="Q4" s="9" t="s">
        <v>850</v>
      </c>
    </row>
    <row r="5">
      <c r="A5" s="63">
        <v>46027.436265358796</v>
      </c>
      <c r="B5" s="2" t="s">
        <v>47</v>
      </c>
      <c r="C5" s="5">
        <v>46027.0</v>
      </c>
      <c r="D5" s="2" t="s">
        <v>19</v>
      </c>
      <c r="E5" s="2" t="s">
        <v>798</v>
      </c>
      <c r="F5" s="2" t="s">
        <v>678</v>
      </c>
      <c r="G5" s="2">
        <v>6.0</v>
      </c>
      <c r="H5" s="2" t="s">
        <v>66</v>
      </c>
      <c r="I5" s="2" t="s">
        <v>679</v>
      </c>
      <c r="K5" s="2">
        <v>0.0</v>
      </c>
      <c r="L5" s="2">
        <v>0.0</v>
      </c>
      <c r="M5" s="2" t="s">
        <v>87</v>
      </c>
      <c r="N5" s="2" t="s">
        <v>24</v>
      </c>
      <c r="Q5" s="9" t="s">
        <v>850</v>
      </c>
    </row>
    <row r="6">
      <c r="A6" s="63">
        <v>46027.436265358796</v>
      </c>
      <c r="B6" s="2" t="s">
        <v>47</v>
      </c>
      <c r="C6" s="5">
        <v>46027.0</v>
      </c>
      <c r="D6" s="2" t="s">
        <v>19</v>
      </c>
      <c r="E6" s="2" t="s">
        <v>798</v>
      </c>
      <c r="F6" s="2" t="s">
        <v>692</v>
      </c>
      <c r="G6" s="2">
        <v>1.0</v>
      </c>
      <c r="H6" s="2" t="s">
        <v>66</v>
      </c>
      <c r="I6" s="2" t="s">
        <v>693</v>
      </c>
      <c r="K6" s="2">
        <v>0.0</v>
      </c>
      <c r="L6" s="2">
        <v>0.0</v>
      </c>
      <c r="M6" s="2" t="s">
        <v>87</v>
      </c>
      <c r="N6" s="2" t="s">
        <v>24</v>
      </c>
      <c r="Q6" s="9" t="s">
        <v>850</v>
      </c>
    </row>
    <row r="7">
      <c r="A7" s="63">
        <v>46027.436265358796</v>
      </c>
      <c r="B7" s="2" t="s">
        <v>47</v>
      </c>
      <c r="C7" s="5">
        <v>46027.0</v>
      </c>
      <c r="D7" s="2" t="s">
        <v>19</v>
      </c>
      <c r="E7" s="2" t="s">
        <v>798</v>
      </c>
      <c r="F7" s="2" t="s">
        <v>580</v>
      </c>
      <c r="G7" s="2">
        <v>30.0</v>
      </c>
      <c r="H7" s="2" t="s">
        <v>66</v>
      </c>
      <c r="I7" s="2" t="s">
        <v>581</v>
      </c>
      <c r="K7" s="2">
        <v>0.0</v>
      </c>
      <c r="L7" s="2">
        <v>0.0</v>
      </c>
      <c r="M7" s="2" t="s">
        <v>87</v>
      </c>
      <c r="N7" s="2" t="s">
        <v>24</v>
      </c>
      <c r="Q7" s="9" t="s">
        <v>850</v>
      </c>
    </row>
    <row r="8">
      <c r="A8" s="63">
        <v>46027.436265358796</v>
      </c>
      <c r="B8" s="2" t="s">
        <v>47</v>
      </c>
      <c r="C8" s="5">
        <v>46027.0</v>
      </c>
      <c r="D8" s="2" t="s">
        <v>19</v>
      </c>
      <c r="E8" s="2" t="s">
        <v>798</v>
      </c>
      <c r="F8" s="2" t="s">
        <v>742</v>
      </c>
      <c r="G8" s="2">
        <v>1.0</v>
      </c>
      <c r="H8" s="2" t="s">
        <v>48</v>
      </c>
      <c r="I8" s="2" t="s">
        <v>743</v>
      </c>
      <c r="K8" s="2">
        <v>0.0</v>
      </c>
      <c r="L8" s="2">
        <v>0.0</v>
      </c>
      <c r="M8" s="2" t="s">
        <v>87</v>
      </c>
      <c r="N8" s="2" t="s">
        <v>24</v>
      </c>
      <c r="Q8" s="9" t="s">
        <v>850</v>
      </c>
    </row>
    <row r="9">
      <c r="A9" s="63">
        <v>46027.436265358796</v>
      </c>
      <c r="B9" s="2" t="s">
        <v>47</v>
      </c>
      <c r="C9" s="5">
        <v>46027.0</v>
      </c>
      <c r="D9" s="2" t="s">
        <v>19</v>
      </c>
      <c r="E9" s="2" t="s">
        <v>798</v>
      </c>
      <c r="F9" s="2" t="s">
        <v>572</v>
      </c>
      <c r="G9" s="2">
        <v>1.0</v>
      </c>
      <c r="H9" s="2" t="s">
        <v>571</v>
      </c>
      <c r="I9" s="2" t="s">
        <v>573</v>
      </c>
      <c r="K9" s="2">
        <v>0.0</v>
      </c>
      <c r="L9" s="2">
        <v>0.0</v>
      </c>
      <c r="M9" s="2" t="s">
        <v>87</v>
      </c>
      <c r="N9" s="2" t="s">
        <v>24</v>
      </c>
      <c r="Q9" s="9" t="s">
        <v>850</v>
      </c>
    </row>
    <row r="10">
      <c r="A10" s="63">
        <v>46027.436265358796</v>
      </c>
      <c r="B10" s="2" t="s">
        <v>47</v>
      </c>
      <c r="C10" s="5">
        <v>46027.0</v>
      </c>
      <c r="D10" s="2" t="s">
        <v>19</v>
      </c>
      <c r="E10" s="2" t="s">
        <v>798</v>
      </c>
      <c r="F10" s="2" t="s">
        <v>592</v>
      </c>
      <c r="G10" s="2">
        <v>10.0</v>
      </c>
      <c r="H10" s="2" t="s">
        <v>66</v>
      </c>
      <c r="I10" s="2" t="s">
        <v>593</v>
      </c>
      <c r="K10" s="2">
        <v>0.0</v>
      </c>
      <c r="L10" s="2">
        <v>0.0</v>
      </c>
      <c r="M10" s="2" t="s">
        <v>87</v>
      </c>
      <c r="N10" s="2" t="s">
        <v>24</v>
      </c>
      <c r="Q10" s="9" t="s">
        <v>850</v>
      </c>
    </row>
    <row r="11">
      <c r="A11" s="63">
        <v>46027.52994148148</v>
      </c>
      <c r="B11" s="2" t="s">
        <v>47</v>
      </c>
      <c r="C11" s="5">
        <v>46027.0</v>
      </c>
      <c r="D11" s="2" t="s">
        <v>19</v>
      </c>
      <c r="E11" s="2" t="s">
        <v>798</v>
      </c>
      <c r="F11" s="2" t="s">
        <v>590</v>
      </c>
      <c r="G11" s="2">
        <v>10.0</v>
      </c>
      <c r="H11" s="2" t="s">
        <v>66</v>
      </c>
      <c r="I11" s="2" t="s">
        <v>591</v>
      </c>
      <c r="K11" s="2">
        <v>0.0</v>
      </c>
      <c r="L11" s="2">
        <v>0.0</v>
      </c>
      <c r="M11" s="2" t="s">
        <v>87</v>
      </c>
      <c r="N11" s="2" t="s">
        <v>24</v>
      </c>
      <c r="Q11" s="9" t="s">
        <v>851</v>
      </c>
    </row>
    <row r="12">
      <c r="A12" s="63">
        <v>46033.37155054398</v>
      </c>
      <c r="B12" s="2" t="s">
        <v>47</v>
      </c>
      <c r="C12" s="5">
        <v>46033.0</v>
      </c>
      <c r="D12" s="2" t="s">
        <v>19</v>
      </c>
      <c r="E12" s="2" t="s">
        <v>798</v>
      </c>
      <c r="F12" s="2" t="s">
        <v>660</v>
      </c>
      <c r="G12" s="2">
        <v>1.0</v>
      </c>
      <c r="H12" s="2" t="s">
        <v>66</v>
      </c>
      <c r="I12" s="2" t="s">
        <v>661</v>
      </c>
      <c r="K12" s="2">
        <v>0.0</v>
      </c>
      <c r="L12" s="2">
        <v>0.0</v>
      </c>
      <c r="M12" s="2" t="s">
        <v>87</v>
      </c>
      <c r="N12" s="2" t="s">
        <v>24</v>
      </c>
      <c r="Q12" s="9" t="s">
        <v>852</v>
      </c>
    </row>
    <row r="13">
      <c r="A13" s="63">
        <v>46034.641272175926</v>
      </c>
      <c r="B13" s="2" t="s">
        <v>47</v>
      </c>
      <c r="C13" s="5">
        <v>46034.0</v>
      </c>
      <c r="D13" s="2" t="s">
        <v>19</v>
      </c>
      <c r="E13" s="2" t="s">
        <v>798</v>
      </c>
      <c r="F13" s="2" t="s">
        <v>606</v>
      </c>
      <c r="G13" s="2">
        <v>4.0</v>
      </c>
      <c r="H13" s="2" t="s">
        <v>66</v>
      </c>
      <c r="I13" s="2" t="s">
        <v>607</v>
      </c>
      <c r="K13" s="2">
        <v>0.0</v>
      </c>
      <c r="L13" s="2">
        <v>0.0</v>
      </c>
      <c r="M13" s="2" t="s">
        <v>853</v>
      </c>
      <c r="N13" s="2" t="s">
        <v>24</v>
      </c>
      <c r="Q13" s="9" t="s">
        <v>854</v>
      </c>
    </row>
    <row r="14">
      <c r="A14" s="63">
        <v>46041.37986715278</v>
      </c>
      <c r="B14" s="2" t="s">
        <v>47</v>
      </c>
      <c r="C14" s="5">
        <v>46041.0</v>
      </c>
      <c r="D14" s="2" t="s">
        <v>19</v>
      </c>
      <c r="E14" s="2" t="s">
        <v>798</v>
      </c>
      <c r="F14" s="2" t="s">
        <v>586</v>
      </c>
      <c r="G14" s="2">
        <v>10.0</v>
      </c>
      <c r="H14" s="2" t="s">
        <v>66</v>
      </c>
      <c r="I14" s="2" t="s">
        <v>587</v>
      </c>
      <c r="K14" s="2">
        <v>0.0</v>
      </c>
      <c r="L14" s="2">
        <v>0.0</v>
      </c>
      <c r="M14" s="2" t="s">
        <v>853</v>
      </c>
      <c r="N14" s="2" t="s">
        <v>24</v>
      </c>
      <c r="Q14" s="9" t="s">
        <v>855</v>
      </c>
    </row>
    <row r="15">
      <c r="A15" s="63">
        <v>46041.37986715278</v>
      </c>
      <c r="B15" s="2" t="s">
        <v>47</v>
      </c>
      <c r="C15" s="5">
        <v>46041.0</v>
      </c>
      <c r="D15" s="2" t="s">
        <v>19</v>
      </c>
      <c r="E15" s="2" t="s">
        <v>798</v>
      </c>
      <c r="F15" s="2" t="s">
        <v>652</v>
      </c>
      <c r="G15" s="2">
        <v>1.0</v>
      </c>
      <c r="H15" s="2" t="s">
        <v>21</v>
      </c>
      <c r="I15" s="2" t="s">
        <v>653</v>
      </c>
      <c r="K15" s="2">
        <v>0.0</v>
      </c>
      <c r="L15" s="2">
        <v>0.0</v>
      </c>
      <c r="M15" s="2" t="s">
        <v>853</v>
      </c>
      <c r="N15" s="2" t="s">
        <v>24</v>
      </c>
      <c r="Q15" s="9" t="s">
        <v>855</v>
      </c>
    </row>
    <row r="16">
      <c r="A16" s="63">
        <v>46041.67546197917</v>
      </c>
      <c r="B16" s="2" t="s">
        <v>47</v>
      </c>
      <c r="C16" s="5">
        <v>46041.0</v>
      </c>
      <c r="D16" s="2" t="s">
        <v>19</v>
      </c>
      <c r="E16" s="2" t="s">
        <v>798</v>
      </c>
      <c r="F16" s="2" t="s">
        <v>720</v>
      </c>
      <c r="G16" s="2">
        <v>2.0</v>
      </c>
      <c r="H16" s="2" t="s">
        <v>722</v>
      </c>
      <c r="I16" s="2" t="s">
        <v>721</v>
      </c>
      <c r="K16" s="2">
        <v>0.0</v>
      </c>
      <c r="L16" s="2">
        <v>0.0</v>
      </c>
      <c r="M16" s="2" t="s">
        <v>853</v>
      </c>
      <c r="N16" s="2" t="s">
        <v>24</v>
      </c>
      <c r="Q16" s="9" t="s">
        <v>856</v>
      </c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  <row r="972">
      <c r="N972" s="4"/>
    </row>
  </sheetData>
  <dataValidations>
    <dataValidation type="list" allowBlank="1" showErrorMessage="1" sqref="N1:N972">
      <formula1>"Pending,Approved"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</hyperlinks>
  <drawing r:id="rId16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0.38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6.5"/>
    <col customWidth="1" min="9" max="9" width="27.88"/>
    <col customWidth="1" min="10" max="10" width="6.0"/>
    <col customWidth="1" min="11" max="11" width="6.75"/>
    <col customWidth="1" min="12" max="12" width="4.5"/>
    <col customWidth="1" min="13" max="13" width="22.88"/>
    <col customWidth="1" min="14" max="14" width="13.0"/>
    <col customWidth="1" min="15" max="15" width="11.13"/>
    <col customWidth="1" min="16" max="16" width="10.38"/>
    <col customWidth="1" min="17" max="17" width="71.0"/>
    <col customWidth="1" min="19" max="19" width="27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46031.43823153935</v>
      </c>
      <c r="B2" s="2" t="s">
        <v>71</v>
      </c>
      <c r="C2" s="5">
        <v>46031.0</v>
      </c>
      <c r="D2" s="2" t="s">
        <v>19</v>
      </c>
      <c r="E2" s="2" t="s">
        <v>798</v>
      </c>
      <c r="F2" s="2" t="s">
        <v>740</v>
      </c>
      <c r="G2" s="2">
        <v>1.0</v>
      </c>
      <c r="H2" s="2" t="s">
        <v>21</v>
      </c>
      <c r="I2" s="2" t="s">
        <v>741</v>
      </c>
      <c r="K2" s="2">
        <v>0.0</v>
      </c>
      <c r="L2" s="2">
        <v>0.0</v>
      </c>
      <c r="M2" s="2" t="s">
        <v>209</v>
      </c>
      <c r="N2" s="2" t="s">
        <v>24</v>
      </c>
      <c r="Q2" s="9" t="s">
        <v>857</v>
      </c>
    </row>
    <row r="3">
      <c r="A3" s="63">
        <v>46031.43823153935</v>
      </c>
      <c r="B3" s="2" t="s">
        <v>71</v>
      </c>
      <c r="C3" s="5">
        <v>46031.0</v>
      </c>
      <c r="D3" s="2" t="s">
        <v>19</v>
      </c>
      <c r="E3" s="2" t="s">
        <v>798</v>
      </c>
      <c r="F3" s="2" t="s">
        <v>574</v>
      </c>
      <c r="G3" s="2">
        <v>1.0</v>
      </c>
      <c r="H3" s="2" t="s">
        <v>571</v>
      </c>
      <c r="I3" s="2" t="s">
        <v>575</v>
      </c>
      <c r="K3" s="2">
        <v>0.0</v>
      </c>
      <c r="L3" s="2">
        <v>0.0</v>
      </c>
      <c r="M3" s="2" t="s">
        <v>209</v>
      </c>
      <c r="N3" s="2" t="s">
        <v>24</v>
      </c>
      <c r="Q3" s="9" t="s">
        <v>857</v>
      </c>
    </row>
    <row r="4">
      <c r="A4" s="63">
        <v>46031.43823153935</v>
      </c>
      <c r="B4" s="2" t="s">
        <v>71</v>
      </c>
      <c r="C4" s="5">
        <v>46031.0</v>
      </c>
      <c r="D4" s="2" t="s">
        <v>19</v>
      </c>
      <c r="E4" s="2" t="s">
        <v>798</v>
      </c>
      <c r="F4" s="2" t="s">
        <v>578</v>
      </c>
      <c r="G4" s="2">
        <v>1.0</v>
      </c>
      <c r="H4" s="2" t="s">
        <v>571</v>
      </c>
      <c r="I4" s="2" t="s">
        <v>579</v>
      </c>
      <c r="K4" s="2">
        <v>0.0</v>
      </c>
      <c r="L4" s="2">
        <v>0.0</v>
      </c>
      <c r="M4" s="2" t="s">
        <v>209</v>
      </c>
      <c r="N4" s="2" t="s">
        <v>24</v>
      </c>
      <c r="Q4" s="9" t="s">
        <v>857</v>
      </c>
    </row>
    <row r="5">
      <c r="A5" s="63">
        <v>46031.43823153935</v>
      </c>
      <c r="B5" s="2" t="s">
        <v>71</v>
      </c>
      <c r="C5" s="5">
        <v>46031.0</v>
      </c>
      <c r="D5" s="2" t="s">
        <v>19</v>
      </c>
      <c r="E5" s="2" t="s">
        <v>798</v>
      </c>
      <c r="F5" s="2" t="s">
        <v>576</v>
      </c>
      <c r="G5" s="2">
        <v>1.0</v>
      </c>
      <c r="H5" s="2" t="s">
        <v>571</v>
      </c>
      <c r="I5" s="2" t="s">
        <v>577</v>
      </c>
      <c r="K5" s="2">
        <v>0.0</v>
      </c>
      <c r="L5" s="2">
        <v>0.0</v>
      </c>
      <c r="M5" s="2" t="s">
        <v>209</v>
      </c>
      <c r="N5" s="2" t="s">
        <v>24</v>
      </c>
      <c r="Q5" s="9" t="s">
        <v>857</v>
      </c>
    </row>
    <row r="6">
      <c r="A6" s="63">
        <v>46031.43823153935</v>
      </c>
      <c r="B6" s="2" t="s">
        <v>71</v>
      </c>
      <c r="C6" s="5">
        <v>46031.0</v>
      </c>
      <c r="D6" s="2" t="s">
        <v>19</v>
      </c>
      <c r="E6" s="2" t="s">
        <v>798</v>
      </c>
      <c r="F6" s="2" t="s">
        <v>690</v>
      </c>
      <c r="G6" s="2">
        <v>3.0</v>
      </c>
      <c r="H6" s="2" t="s">
        <v>66</v>
      </c>
      <c r="I6" s="2" t="s">
        <v>691</v>
      </c>
      <c r="K6" s="2">
        <v>0.0</v>
      </c>
      <c r="L6" s="2">
        <v>0.0</v>
      </c>
      <c r="M6" s="2" t="s">
        <v>209</v>
      </c>
      <c r="N6" s="2" t="s">
        <v>24</v>
      </c>
      <c r="Q6" s="9" t="s">
        <v>857</v>
      </c>
    </row>
    <row r="7">
      <c r="A7" s="63">
        <v>46031.43823153935</v>
      </c>
      <c r="B7" s="2" t="s">
        <v>71</v>
      </c>
      <c r="C7" s="5">
        <v>46031.0</v>
      </c>
      <c r="D7" s="2" t="s">
        <v>19</v>
      </c>
      <c r="E7" s="2" t="s">
        <v>798</v>
      </c>
      <c r="F7" s="2" t="s">
        <v>726</v>
      </c>
      <c r="G7" s="2">
        <v>1.0</v>
      </c>
      <c r="H7" s="2" t="s">
        <v>722</v>
      </c>
      <c r="I7" s="2" t="s">
        <v>727</v>
      </c>
      <c r="K7" s="2">
        <v>0.0</v>
      </c>
      <c r="L7" s="2">
        <v>0.0</v>
      </c>
      <c r="M7" s="2" t="s">
        <v>209</v>
      </c>
      <c r="N7" s="2" t="s">
        <v>24</v>
      </c>
      <c r="Q7" s="9" t="s">
        <v>857</v>
      </c>
    </row>
    <row r="8">
      <c r="A8" s="63">
        <v>46031.43823153935</v>
      </c>
      <c r="B8" s="2" t="s">
        <v>71</v>
      </c>
      <c r="C8" s="5">
        <v>46031.0</v>
      </c>
      <c r="D8" s="2" t="s">
        <v>19</v>
      </c>
      <c r="E8" s="2" t="s">
        <v>798</v>
      </c>
      <c r="F8" s="2" t="s">
        <v>580</v>
      </c>
      <c r="G8" s="2">
        <v>30.0</v>
      </c>
      <c r="H8" s="2" t="s">
        <v>66</v>
      </c>
      <c r="I8" s="2" t="s">
        <v>581</v>
      </c>
      <c r="K8" s="2">
        <v>0.0</v>
      </c>
      <c r="L8" s="2">
        <v>0.0</v>
      </c>
      <c r="M8" s="2" t="s">
        <v>209</v>
      </c>
      <c r="N8" s="2" t="s">
        <v>24</v>
      </c>
      <c r="Q8" s="9" t="s">
        <v>857</v>
      </c>
    </row>
    <row r="9">
      <c r="A9" s="63">
        <v>46031.43823153935</v>
      </c>
      <c r="B9" s="2" t="s">
        <v>71</v>
      </c>
      <c r="C9" s="5">
        <v>46031.0</v>
      </c>
      <c r="D9" s="2" t="s">
        <v>19</v>
      </c>
      <c r="E9" s="2" t="s">
        <v>798</v>
      </c>
      <c r="F9" s="2" t="s">
        <v>742</v>
      </c>
      <c r="G9" s="2">
        <v>1.0</v>
      </c>
      <c r="H9" s="2" t="s">
        <v>48</v>
      </c>
      <c r="I9" s="2" t="s">
        <v>743</v>
      </c>
      <c r="K9" s="2">
        <v>0.0</v>
      </c>
      <c r="L9" s="2">
        <v>0.0</v>
      </c>
      <c r="M9" s="2" t="s">
        <v>209</v>
      </c>
      <c r="N9" s="2" t="s">
        <v>24</v>
      </c>
      <c r="Q9" s="9" t="s">
        <v>857</v>
      </c>
    </row>
    <row r="10">
      <c r="A10" s="63">
        <v>46031.43823153935</v>
      </c>
      <c r="B10" s="2" t="s">
        <v>71</v>
      </c>
      <c r="C10" s="5">
        <v>46031.0</v>
      </c>
      <c r="D10" s="2" t="s">
        <v>19</v>
      </c>
      <c r="E10" s="2" t="s">
        <v>798</v>
      </c>
      <c r="F10" s="2" t="s">
        <v>622</v>
      </c>
      <c r="G10" s="2">
        <v>1.0</v>
      </c>
      <c r="H10" s="2" t="s">
        <v>21</v>
      </c>
      <c r="I10" s="2" t="s">
        <v>623</v>
      </c>
      <c r="K10" s="2">
        <v>0.0</v>
      </c>
      <c r="L10" s="2">
        <v>0.0</v>
      </c>
      <c r="M10" s="2" t="s">
        <v>209</v>
      </c>
      <c r="N10" s="2" t="s">
        <v>24</v>
      </c>
      <c r="Q10" s="9" t="s">
        <v>857</v>
      </c>
    </row>
    <row r="11">
      <c r="A11" s="63">
        <v>46031.43823153935</v>
      </c>
      <c r="B11" s="2" t="s">
        <v>71</v>
      </c>
      <c r="C11" s="5">
        <v>46031.0</v>
      </c>
      <c r="D11" s="2" t="s">
        <v>19</v>
      </c>
      <c r="E11" s="2" t="s">
        <v>798</v>
      </c>
      <c r="F11" s="2" t="s">
        <v>606</v>
      </c>
      <c r="G11" s="2">
        <v>5.0</v>
      </c>
      <c r="H11" s="2" t="s">
        <v>66</v>
      </c>
      <c r="I11" s="2" t="s">
        <v>607</v>
      </c>
      <c r="K11" s="2">
        <v>0.0</v>
      </c>
      <c r="L11" s="2">
        <v>0.0</v>
      </c>
      <c r="M11" s="2" t="s">
        <v>209</v>
      </c>
      <c r="N11" s="2" t="s">
        <v>24</v>
      </c>
      <c r="Q11" s="9" t="s">
        <v>857</v>
      </c>
    </row>
    <row r="12">
      <c r="A12" s="63">
        <v>46038.514049641206</v>
      </c>
      <c r="B12" s="2" t="s">
        <v>71</v>
      </c>
      <c r="C12" s="5">
        <v>46038.0</v>
      </c>
      <c r="D12" s="2" t="s">
        <v>19</v>
      </c>
      <c r="E12" s="2" t="s">
        <v>798</v>
      </c>
      <c r="F12" s="2" t="s">
        <v>578</v>
      </c>
      <c r="G12" s="2">
        <v>1.0</v>
      </c>
      <c r="H12" s="2" t="s">
        <v>571</v>
      </c>
      <c r="I12" s="2" t="s">
        <v>579</v>
      </c>
      <c r="K12" s="2">
        <v>0.0</v>
      </c>
      <c r="L12" s="2">
        <v>0.0</v>
      </c>
      <c r="M12" s="2" t="s">
        <v>209</v>
      </c>
      <c r="N12" s="2" t="s">
        <v>24</v>
      </c>
      <c r="Q12" s="9" t="s">
        <v>858</v>
      </c>
    </row>
    <row r="13">
      <c r="A13" s="63">
        <v>46038.514049641206</v>
      </c>
      <c r="B13" s="2" t="s">
        <v>71</v>
      </c>
      <c r="C13" s="5">
        <v>46038.0</v>
      </c>
      <c r="D13" s="2" t="s">
        <v>19</v>
      </c>
      <c r="E13" s="2" t="s">
        <v>798</v>
      </c>
      <c r="F13" s="2" t="s">
        <v>576</v>
      </c>
      <c r="G13" s="2">
        <v>1.0</v>
      </c>
      <c r="H13" s="2" t="s">
        <v>571</v>
      </c>
      <c r="I13" s="2" t="s">
        <v>577</v>
      </c>
      <c r="K13" s="2">
        <v>0.0</v>
      </c>
      <c r="L13" s="2">
        <v>0.0</v>
      </c>
      <c r="M13" s="2" t="s">
        <v>209</v>
      </c>
      <c r="N13" s="2" t="s">
        <v>24</v>
      </c>
      <c r="Q13" s="9" t="s">
        <v>858</v>
      </c>
    </row>
    <row r="14">
      <c r="A14" s="63">
        <v>46038.514049641206</v>
      </c>
      <c r="B14" s="2" t="s">
        <v>71</v>
      </c>
      <c r="C14" s="5">
        <v>46038.0</v>
      </c>
      <c r="D14" s="2" t="s">
        <v>19</v>
      </c>
      <c r="E14" s="2" t="s">
        <v>798</v>
      </c>
      <c r="F14" s="2" t="s">
        <v>590</v>
      </c>
      <c r="G14" s="2">
        <v>20.0</v>
      </c>
      <c r="H14" s="2" t="s">
        <v>66</v>
      </c>
      <c r="I14" s="2" t="s">
        <v>591</v>
      </c>
      <c r="K14" s="2">
        <v>0.0</v>
      </c>
      <c r="L14" s="2">
        <v>0.0</v>
      </c>
      <c r="M14" s="2" t="s">
        <v>209</v>
      </c>
      <c r="N14" s="2" t="s">
        <v>24</v>
      </c>
      <c r="Q14" s="9" t="s">
        <v>858</v>
      </c>
    </row>
    <row r="15">
      <c r="A15" s="63">
        <v>46038.514049641206</v>
      </c>
      <c r="B15" s="2" t="s">
        <v>71</v>
      </c>
      <c r="C15" s="5">
        <v>46038.0</v>
      </c>
      <c r="D15" s="2" t="s">
        <v>19</v>
      </c>
      <c r="E15" s="2" t="s">
        <v>798</v>
      </c>
      <c r="F15" s="2" t="s">
        <v>592</v>
      </c>
      <c r="G15" s="2">
        <v>20.0</v>
      </c>
      <c r="H15" s="2" t="s">
        <v>66</v>
      </c>
      <c r="I15" s="2" t="s">
        <v>593</v>
      </c>
      <c r="K15" s="2">
        <v>0.0</v>
      </c>
      <c r="L15" s="2">
        <v>0.0</v>
      </c>
      <c r="M15" s="2" t="s">
        <v>209</v>
      </c>
      <c r="N15" s="2" t="s">
        <v>24</v>
      </c>
      <c r="Q15" s="9" t="s">
        <v>858</v>
      </c>
    </row>
    <row r="16">
      <c r="A16" s="63">
        <v>46038.514049641206</v>
      </c>
      <c r="B16" s="2" t="s">
        <v>71</v>
      </c>
      <c r="C16" s="5">
        <v>46038.0</v>
      </c>
      <c r="D16" s="2" t="s">
        <v>19</v>
      </c>
      <c r="E16" s="2" t="s">
        <v>798</v>
      </c>
      <c r="F16" s="2" t="s">
        <v>732</v>
      </c>
      <c r="G16" s="2">
        <v>1.0</v>
      </c>
      <c r="H16" s="2" t="s">
        <v>722</v>
      </c>
      <c r="I16" s="2" t="s">
        <v>733</v>
      </c>
      <c r="K16" s="2">
        <v>0.0</v>
      </c>
      <c r="L16" s="2">
        <v>0.0</v>
      </c>
      <c r="M16" s="2" t="s">
        <v>209</v>
      </c>
      <c r="N16" s="2" t="s">
        <v>24</v>
      </c>
      <c r="Q16" s="9" t="s">
        <v>858</v>
      </c>
    </row>
    <row r="17">
      <c r="A17" s="63">
        <v>46038.514049641206</v>
      </c>
      <c r="B17" s="2" t="s">
        <v>71</v>
      </c>
      <c r="C17" s="5">
        <v>46038.0</v>
      </c>
      <c r="D17" s="2" t="s">
        <v>19</v>
      </c>
      <c r="E17" s="2" t="s">
        <v>798</v>
      </c>
      <c r="F17" s="2" t="s">
        <v>724</v>
      </c>
      <c r="G17" s="2">
        <v>1.0</v>
      </c>
      <c r="H17" s="2" t="s">
        <v>722</v>
      </c>
      <c r="I17" s="2" t="s">
        <v>725</v>
      </c>
      <c r="K17" s="2">
        <v>0.0</v>
      </c>
      <c r="L17" s="2">
        <v>0.0</v>
      </c>
      <c r="M17" s="2" t="s">
        <v>209</v>
      </c>
      <c r="N17" s="2" t="s">
        <v>24</v>
      </c>
      <c r="Q17" s="9" t="s">
        <v>858</v>
      </c>
    </row>
    <row r="18">
      <c r="A18" s="63">
        <v>46038.514049641206</v>
      </c>
      <c r="B18" s="2" t="s">
        <v>71</v>
      </c>
      <c r="C18" s="5">
        <v>46038.0</v>
      </c>
      <c r="D18" s="2" t="s">
        <v>19</v>
      </c>
      <c r="E18" s="2" t="s">
        <v>798</v>
      </c>
      <c r="F18" s="2" t="s">
        <v>728</v>
      </c>
      <c r="G18" s="2">
        <v>1.0</v>
      </c>
      <c r="H18" s="2" t="s">
        <v>722</v>
      </c>
      <c r="I18" s="2" t="s">
        <v>729</v>
      </c>
      <c r="K18" s="2">
        <v>0.0</v>
      </c>
      <c r="L18" s="2">
        <v>0.0</v>
      </c>
      <c r="M18" s="2" t="s">
        <v>209</v>
      </c>
      <c r="N18" s="2" t="s">
        <v>24</v>
      </c>
      <c r="Q18" s="9" t="s">
        <v>858</v>
      </c>
    </row>
    <row r="19">
      <c r="A19" s="63">
        <v>46038.514049641206</v>
      </c>
      <c r="B19" s="2" t="s">
        <v>71</v>
      </c>
      <c r="C19" s="5">
        <v>46038.0</v>
      </c>
      <c r="D19" s="2" t="s">
        <v>19</v>
      </c>
      <c r="E19" s="2" t="s">
        <v>798</v>
      </c>
      <c r="F19" s="2" t="s">
        <v>730</v>
      </c>
      <c r="G19" s="2">
        <v>1.0</v>
      </c>
      <c r="H19" s="2" t="s">
        <v>722</v>
      </c>
      <c r="I19" s="2" t="s">
        <v>731</v>
      </c>
      <c r="K19" s="2">
        <v>0.0</v>
      </c>
      <c r="L19" s="2">
        <v>0.0</v>
      </c>
      <c r="M19" s="2" t="s">
        <v>209</v>
      </c>
      <c r="N19" s="2" t="s">
        <v>24</v>
      </c>
      <c r="Q19" s="9" t="s">
        <v>858</v>
      </c>
    </row>
    <row r="20">
      <c r="A20" s="63">
        <v>46038.514049641206</v>
      </c>
      <c r="B20" s="2" t="s">
        <v>71</v>
      </c>
      <c r="C20" s="5">
        <v>46038.0</v>
      </c>
      <c r="D20" s="2" t="s">
        <v>19</v>
      </c>
      <c r="E20" s="2" t="s">
        <v>798</v>
      </c>
      <c r="F20" s="2" t="s">
        <v>726</v>
      </c>
      <c r="G20" s="2">
        <v>1.0</v>
      </c>
      <c r="H20" s="2" t="s">
        <v>722</v>
      </c>
      <c r="I20" s="2" t="s">
        <v>727</v>
      </c>
      <c r="K20" s="2">
        <v>0.0</v>
      </c>
      <c r="L20" s="2">
        <v>0.0</v>
      </c>
      <c r="M20" s="2" t="s">
        <v>209</v>
      </c>
      <c r="N20" s="2" t="s">
        <v>24</v>
      </c>
      <c r="Q20" s="9" t="s">
        <v>858</v>
      </c>
    </row>
    <row r="21">
      <c r="A21" s="63">
        <v>46038.514049641206</v>
      </c>
      <c r="B21" s="2" t="s">
        <v>71</v>
      </c>
      <c r="C21" s="5">
        <v>46038.0</v>
      </c>
      <c r="D21" s="2" t="s">
        <v>19</v>
      </c>
      <c r="E21" s="2" t="s">
        <v>798</v>
      </c>
      <c r="F21" s="2" t="s">
        <v>606</v>
      </c>
      <c r="G21" s="2">
        <v>4.0</v>
      </c>
      <c r="H21" s="2" t="s">
        <v>66</v>
      </c>
      <c r="I21" s="2" t="s">
        <v>607</v>
      </c>
      <c r="K21" s="2">
        <v>0.0</v>
      </c>
      <c r="L21" s="2">
        <v>0.0</v>
      </c>
      <c r="M21" s="2" t="s">
        <v>209</v>
      </c>
      <c r="N21" s="2" t="s">
        <v>24</v>
      </c>
      <c r="Q21" s="9" t="s">
        <v>858</v>
      </c>
    </row>
    <row r="22">
      <c r="A22" s="63">
        <v>46038.514049641206</v>
      </c>
      <c r="B22" s="2" t="s">
        <v>71</v>
      </c>
      <c r="C22" s="5">
        <v>46038.0</v>
      </c>
      <c r="D22" s="2" t="s">
        <v>19</v>
      </c>
      <c r="E22" s="2" t="s">
        <v>798</v>
      </c>
      <c r="F22" s="2" t="s">
        <v>608</v>
      </c>
      <c r="G22" s="2">
        <v>2.0</v>
      </c>
      <c r="H22" s="2" t="s">
        <v>66</v>
      </c>
      <c r="I22" s="2" t="s">
        <v>609</v>
      </c>
      <c r="K22" s="2">
        <v>0.0</v>
      </c>
      <c r="L22" s="2">
        <v>0.0</v>
      </c>
      <c r="M22" s="2" t="s">
        <v>209</v>
      </c>
      <c r="N22" s="2" t="s">
        <v>24</v>
      </c>
      <c r="Q22" s="9" t="s">
        <v>858</v>
      </c>
    </row>
    <row r="23">
      <c r="A23" s="63">
        <v>46038.514049641206</v>
      </c>
      <c r="B23" s="2" t="s">
        <v>71</v>
      </c>
      <c r="C23" s="5">
        <v>46038.0</v>
      </c>
      <c r="D23" s="2" t="s">
        <v>19</v>
      </c>
      <c r="E23" s="2" t="s">
        <v>798</v>
      </c>
      <c r="F23" s="2" t="s">
        <v>750</v>
      </c>
      <c r="G23" s="2">
        <v>1.0</v>
      </c>
      <c r="H23" s="2" t="s">
        <v>752</v>
      </c>
      <c r="I23" s="2" t="s">
        <v>751</v>
      </c>
      <c r="K23" s="2">
        <v>0.0</v>
      </c>
      <c r="L23" s="2">
        <v>0.0</v>
      </c>
      <c r="M23" s="2" t="s">
        <v>209</v>
      </c>
      <c r="N23" s="2" t="s">
        <v>24</v>
      </c>
      <c r="Q23" s="9" t="s">
        <v>858</v>
      </c>
    </row>
    <row r="24">
      <c r="A24" s="63">
        <v>46038.514049641206</v>
      </c>
      <c r="B24" s="2" t="s">
        <v>71</v>
      </c>
      <c r="C24" s="5">
        <v>46038.0</v>
      </c>
      <c r="D24" s="2" t="s">
        <v>19</v>
      </c>
      <c r="E24" s="2" t="s">
        <v>798</v>
      </c>
      <c r="F24" s="2" t="s">
        <v>640</v>
      </c>
      <c r="G24" s="2">
        <v>2.0</v>
      </c>
      <c r="H24" s="2" t="s">
        <v>66</v>
      </c>
      <c r="I24" s="2" t="s">
        <v>641</v>
      </c>
      <c r="K24" s="2">
        <v>0.0</v>
      </c>
      <c r="L24" s="2">
        <v>0.0</v>
      </c>
      <c r="M24" s="2" t="s">
        <v>209</v>
      </c>
      <c r="N24" s="2" t="s">
        <v>24</v>
      </c>
      <c r="Q24" s="9" t="s">
        <v>858</v>
      </c>
    </row>
    <row r="25">
      <c r="A25" s="63">
        <v>46038.514049641206</v>
      </c>
      <c r="B25" s="2" t="s">
        <v>71</v>
      </c>
      <c r="C25" s="5">
        <v>46038.0</v>
      </c>
      <c r="D25" s="2" t="s">
        <v>19</v>
      </c>
      <c r="E25" s="2" t="s">
        <v>798</v>
      </c>
      <c r="F25" s="2" t="s">
        <v>734</v>
      </c>
      <c r="G25" s="2">
        <v>20.0</v>
      </c>
      <c r="H25" s="2" t="s">
        <v>66</v>
      </c>
      <c r="I25" s="2" t="s">
        <v>735</v>
      </c>
      <c r="K25" s="2">
        <v>0.0</v>
      </c>
      <c r="L25" s="2">
        <v>0.0</v>
      </c>
      <c r="M25" s="2" t="s">
        <v>209</v>
      </c>
      <c r="N25" s="2" t="s">
        <v>24</v>
      </c>
      <c r="Q25" s="9" t="s">
        <v>858</v>
      </c>
    </row>
    <row r="26">
      <c r="A26" s="63">
        <v>46038.514049641206</v>
      </c>
      <c r="B26" s="2" t="s">
        <v>71</v>
      </c>
      <c r="C26" s="5">
        <v>46038.0</v>
      </c>
      <c r="D26" s="2" t="s">
        <v>19</v>
      </c>
      <c r="E26" s="2" t="s">
        <v>798</v>
      </c>
      <c r="F26" s="2" t="s">
        <v>764</v>
      </c>
      <c r="G26" s="2">
        <v>3.0</v>
      </c>
      <c r="H26" s="2" t="s">
        <v>822</v>
      </c>
      <c r="I26" s="2" t="s">
        <v>765</v>
      </c>
      <c r="K26" s="2">
        <v>0.0</v>
      </c>
      <c r="L26" s="2">
        <v>0.0</v>
      </c>
      <c r="M26" s="2" t="s">
        <v>209</v>
      </c>
      <c r="N26" s="2" t="s">
        <v>24</v>
      </c>
      <c r="Q26" s="9" t="s">
        <v>858</v>
      </c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</sheetData>
  <dataValidations>
    <dataValidation type="list" allowBlank="1" showErrorMessage="1" sqref="N1:N915">
      <formula1>"Pending,Approved"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</hyperlinks>
  <drawing r:id="rId26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0.25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5.88"/>
    <col customWidth="1" min="9" max="9" width="37.13"/>
    <col customWidth="1" min="10" max="10" width="6.0"/>
    <col customWidth="1" min="11" max="11" width="6.75"/>
    <col customWidth="1" min="12" max="12" width="4.5"/>
    <col customWidth="1" min="13" max="13" width="11.5"/>
    <col customWidth="1" min="14" max="14" width="13.0"/>
    <col customWidth="1" min="15" max="15" width="11.13"/>
    <col customWidth="1" min="16" max="16" width="10.38"/>
    <col customWidth="1" min="17" max="17" width="69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46034.66133236111</v>
      </c>
      <c r="B2" s="2" t="s">
        <v>313</v>
      </c>
      <c r="C2" s="5">
        <v>46034.0</v>
      </c>
      <c r="D2" s="2" t="s">
        <v>19</v>
      </c>
      <c r="E2" s="2" t="s">
        <v>798</v>
      </c>
      <c r="F2" s="2" t="s">
        <v>781</v>
      </c>
      <c r="G2" s="2">
        <v>2.0</v>
      </c>
      <c r="H2" s="2" t="s">
        <v>66</v>
      </c>
      <c r="I2" s="2" t="s">
        <v>126</v>
      </c>
      <c r="K2" s="2">
        <v>0.0</v>
      </c>
      <c r="L2" s="2">
        <v>0.0</v>
      </c>
      <c r="M2" s="2" t="s">
        <v>859</v>
      </c>
      <c r="N2" s="2" t="s">
        <v>24</v>
      </c>
      <c r="Q2" s="9" t="s">
        <v>860</v>
      </c>
    </row>
    <row r="3">
      <c r="N3" s="4"/>
    </row>
    <row r="4">
      <c r="N4" s="4"/>
    </row>
    <row r="5">
      <c r="N5" s="4"/>
    </row>
    <row r="6">
      <c r="N6" s="4"/>
    </row>
    <row r="7">
      <c r="N7" s="4"/>
    </row>
    <row r="8">
      <c r="N8" s="4"/>
    </row>
    <row r="9">
      <c r="N9" s="4"/>
    </row>
    <row r="10">
      <c r="N10" s="4"/>
    </row>
    <row r="11">
      <c r="N11" s="4"/>
    </row>
    <row r="12">
      <c r="N12" s="4"/>
    </row>
    <row r="13">
      <c r="N13" s="4"/>
    </row>
    <row r="14">
      <c r="N14" s="4"/>
    </row>
    <row r="15">
      <c r="N15" s="4"/>
    </row>
    <row r="16">
      <c r="N16" s="4"/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  <row r="972">
      <c r="N972" s="4"/>
    </row>
    <row r="973">
      <c r="N973" s="4"/>
    </row>
    <row r="974">
      <c r="N974" s="4"/>
    </row>
    <row r="975">
      <c r="N975" s="4"/>
    </row>
    <row r="976">
      <c r="N976" s="4"/>
    </row>
    <row r="977">
      <c r="N977" s="4"/>
    </row>
    <row r="978">
      <c r="N978" s="4"/>
    </row>
    <row r="979">
      <c r="N979" s="4"/>
    </row>
    <row r="980">
      <c r="N980" s="4"/>
    </row>
  </sheetData>
  <dataValidations>
    <dataValidation type="list" allowBlank="1" showErrorMessage="1" sqref="N1:N980">
      <formula1>"Approved,Pending"</formula1>
    </dataValidation>
  </dataValidations>
  <hyperlinks>
    <hyperlink r:id="rId1" ref="Q2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8.75"/>
    <col customWidth="1" min="3" max="3" width="9.5"/>
    <col customWidth="1" min="4" max="4" width="18.63"/>
    <col customWidth="1" min="5" max="5" width="16.5"/>
    <col customWidth="1" min="6" max="6" width="7.63"/>
    <col customWidth="1" min="7" max="7" width="3.63"/>
    <col customWidth="1" min="8" max="8" width="5.88"/>
    <col customWidth="1" min="9" max="9" width="27.88"/>
    <col customWidth="1" min="10" max="10" width="6.0"/>
    <col customWidth="1" min="11" max="11" width="6.75"/>
    <col customWidth="1" min="12" max="12" width="4.5"/>
    <col customWidth="1" min="13" max="13" width="17.88"/>
    <col customWidth="1" min="14" max="14" width="13.0"/>
    <col customWidth="1" min="15" max="15" width="11.13"/>
    <col customWidth="1" min="16" max="16" width="10.38"/>
    <col customWidth="1" min="17" max="17" width="71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46030.35504065972</v>
      </c>
      <c r="B2" s="2" t="s">
        <v>65</v>
      </c>
      <c r="C2" s="5">
        <v>46030.0</v>
      </c>
      <c r="D2" s="2" t="s">
        <v>19</v>
      </c>
      <c r="E2" s="2" t="s">
        <v>798</v>
      </c>
      <c r="F2" s="2" t="s">
        <v>750</v>
      </c>
      <c r="G2" s="2">
        <v>1.0</v>
      </c>
      <c r="H2" s="2" t="s">
        <v>752</v>
      </c>
      <c r="I2" s="2" t="s">
        <v>751</v>
      </c>
      <c r="K2" s="2">
        <v>0.0</v>
      </c>
      <c r="L2" s="2">
        <v>0.0</v>
      </c>
      <c r="M2" s="2" t="s">
        <v>294</v>
      </c>
      <c r="N2" s="2" t="s">
        <v>24</v>
      </c>
      <c r="Q2" s="9" t="s">
        <v>861</v>
      </c>
    </row>
    <row r="3">
      <c r="A3" s="63">
        <v>46030.35504065972</v>
      </c>
      <c r="B3" s="2" t="s">
        <v>65</v>
      </c>
      <c r="C3" s="5">
        <v>46030.0</v>
      </c>
      <c r="D3" s="2" t="s">
        <v>19</v>
      </c>
      <c r="E3" s="2" t="s">
        <v>798</v>
      </c>
      <c r="F3" s="2" t="s">
        <v>716</v>
      </c>
      <c r="G3" s="2">
        <v>1.0</v>
      </c>
      <c r="H3" s="2" t="s">
        <v>703</v>
      </c>
      <c r="I3" s="2" t="s">
        <v>717</v>
      </c>
      <c r="K3" s="2">
        <v>0.0</v>
      </c>
      <c r="L3" s="2">
        <v>0.0</v>
      </c>
      <c r="M3" s="2" t="s">
        <v>294</v>
      </c>
      <c r="N3" s="2" t="s">
        <v>24</v>
      </c>
      <c r="Q3" s="9" t="s">
        <v>861</v>
      </c>
    </row>
    <row r="4">
      <c r="A4" s="63">
        <v>46030.35504065972</v>
      </c>
      <c r="B4" s="2" t="s">
        <v>65</v>
      </c>
      <c r="C4" s="5">
        <v>46030.0</v>
      </c>
      <c r="D4" s="2" t="s">
        <v>19</v>
      </c>
      <c r="E4" s="2" t="s">
        <v>798</v>
      </c>
      <c r="F4" s="2" t="s">
        <v>758</v>
      </c>
      <c r="G4" s="2">
        <v>2.0</v>
      </c>
      <c r="H4" s="2" t="s">
        <v>822</v>
      </c>
      <c r="I4" s="2" t="s">
        <v>759</v>
      </c>
      <c r="K4" s="2">
        <v>0.0</v>
      </c>
      <c r="L4" s="2">
        <v>0.0</v>
      </c>
      <c r="M4" s="2" t="s">
        <v>294</v>
      </c>
      <c r="N4" s="2" t="s">
        <v>837</v>
      </c>
      <c r="Q4" s="9" t="s">
        <v>861</v>
      </c>
    </row>
    <row r="5">
      <c r="A5" s="63">
        <v>46030.35504065972</v>
      </c>
      <c r="B5" s="2" t="s">
        <v>65</v>
      </c>
      <c r="C5" s="5">
        <v>46030.0</v>
      </c>
      <c r="D5" s="2" t="s">
        <v>19</v>
      </c>
      <c r="E5" s="2" t="s">
        <v>798</v>
      </c>
      <c r="F5" s="2" t="s">
        <v>760</v>
      </c>
      <c r="G5" s="2">
        <v>1.0</v>
      </c>
      <c r="H5" s="2" t="s">
        <v>822</v>
      </c>
      <c r="I5" s="2" t="s">
        <v>761</v>
      </c>
      <c r="K5" s="2">
        <v>0.0</v>
      </c>
      <c r="L5" s="2">
        <v>0.0</v>
      </c>
      <c r="M5" s="2" t="s">
        <v>294</v>
      </c>
      <c r="N5" s="2" t="s">
        <v>24</v>
      </c>
      <c r="Q5" s="9" t="s">
        <v>861</v>
      </c>
    </row>
    <row r="6">
      <c r="A6" s="63">
        <v>46030.35504065972</v>
      </c>
      <c r="B6" s="2" t="s">
        <v>65</v>
      </c>
      <c r="C6" s="5">
        <v>46030.0</v>
      </c>
      <c r="D6" s="2" t="s">
        <v>19</v>
      </c>
      <c r="E6" s="2" t="s">
        <v>798</v>
      </c>
      <c r="F6" s="2" t="s">
        <v>580</v>
      </c>
      <c r="G6" s="2">
        <v>20.0</v>
      </c>
      <c r="H6" s="2" t="s">
        <v>66</v>
      </c>
      <c r="I6" s="2" t="s">
        <v>581</v>
      </c>
      <c r="K6" s="2">
        <v>0.0</v>
      </c>
      <c r="L6" s="2">
        <v>0.0</v>
      </c>
      <c r="M6" s="2" t="s">
        <v>294</v>
      </c>
      <c r="N6" s="2" t="s">
        <v>24</v>
      </c>
      <c r="Q6" s="9" t="s">
        <v>861</v>
      </c>
    </row>
    <row r="7">
      <c r="A7" s="63">
        <v>46030.35504065972</v>
      </c>
      <c r="B7" s="2" t="s">
        <v>65</v>
      </c>
      <c r="C7" s="5">
        <v>46030.0</v>
      </c>
      <c r="D7" s="2" t="s">
        <v>19</v>
      </c>
      <c r="E7" s="2" t="s">
        <v>798</v>
      </c>
      <c r="F7" s="2" t="s">
        <v>592</v>
      </c>
      <c r="G7" s="2">
        <v>30.0</v>
      </c>
      <c r="H7" s="2" t="s">
        <v>66</v>
      </c>
      <c r="I7" s="2" t="s">
        <v>593</v>
      </c>
      <c r="K7" s="2">
        <v>0.0</v>
      </c>
      <c r="L7" s="2">
        <v>0.0</v>
      </c>
      <c r="M7" s="2" t="s">
        <v>294</v>
      </c>
      <c r="N7" s="2" t="s">
        <v>24</v>
      </c>
      <c r="Q7" s="9" t="s">
        <v>861</v>
      </c>
    </row>
    <row r="8">
      <c r="A8" s="63">
        <v>46030.35504065972</v>
      </c>
      <c r="B8" s="2" t="s">
        <v>65</v>
      </c>
      <c r="C8" s="5">
        <v>46030.0</v>
      </c>
      <c r="D8" s="2" t="s">
        <v>19</v>
      </c>
      <c r="E8" s="2" t="s">
        <v>798</v>
      </c>
      <c r="F8" s="2" t="s">
        <v>614</v>
      </c>
      <c r="G8" s="2">
        <v>2.0</v>
      </c>
      <c r="H8" s="2" t="s">
        <v>66</v>
      </c>
      <c r="I8" s="2" t="s">
        <v>615</v>
      </c>
      <c r="K8" s="2">
        <v>0.0</v>
      </c>
      <c r="L8" s="2">
        <v>0.0</v>
      </c>
      <c r="M8" s="2" t="s">
        <v>294</v>
      </c>
      <c r="N8" s="2" t="s">
        <v>24</v>
      </c>
      <c r="Q8" s="9" t="s">
        <v>861</v>
      </c>
    </row>
    <row r="9">
      <c r="A9" s="63">
        <v>46030.35504065972</v>
      </c>
      <c r="B9" s="2" t="s">
        <v>65</v>
      </c>
      <c r="C9" s="5">
        <v>46030.0</v>
      </c>
      <c r="D9" s="2" t="s">
        <v>19</v>
      </c>
      <c r="E9" s="2" t="s">
        <v>798</v>
      </c>
      <c r="F9" s="2" t="s">
        <v>590</v>
      </c>
      <c r="G9" s="2">
        <v>10.0</v>
      </c>
      <c r="H9" s="2" t="s">
        <v>66</v>
      </c>
      <c r="I9" s="2" t="s">
        <v>591</v>
      </c>
      <c r="K9" s="2">
        <v>0.0</v>
      </c>
      <c r="L9" s="2">
        <v>0.0</v>
      </c>
      <c r="M9" s="2" t="s">
        <v>294</v>
      </c>
      <c r="N9" s="2" t="s">
        <v>24</v>
      </c>
      <c r="Q9" s="9" t="s">
        <v>861</v>
      </c>
    </row>
    <row r="10">
      <c r="A10" s="63">
        <v>46035.44403796297</v>
      </c>
      <c r="B10" s="2" t="s">
        <v>65</v>
      </c>
      <c r="C10" s="5">
        <v>46035.0</v>
      </c>
      <c r="D10" s="2" t="s">
        <v>19</v>
      </c>
      <c r="E10" s="2" t="s">
        <v>798</v>
      </c>
      <c r="F10" s="2" t="s">
        <v>569</v>
      </c>
      <c r="G10" s="2">
        <v>1.0</v>
      </c>
      <c r="H10" s="2" t="s">
        <v>571</v>
      </c>
      <c r="I10" s="2" t="s">
        <v>570</v>
      </c>
      <c r="K10" s="2">
        <v>0.0</v>
      </c>
      <c r="L10" s="2">
        <v>0.0</v>
      </c>
      <c r="M10" s="2" t="s">
        <v>294</v>
      </c>
      <c r="N10" s="2" t="s">
        <v>24</v>
      </c>
      <c r="Q10" s="9" t="s">
        <v>862</v>
      </c>
    </row>
    <row r="11">
      <c r="A11" s="63">
        <v>46035.44403796297</v>
      </c>
      <c r="B11" s="2" t="s">
        <v>65</v>
      </c>
      <c r="C11" s="5">
        <v>46035.0</v>
      </c>
      <c r="D11" s="2" t="s">
        <v>19</v>
      </c>
      <c r="E11" s="2" t="s">
        <v>798</v>
      </c>
      <c r="F11" s="2" t="s">
        <v>576</v>
      </c>
      <c r="G11" s="2">
        <v>1.0</v>
      </c>
      <c r="H11" s="2" t="s">
        <v>571</v>
      </c>
      <c r="I11" s="2" t="s">
        <v>577</v>
      </c>
      <c r="K11" s="2">
        <v>0.0</v>
      </c>
      <c r="L11" s="2">
        <v>0.0</v>
      </c>
      <c r="M11" s="2" t="s">
        <v>294</v>
      </c>
      <c r="N11" s="2" t="s">
        <v>24</v>
      </c>
      <c r="Q11" s="9" t="s">
        <v>862</v>
      </c>
    </row>
    <row r="12">
      <c r="A12" s="63">
        <v>46035.44403796297</v>
      </c>
      <c r="B12" s="2" t="s">
        <v>65</v>
      </c>
      <c r="C12" s="5">
        <v>46035.0</v>
      </c>
      <c r="D12" s="2" t="s">
        <v>19</v>
      </c>
      <c r="E12" s="2" t="s">
        <v>798</v>
      </c>
      <c r="F12" s="2" t="s">
        <v>701</v>
      </c>
      <c r="G12" s="2">
        <v>1.0</v>
      </c>
      <c r="H12" s="2" t="s">
        <v>703</v>
      </c>
      <c r="I12" s="2" t="s">
        <v>702</v>
      </c>
      <c r="K12" s="2">
        <v>0.0</v>
      </c>
      <c r="L12" s="2">
        <v>0.0</v>
      </c>
      <c r="M12" s="2" t="s">
        <v>294</v>
      </c>
      <c r="N12" s="2" t="s">
        <v>24</v>
      </c>
      <c r="Q12" s="9" t="s">
        <v>862</v>
      </c>
    </row>
    <row r="13">
      <c r="A13" s="63">
        <v>46035.44403796297</v>
      </c>
      <c r="B13" s="2" t="s">
        <v>65</v>
      </c>
      <c r="C13" s="5">
        <v>46035.0</v>
      </c>
      <c r="D13" s="2" t="s">
        <v>19</v>
      </c>
      <c r="E13" s="2" t="s">
        <v>798</v>
      </c>
      <c r="F13" s="2" t="s">
        <v>775</v>
      </c>
      <c r="G13" s="2">
        <v>1.0</v>
      </c>
      <c r="H13" s="2" t="s">
        <v>21</v>
      </c>
      <c r="I13" s="2" t="s">
        <v>776</v>
      </c>
      <c r="K13" s="2">
        <v>0.0</v>
      </c>
      <c r="L13" s="2">
        <v>0.0</v>
      </c>
      <c r="M13" s="2" t="s">
        <v>294</v>
      </c>
      <c r="N13" s="2" t="s">
        <v>24</v>
      </c>
      <c r="Q13" s="9" t="s">
        <v>862</v>
      </c>
    </row>
    <row r="14">
      <c r="A14" s="63">
        <v>46035.44403796297</v>
      </c>
      <c r="B14" s="2" t="s">
        <v>65</v>
      </c>
      <c r="C14" s="5">
        <v>46035.0</v>
      </c>
      <c r="D14" s="2" t="s">
        <v>19</v>
      </c>
      <c r="E14" s="2" t="s">
        <v>798</v>
      </c>
      <c r="F14" s="2" t="s">
        <v>758</v>
      </c>
      <c r="G14" s="2">
        <v>1.0</v>
      </c>
      <c r="H14" s="2" t="s">
        <v>755</v>
      </c>
      <c r="I14" s="2" t="s">
        <v>759</v>
      </c>
      <c r="K14" s="2">
        <v>0.0</v>
      </c>
      <c r="L14" s="2">
        <v>0.0</v>
      </c>
      <c r="M14" s="2" t="s">
        <v>294</v>
      </c>
      <c r="N14" s="2" t="s">
        <v>24</v>
      </c>
      <c r="Q14" s="9" t="s">
        <v>862</v>
      </c>
    </row>
    <row r="15">
      <c r="A15" s="63">
        <v>46035.44403796297</v>
      </c>
      <c r="B15" s="2" t="s">
        <v>65</v>
      </c>
      <c r="C15" s="5">
        <v>46035.0</v>
      </c>
      <c r="D15" s="2" t="s">
        <v>19</v>
      </c>
      <c r="E15" s="2" t="s">
        <v>798</v>
      </c>
      <c r="F15" s="2" t="s">
        <v>756</v>
      </c>
      <c r="G15" s="2">
        <v>1.0</v>
      </c>
      <c r="H15" s="2" t="s">
        <v>822</v>
      </c>
      <c r="I15" s="2" t="s">
        <v>757</v>
      </c>
      <c r="K15" s="2">
        <v>0.0</v>
      </c>
      <c r="L15" s="2">
        <v>0.0</v>
      </c>
      <c r="M15" s="2" t="s">
        <v>294</v>
      </c>
      <c r="N15" s="2" t="s">
        <v>24</v>
      </c>
      <c r="Q15" s="9" t="s">
        <v>862</v>
      </c>
    </row>
    <row r="16">
      <c r="A16" s="63">
        <v>46043.70715469908</v>
      </c>
      <c r="B16" s="2" t="s">
        <v>65</v>
      </c>
      <c r="C16" s="5">
        <v>46043.0</v>
      </c>
      <c r="D16" s="2" t="s">
        <v>19</v>
      </c>
      <c r="E16" s="2" t="s">
        <v>798</v>
      </c>
      <c r="F16" s="2" t="s">
        <v>606</v>
      </c>
      <c r="G16" s="2">
        <v>5.0</v>
      </c>
      <c r="H16" s="2" t="s">
        <v>66</v>
      </c>
      <c r="I16" s="2" t="s">
        <v>607</v>
      </c>
      <c r="K16" s="2">
        <v>0.0</v>
      </c>
      <c r="L16" s="2">
        <v>0.0</v>
      </c>
      <c r="M16" s="2" t="s">
        <v>863</v>
      </c>
      <c r="N16" s="2" t="s">
        <v>24</v>
      </c>
      <c r="Q16" s="9" t="s">
        <v>864</v>
      </c>
    </row>
    <row r="17">
      <c r="A17" s="63">
        <v>46043.70715469908</v>
      </c>
      <c r="B17" s="2" t="s">
        <v>65</v>
      </c>
      <c r="C17" s="5">
        <v>46043.0</v>
      </c>
      <c r="D17" s="2" t="s">
        <v>19</v>
      </c>
      <c r="E17" s="2" t="s">
        <v>798</v>
      </c>
      <c r="F17" s="2" t="s">
        <v>750</v>
      </c>
      <c r="G17" s="2">
        <v>1.0</v>
      </c>
      <c r="H17" s="2" t="s">
        <v>841</v>
      </c>
      <c r="I17" s="2" t="s">
        <v>751</v>
      </c>
      <c r="K17" s="2">
        <v>0.0</v>
      </c>
      <c r="L17" s="2">
        <v>0.0</v>
      </c>
      <c r="M17" s="2" t="s">
        <v>863</v>
      </c>
      <c r="N17" s="2" t="s">
        <v>24</v>
      </c>
      <c r="Q17" s="9" t="s">
        <v>864</v>
      </c>
    </row>
    <row r="18">
      <c r="A18" s="63">
        <v>46043.70715469908</v>
      </c>
      <c r="B18" s="2" t="s">
        <v>65</v>
      </c>
      <c r="C18" s="5">
        <v>46043.0</v>
      </c>
      <c r="D18" s="2" t="s">
        <v>19</v>
      </c>
      <c r="E18" s="2" t="s">
        <v>798</v>
      </c>
      <c r="F18" s="2" t="s">
        <v>640</v>
      </c>
      <c r="G18" s="2">
        <v>2.0</v>
      </c>
      <c r="H18" s="2" t="s">
        <v>66</v>
      </c>
      <c r="I18" s="2" t="s">
        <v>641</v>
      </c>
      <c r="K18" s="2">
        <v>0.0</v>
      </c>
      <c r="L18" s="2">
        <v>0.0</v>
      </c>
      <c r="M18" s="2" t="s">
        <v>863</v>
      </c>
      <c r="N18" s="2" t="s">
        <v>24</v>
      </c>
      <c r="Q18" s="9" t="s">
        <v>864</v>
      </c>
    </row>
    <row r="19">
      <c r="A19" s="63">
        <v>46043.70715469908</v>
      </c>
      <c r="B19" s="2" t="s">
        <v>65</v>
      </c>
      <c r="C19" s="5">
        <v>46043.0</v>
      </c>
      <c r="D19" s="2" t="s">
        <v>19</v>
      </c>
      <c r="E19" s="2" t="s">
        <v>798</v>
      </c>
      <c r="F19" s="2" t="s">
        <v>608</v>
      </c>
      <c r="G19" s="2">
        <v>5.0</v>
      </c>
      <c r="H19" s="2" t="s">
        <v>66</v>
      </c>
      <c r="I19" s="2" t="s">
        <v>609</v>
      </c>
      <c r="K19" s="2">
        <v>0.0</v>
      </c>
      <c r="L19" s="2">
        <v>0.0</v>
      </c>
      <c r="M19" s="2" t="s">
        <v>863</v>
      </c>
      <c r="N19" s="2" t="s">
        <v>24</v>
      </c>
      <c r="Q19" s="9" t="s">
        <v>864</v>
      </c>
    </row>
    <row r="20">
      <c r="A20" s="63">
        <v>46044.40385973379</v>
      </c>
      <c r="B20" s="2" t="s">
        <v>65</v>
      </c>
      <c r="C20" s="5">
        <v>46044.0</v>
      </c>
      <c r="D20" s="2" t="s">
        <v>19</v>
      </c>
      <c r="E20" s="2" t="s">
        <v>798</v>
      </c>
      <c r="F20" s="2" t="s">
        <v>680</v>
      </c>
      <c r="G20" s="2">
        <v>1.0</v>
      </c>
      <c r="H20" s="2" t="s">
        <v>21</v>
      </c>
      <c r="I20" s="2" t="s">
        <v>681</v>
      </c>
      <c r="K20" s="2">
        <v>0.0</v>
      </c>
      <c r="L20" s="2">
        <v>0.0</v>
      </c>
      <c r="M20" s="2" t="s">
        <v>865</v>
      </c>
      <c r="N20" s="2" t="s">
        <v>24</v>
      </c>
      <c r="Q20" s="9" t="s">
        <v>866</v>
      </c>
    </row>
    <row r="21">
      <c r="A21" s="63">
        <v>46044.40385973379</v>
      </c>
      <c r="B21" s="2" t="s">
        <v>65</v>
      </c>
      <c r="C21" s="5">
        <v>46044.0</v>
      </c>
      <c r="D21" s="2" t="s">
        <v>19</v>
      </c>
      <c r="E21" s="2" t="s">
        <v>798</v>
      </c>
      <c r="F21" s="2" t="s">
        <v>682</v>
      </c>
      <c r="G21" s="2">
        <v>1.0</v>
      </c>
      <c r="H21" s="2" t="s">
        <v>21</v>
      </c>
      <c r="I21" s="2" t="s">
        <v>683</v>
      </c>
      <c r="K21" s="2">
        <v>0.0</v>
      </c>
      <c r="L21" s="2">
        <v>0.0</v>
      </c>
      <c r="M21" s="2" t="s">
        <v>865</v>
      </c>
      <c r="N21" s="2" t="s">
        <v>24</v>
      </c>
      <c r="Q21" s="9" t="s">
        <v>866</v>
      </c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</sheetData>
  <dataValidations>
    <dataValidation type="list" allowBlank="1" showErrorMessage="1" sqref="N1:N968">
      <formula1>"Pending,Approved,No Stock"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</hyperlinks>
  <drawing r:id="rId2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7.25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5.88"/>
    <col customWidth="1" min="9" max="9" width="40.63"/>
    <col customWidth="1" min="10" max="10" width="6.0"/>
    <col customWidth="1" min="11" max="11" width="6.75"/>
    <col customWidth="1" min="12" max="12" width="4.5"/>
    <col customWidth="1" min="13" max="13" width="17.25"/>
    <col customWidth="1" min="14" max="14" width="13.0"/>
    <col customWidth="1" min="15" max="15" width="11.13"/>
    <col customWidth="1" min="16" max="16" width="10.38"/>
    <col customWidth="1" min="17" max="17" width="70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46034.55003892361</v>
      </c>
      <c r="B2" s="2" t="s">
        <v>164</v>
      </c>
      <c r="C2" s="5">
        <v>46034.0</v>
      </c>
      <c r="D2" s="2" t="s">
        <v>19</v>
      </c>
      <c r="E2" s="2" t="s">
        <v>798</v>
      </c>
      <c r="F2" s="2" t="s">
        <v>569</v>
      </c>
      <c r="G2" s="2">
        <v>1.0</v>
      </c>
      <c r="H2" s="2" t="s">
        <v>571</v>
      </c>
      <c r="I2" s="2" t="s">
        <v>570</v>
      </c>
      <c r="K2" s="2">
        <v>0.0</v>
      </c>
      <c r="L2" s="2">
        <v>0.0</v>
      </c>
      <c r="M2" s="2" t="s">
        <v>393</v>
      </c>
      <c r="N2" s="2" t="s">
        <v>24</v>
      </c>
      <c r="Q2" s="9" t="s">
        <v>867</v>
      </c>
    </row>
    <row r="3">
      <c r="A3" s="63">
        <v>46034.55003892361</v>
      </c>
      <c r="B3" s="2" t="s">
        <v>164</v>
      </c>
      <c r="C3" s="5">
        <v>46034.0</v>
      </c>
      <c r="D3" s="2" t="s">
        <v>19</v>
      </c>
      <c r="E3" s="2" t="s">
        <v>798</v>
      </c>
      <c r="F3" s="2" t="s">
        <v>572</v>
      </c>
      <c r="G3" s="2">
        <v>1.0</v>
      </c>
      <c r="H3" s="2" t="s">
        <v>571</v>
      </c>
      <c r="I3" s="2" t="s">
        <v>573</v>
      </c>
      <c r="K3" s="2">
        <v>0.0</v>
      </c>
      <c r="L3" s="2">
        <v>0.0</v>
      </c>
      <c r="M3" s="2" t="s">
        <v>393</v>
      </c>
      <c r="N3" s="2" t="s">
        <v>24</v>
      </c>
      <c r="Q3" s="9" t="s">
        <v>867</v>
      </c>
    </row>
    <row r="4">
      <c r="A4" s="63">
        <v>46034.55003892361</v>
      </c>
      <c r="B4" s="2" t="s">
        <v>164</v>
      </c>
      <c r="C4" s="5">
        <v>46034.0</v>
      </c>
      <c r="D4" s="2" t="s">
        <v>19</v>
      </c>
      <c r="E4" s="2" t="s">
        <v>798</v>
      </c>
      <c r="F4" s="2" t="s">
        <v>690</v>
      </c>
      <c r="G4" s="2">
        <v>3.0</v>
      </c>
      <c r="H4" s="2" t="s">
        <v>66</v>
      </c>
      <c r="I4" s="2" t="s">
        <v>691</v>
      </c>
      <c r="K4" s="2">
        <v>0.0</v>
      </c>
      <c r="L4" s="2">
        <v>0.0</v>
      </c>
      <c r="M4" s="2" t="s">
        <v>393</v>
      </c>
      <c r="N4" s="2" t="s">
        <v>24</v>
      </c>
      <c r="Q4" s="9" t="s">
        <v>867</v>
      </c>
    </row>
    <row r="5">
      <c r="A5" s="63">
        <v>46034.55003892361</v>
      </c>
      <c r="B5" s="2" t="s">
        <v>164</v>
      </c>
      <c r="C5" s="5">
        <v>46034.0</v>
      </c>
      <c r="D5" s="2" t="s">
        <v>19</v>
      </c>
      <c r="E5" s="2" t="s">
        <v>798</v>
      </c>
      <c r="F5" s="2" t="s">
        <v>606</v>
      </c>
      <c r="G5" s="2">
        <v>3.0</v>
      </c>
      <c r="H5" s="2" t="s">
        <v>66</v>
      </c>
      <c r="I5" s="2" t="s">
        <v>607</v>
      </c>
      <c r="K5" s="2">
        <v>0.0</v>
      </c>
      <c r="L5" s="2">
        <v>0.0</v>
      </c>
      <c r="M5" s="2" t="s">
        <v>393</v>
      </c>
      <c r="N5" s="2" t="s">
        <v>24</v>
      </c>
      <c r="Q5" s="9" t="s">
        <v>867</v>
      </c>
    </row>
    <row r="6">
      <c r="A6" s="63">
        <v>46034.55003892361</v>
      </c>
      <c r="B6" s="2" t="s">
        <v>164</v>
      </c>
      <c r="C6" s="5">
        <v>46034.0</v>
      </c>
      <c r="D6" s="2" t="s">
        <v>19</v>
      </c>
      <c r="E6" s="2" t="s">
        <v>798</v>
      </c>
      <c r="F6" s="2" t="s">
        <v>678</v>
      </c>
      <c r="G6" s="2">
        <v>6.0</v>
      </c>
      <c r="H6" s="2" t="s">
        <v>66</v>
      </c>
      <c r="I6" s="2" t="s">
        <v>679</v>
      </c>
      <c r="K6" s="2">
        <v>0.0</v>
      </c>
      <c r="L6" s="2">
        <v>0.0</v>
      </c>
      <c r="M6" s="2" t="s">
        <v>393</v>
      </c>
      <c r="N6" s="2" t="s">
        <v>24</v>
      </c>
      <c r="Q6" s="9" t="s">
        <v>867</v>
      </c>
    </row>
    <row r="7">
      <c r="A7" s="63">
        <v>46034.55003892361</v>
      </c>
      <c r="B7" s="2" t="s">
        <v>164</v>
      </c>
      <c r="C7" s="5">
        <v>46034.0</v>
      </c>
      <c r="D7" s="2" t="s">
        <v>19</v>
      </c>
      <c r="E7" s="2" t="s">
        <v>798</v>
      </c>
      <c r="F7" s="2" t="s">
        <v>618</v>
      </c>
      <c r="G7" s="2">
        <v>1.0</v>
      </c>
      <c r="H7" s="2" t="s">
        <v>21</v>
      </c>
      <c r="I7" s="2" t="s">
        <v>619</v>
      </c>
      <c r="K7" s="2">
        <v>0.0</v>
      </c>
      <c r="L7" s="2">
        <v>0.0</v>
      </c>
      <c r="M7" s="2" t="s">
        <v>393</v>
      </c>
      <c r="N7" s="2" t="s">
        <v>24</v>
      </c>
      <c r="Q7" s="9" t="s">
        <v>867</v>
      </c>
    </row>
    <row r="8">
      <c r="A8" s="63">
        <v>46034.55003892361</v>
      </c>
      <c r="B8" s="2" t="s">
        <v>164</v>
      </c>
      <c r="C8" s="5">
        <v>46034.0</v>
      </c>
      <c r="D8" s="2" t="s">
        <v>19</v>
      </c>
      <c r="E8" s="2" t="s">
        <v>798</v>
      </c>
      <c r="F8" s="2" t="s">
        <v>686</v>
      </c>
      <c r="G8" s="2">
        <v>2.0</v>
      </c>
      <c r="H8" s="2" t="s">
        <v>66</v>
      </c>
      <c r="I8" s="2" t="s">
        <v>687</v>
      </c>
      <c r="K8" s="2">
        <v>0.0</v>
      </c>
      <c r="L8" s="2">
        <v>0.0</v>
      </c>
      <c r="M8" s="2" t="s">
        <v>393</v>
      </c>
      <c r="N8" s="2" t="s">
        <v>24</v>
      </c>
      <c r="Q8" s="9" t="s">
        <v>867</v>
      </c>
    </row>
    <row r="9">
      <c r="A9" s="63">
        <v>46034.55003892361</v>
      </c>
      <c r="B9" s="2" t="s">
        <v>164</v>
      </c>
      <c r="C9" s="5">
        <v>46034.0</v>
      </c>
      <c r="D9" s="2" t="s">
        <v>19</v>
      </c>
      <c r="E9" s="2" t="s">
        <v>798</v>
      </c>
      <c r="F9" s="2" t="s">
        <v>753</v>
      </c>
      <c r="G9" s="2">
        <v>1.0</v>
      </c>
      <c r="H9" s="2" t="s">
        <v>755</v>
      </c>
      <c r="I9" s="2" t="s">
        <v>754</v>
      </c>
      <c r="K9" s="2">
        <v>0.0</v>
      </c>
      <c r="L9" s="2">
        <v>0.0</v>
      </c>
      <c r="M9" s="2" t="s">
        <v>393</v>
      </c>
      <c r="N9" s="2" t="s">
        <v>24</v>
      </c>
      <c r="Q9" s="9" t="s">
        <v>867</v>
      </c>
    </row>
    <row r="10">
      <c r="A10" s="63">
        <v>46034.55003892361</v>
      </c>
      <c r="B10" s="2" t="s">
        <v>164</v>
      </c>
      <c r="C10" s="5">
        <v>46034.0</v>
      </c>
      <c r="D10" s="2" t="s">
        <v>19</v>
      </c>
      <c r="E10" s="2" t="s">
        <v>798</v>
      </c>
      <c r="F10" s="2" t="s">
        <v>742</v>
      </c>
      <c r="G10" s="2">
        <v>1.0</v>
      </c>
      <c r="H10" s="2" t="s">
        <v>868</v>
      </c>
      <c r="I10" s="2" t="s">
        <v>743</v>
      </c>
      <c r="K10" s="2">
        <v>0.0</v>
      </c>
      <c r="L10" s="2">
        <v>0.0</v>
      </c>
      <c r="M10" s="2" t="s">
        <v>393</v>
      </c>
      <c r="N10" s="2" t="s">
        <v>24</v>
      </c>
      <c r="Q10" s="9" t="s">
        <v>867</v>
      </c>
    </row>
    <row r="11">
      <c r="A11" s="63">
        <v>46034.55003892361</v>
      </c>
      <c r="B11" s="2" t="s">
        <v>164</v>
      </c>
      <c r="C11" s="5">
        <v>46034.0</v>
      </c>
      <c r="D11" s="2" t="s">
        <v>19</v>
      </c>
      <c r="E11" s="2" t="s">
        <v>798</v>
      </c>
      <c r="F11" s="2" t="s">
        <v>588</v>
      </c>
      <c r="G11" s="2">
        <v>20.0</v>
      </c>
      <c r="H11" s="2" t="s">
        <v>66</v>
      </c>
      <c r="I11" s="2" t="s">
        <v>589</v>
      </c>
      <c r="K11" s="2">
        <v>0.0</v>
      </c>
      <c r="L11" s="2">
        <v>0.0</v>
      </c>
      <c r="M11" s="2" t="s">
        <v>393</v>
      </c>
      <c r="N11" s="2" t="s">
        <v>24</v>
      </c>
      <c r="Q11" s="9" t="s">
        <v>867</v>
      </c>
    </row>
    <row r="12">
      <c r="A12" s="63">
        <v>46034.55003892361</v>
      </c>
      <c r="B12" s="2" t="s">
        <v>164</v>
      </c>
      <c r="C12" s="5">
        <v>46034.0</v>
      </c>
      <c r="D12" s="2" t="s">
        <v>19</v>
      </c>
      <c r="E12" s="2" t="s">
        <v>798</v>
      </c>
      <c r="F12" s="2" t="s">
        <v>592</v>
      </c>
      <c r="G12" s="2">
        <v>20.0</v>
      </c>
      <c r="H12" s="2" t="s">
        <v>66</v>
      </c>
      <c r="I12" s="2" t="s">
        <v>593</v>
      </c>
      <c r="K12" s="2">
        <v>0.0</v>
      </c>
      <c r="L12" s="2">
        <v>0.0</v>
      </c>
      <c r="M12" s="2" t="s">
        <v>393</v>
      </c>
      <c r="N12" s="2" t="s">
        <v>24</v>
      </c>
      <c r="Q12" s="9" t="s">
        <v>867</v>
      </c>
    </row>
    <row r="13">
      <c r="N13" s="4"/>
    </row>
    <row r="14">
      <c r="N14" s="4"/>
    </row>
    <row r="15">
      <c r="N15" s="4"/>
    </row>
    <row r="16">
      <c r="N16" s="4"/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  <row r="972">
      <c r="N972" s="4"/>
    </row>
    <row r="973">
      <c r="N973" s="4"/>
    </row>
    <row r="974">
      <c r="N974" s="4"/>
    </row>
    <row r="975">
      <c r="N975" s="4"/>
    </row>
    <row r="976">
      <c r="N976" s="4"/>
    </row>
    <row r="977">
      <c r="N977" s="4"/>
    </row>
  </sheetData>
  <dataValidations>
    <dataValidation type="list" allowBlank="1" showErrorMessage="1" sqref="N1:N977">
      <formula1>"Approved,Pending"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</hyperlinks>
  <drawing r:id="rId1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7.88"/>
    <col customWidth="1" min="3" max="3" width="9.5"/>
    <col customWidth="1" min="4" max="4" width="18.63"/>
    <col customWidth="1" min="5" max="5" width="15.75"/>
    <col customWidth="1" min="6" max="6" width="7.63"/>
    <col customWidth="1" min="7" max="7" width="3.63"/>
    <col customWidth="1" min="8" max="8" width="6.5"/>
    <col customWidth="1" min="9" max="9" width="25.25"/>
    <col customWidth="1" min="10" max="10" width="7.25"/>
    <col customWidth="1" min="11" max="11" width="6.75"/>
    <col customWidth="1" min="12" max="12" width="4.5"/>
    <col customWidth="1" min="13" max="13" width="17.88"/>
    <col customWidth="1" min="14" max="14" width="13.0"/>
    <col customWidth="1" min="15" max="15" width="11.13"/>
    <col customWidth="1" min="16" max="16" width="10.38"/>
    <col customWidth="1" min="17" max="17" width="69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46035.50798912037</v>
      </c>
      <c r="B2" s="2" t="s">
        <v>220</v>
      </c>
      <c r="C2" s="5">
        <v>46035.0</v>
      </c>
      <c r="D2" s="2" t="s">
        <v>19</v>
      </c>
      <c r="E2" s="2" t="s">
        <v>798</v>
      </c>
      <c r="F2" s="2" t="s">
        <v>694</v>
      </c>
      <c r="G2" s="2">
        <v>2.0</v>
      </c>
      <c r="H2" s="2" t="s">
        <v>821</v>
      </c>
      <c r="I2" s="2" t="s">
        <v>695</v>
      </c>
      <c r="K2" s="2">
        <v>0.0</v>
      </c>
      <c r="L2" s="2">
        <v>0.0</v>
      </c>
      <c r="M2" s="2" t="s">
        <v>222</v>
      </c>
      <c r="N2" s="2" t="s">
        <v>24</v>
      </c>
      <c r="Q2" s="9" t="s">
        <v>869</v>
      </c>
    </row>
    <row r="3">
      <c r="A3" s="63">
        <v>46035.50798912037</v>
      </c>
      <c r="B3" s="2" t="s">
        <v>220</v>
      </c>
      <c r="C3" s="5">
        <v>46035.0</v>
      </c>
      <c r="D3" s="2" t="s">
        <v>19</v>
      </c>
      <c r="E3" s="2" t="s">
        <v>798</v>
      </c>
      <c r="F3" s="2" t="s">
        <v>732</v>
      </c>
      <c r="G3" s="2">
        <v>1.0</v>
      </c>
      <c r="H3" s="2" t="s">
        <v>722</v>
      </c>
      <c r="I3" s="2" t="s">
        <v>733</v>
      </c>
      <c r="K3" s="2">
        <v>0.0</v>
      </c>
      <c r="L3" s="2">
        <v>0.0</v>
      </c>
      <c r="M3" s="2" t="s">
        <v>222</v>
      </c>
      <c r="N3" s="2" t="s">
        <v>24</v>
      </c>
      <c r="Q3" s="9" t="s">
        <v>869</v>
      </c>
    </row>
    <row r="4">
      <c r="A4" s="63">
        <v>46035.50798912037</v>
      </c>
      <c r="B4" s="2" t="s">
        <v>220</v>
      </c>
      <c r="C4" s="5">
        <v>46035.0</v>
      </c>
      <c r="D4" s="2" t="s">
        <v>19</v>
      </c>
      <c r="E4" s="2" t="s">
        <v>798</v>
      </c>
      <c r="F4" s="2" t="s">
        <v>724</v>
      </c>
      <c r="G4" s="2">
        <v>1.0</v>
      </c>
      <c r="H4" s="2" t="s">
        <v>722</v>
      </c>
      <c r="I4" s="2" t="s">
        <v>725</v>
      </c>
      <c r="K4" s="2">
        <v>0.0</v>
      </c>
      <c r="L4" s="2">
        <v>0.0</v>
      </c>
      <c r="M4" s="2" t="s">
        <v>222</v>
      </c>
      <c r="N4" s="2" t="s">
        <v>24</v>
      </c>
      <c r="Q4" s="9" t="s">
        <v>869</v>
      </c>
    </row>
    <row r="5">
      <c r="A5" s="63">
        <v>46035.50798912037</v>
      </c>
      <c r="B5" s="2" t="s">
        <v>220</v>
      </c>
      <c r="C5" s="5">
        <v>46035.0</v>
      </c>
      <c r="D5" s="2" t="s">
        <v>19</v>
      </c>
      <c r="E5" s="2" t="s">
        <v>798</v>
      </c>
      <c r="F5" s="2" t="s">
        <v>728</v>
      </c>
      <c r="G5" s="2">
        <v>1.0</v>
      </c>
      <c r="H5" s="2" t="s">
        <v>722</v>
      </c>
      <c r="I5" s="2" t="s">
        <v>729</v>
      </c>
      <c r="K5" s="2">
        <v>0.0</v>
      </c>
      <c r="L5" s="2">
        <v>0.0</v>
      </c>
      <c r="M5" s="2" t="s">
        <v>222</v>
      </c>
      <c r="N5" s="2" t="s">
        <v>24</v>
      </c>
      <c r="Q5" s="9" t="s">
        <v>869</v>
      </c>
    </row>
    <row r="6">
      <c r="A6" s="63">
        <v>46035.50798912037</v>
      </c>
      <c r="B6" s="2" t="s">
        <v>220</v>
      </c>
      <c r="C6" s="5">
        <v>46035.0</v>
      </c>
      <c r="D6" s="2" t="s">
        <v>19</v>
      </c>
      <c r="E6" s="2" t="s">
        <v>798</v>
      </c>
      <c r="F6" s="2" t="s">
        <v>726</v>
      </c>
      <c r="G6" s="2">
        <v>1.0</v>
      </c>
      <c r="H6" s="2" t="s">
        <v>722</v>
      </c>
      <c r="I6" s="2" t="s">
        <v>727</v>
      </c>
      <c r="K6" s="2">
        <v>0.0</v>
      </c>
      <c r="L6" s="2">
        <v>0.0</v>
      </c>
      <c r="M6" s="2" t="s">
        <v>222</v>
      </c>
      <c r="N6" s="2" t="s">
        <v>24</v>
      </c>
      <c r="Q6" s="9" t="s">
        <v>869</v>
      </c>
    </row>
    <row r="7">
      <c r="A7" s="63">
        <v>46035.50798912037</v>
      </c>
      <c r="B7" s="2" t="s">
        <v>220</v>
      </c>
      <c r="C7" s="5">
        <v>46035.0</v>
      </c>
      <c r="D7" s="2" t="s">
        <v>19</v>
      </c>
      <c r="E7" s="2" t="s">
        <v>798</v>
      </c>
      <c r="F7" s="2" t="s">
        <v>606</v>
      </c>
      <c r="G7" s="2">
        <v>5.0</v>
      </c>
      <c r="H7" s="2" t="s">
        <v>66</v>
      </c>
      <c r="I7" s="2" t="s">
        <v>607</v>
      </c>
      <c r="K7" s="2">
        <v>0.0</v>
      </c>
      <c r="L7" s="2">
        <v>0.0</v>
      </c>
      <c r="M7" s="2" t="s">
        <v>222</v>
      </c>
      <c r="N7" s="2" t="s">
        <v>24</v>
      </c>
      <c r="Q7" s="9" t="s">
        <v>869</v>
      </c>
    </row>
    <row r="8">
      <c r="A8" s="63">
        <v>46035.50798912037</v>
      </c>
      <c r="B8" s="2" t="s">
        <v>220</v>
      </c>
      <c r="C8" s="5">
        <v>46035.0</v>
      </c>
      <c r="D8" s="2" t="s">
        <v>19</v>
      </c>
      <c r="E8" s="2" t="s">
        <v>798</v>
      </c>
      <c r="F8" s="2" t="s">
        <v>608</v>
      </c>
      <c r="G8" s="2">
        <v>2.0</v>
      </c>
      <c r="H8" s="2" t="s">
        <v>66</v>
      </c>
      <c r="I8" s="2" t="s">
        <v>609</v>
      </c>
      <c r="K8" s="2">
        <v>0.0</v>
      </c>
      <c r="L8" s="2">
        <v>0.0</v>
      </c>
      <c r="M8" s="2" t="s">
        <v>222</v>
      </c>
      <c r="N8" s="2" t="s">
        <v>24</v>
      </c>
      <c r="Q8" s="9" t="s">
        <v>869</v>
      </c>
    </row>
    <row r="9">
      <c r="A9" s="63">
        <v>46035.50798912037</v>
      </c>
      <c r="B9" s="2" t="s">
        <v>220</v>
      </c>
      <c r="C9" s="5">
        <v>46035.0</v>
      </c>
      <c r="D9" s="2" t="s">
        <v>19</v>
      </c>
      <c r="E9" s="2" t="s">
        <v>798</v>
      </c>
      <c r="F9" s="2" t="s">
        <v>756</v>
      </c>
      <c r="G9" s="2">
        <v>1.0</v>
      </c>
      <c r="H9" s="2" t="s">
        <v>822</v>
      </c>
      <c r="I9" s="2" t="s">
        <v>757</v>
      </c>
      <c r="K9" s="2">
        <v>0.0</v>
      </c>
      <c r="L9" s="2">
        <v>0.0</v>
      </c>
      <c r="M9" s="2" t="s">
        <v>222</v>
      </c>
      <c r="N9" s="2" t="s">
        <v>24</v>
      </c>
      <c r="Q9" s="9" t="s">
        <v>869</v>
      </c>
    </row>
    <row r="10">
      <c r="A10" s="63">
        <v>46035.50798912037</v>
      </c>
      <c r="B10" s="2" t="s">
        <v>220</v>
      </c>
      <c r="C10" s="5">
        <v>46035.0</v>
      </c>
      <c r="D10" s="2" t="s">
        <v>19</v>
      </c>
      <c r="E10" s="2" t="s">
        <v>798</v>
      </c>
      <c r="F10" s="2" t="s">
        <v>624</v>
      </c>
      <c r="G10" s="2">
        <v>50.0</v>
      </c>
      <c r="H10" s="2" t="s">
        <v>66</v>
      </c>
      <c r="I10" s="2" t="s">
        <v>625</v>
      </c>
      <c r="K10" s="2">
        <v>0.0</v>
      </c>
      <c r="L10" s="2">
        <v>0.0</v>
      </c>
      <c r="M10" s="2" t="s">
        <v>222</v>
      </c>
      <c r="N10" s="2" t="s">
        <v>24</v>
      </c>
      <c r="Q10" s="9" t="s">
        <v>869</v>
      </c>
    </row>
    <row r="11">
      <c r="A11" s="63">
        <v>46035.50798912037</v>
      </c>
      <c r="B11" s="2" t="s">
        <v>220</v>
      </c>
      <c r="C11" s="5">
        <v>46035.0</v>
      </c>
      <c r="D11" s="2" t="s">
        <v>19</v>
      </c>
      <c r="E11" s="2" t="s">
        <v>798</v>
      </c>
      <c r="F11" s="2" t="s">
        <v>690</v>
      </c>
      <c r="G11" s="2">
        <v>2.0</v>
      </c>
      <c r="H11" s="2" t="s">
        <v>66</v>
      </c>
      <c r="I11" s="2" t="s">
        <v>691</v>
      </c>
      <c r="K11" s="2">
        <v>0.0</v>
      </c>
      <c r="L11" s="2">
        <v>0.0</v>
      </c>
      <c r="M11" s="2" t="s">
        <v>222</v>
      </c>
      <c r="N11" s="2" t="s">
        <v>24</v>
      </c>
      <c r="Q11" s="9" t="s">
        <v>869</v>
      </c>
    </row>
    <row r="12">
      <c r="A12" s="63">
        <v>46035.50798912037</v>
      </c>
      <c r="B12" s="2" t="s">
        <v>220</v>
      </c>
      <c r="C12" s="5">
        <v>46035.0</v>
      </c>
      <c r="D12" s="2" t="s">
        <v>19</v>
      </c>
      <c r="E12" s="2" t="s">
        <v>798</v>
      </c>
      <c r="F12" s="2" t="s">
        <v>746</v>
      </c>
      <c r="G12" s="2">
        <v>1.0</v>
      </c>
      <c r="H12" s="2" t="s">
        <v>48</v>
      </c>
      <c r="I12" s="2" t="s">
        <v>747</v>
      </c>
      <c r="K12" s="2">
        <v>0.0</v>
      </c>
      <c r="L12" s="2">
        <v>0.0</v>
      </c>
      <c r="M12" s="2" t="s">
        <v>222</v>
      </c>
      <c r="N12" s="2" t="s">
        <v>24</v>
      </c>
      <c r="Q12" s="9" t="s">
        <v>869</v>
      </c>
    </row>
    <row r="13">
      <c r="A13" s="63">
        <v>46035.50798912037</v>
      </c>
      <c r="B13" s="2" t="s">
        <v>220</v>
      </c>
      <c r="C13" s="5">
        <v>46035.0</v>
      </c>
      <c r="D13" s="2" t="s">
        <v>19</v>
      </c>
      <c r="E13" s="2" t="s">
        <v>798</v>
      </c>
      <c r="F13" s="2" t="s">
        <v>614</v>
      </c>
      <c r="G13" s="2">
        <v>3.0</v>
      </c>
      <c r="H13" s="2" t="s">
        <v>66</v>
      </c>
      <c r="I13" s="2" t="s">
        <v>615</v>
      </c>
      <c r="K13" s="2">
        <v>0.0</v>
      </c>
      <c r="L13" s="2">
        <v>0.0</v>
      </c>
      <c r="M13" s="2" t="s">
        <v>222</v>
      </c>
      <c r="N13" s="2" t="s">
        <v>24</v>
      </c>
      <c r="Q13" s="9" t="s">
        <v>869</v>
      </c>
    </row>
    <row r="14">
      <c r="A14" s="63">
        <v>46035.50798912037</v>
      </c>
      <c r="B14" s="2" t="s">
        <v>220</v>
      </c>
      <c r="C14" s="5">
        <v>46035.0</v>
      </c>
      <c r="D14" s="2" t="s">
        <v>19</v>
      </c>
      <c r="E14" s="2" t="s">
        <v>798</v>
      </c>
      <c r="F14" s="2" t="s">
        <v>678</v>
      </c>
      <c r="G14" s="2">
        <v>6.0</v>
      </c>
      <c r="H14" s="2" t="s">
        <v>66</v>
      </c>
      <c r="I14" s="2" t="s">
        <v>679</v>
      </c>
      <c r="K14" s="2">
        <v>0.0</v>
      </c>
      <c r="L14" s="2">
        <v>0.0</v>
      </c>
      <c r="M14" s="2" t="s">
        <v>222</v>
      </c>
      <c r="N14" s="2" t="s">
        <v>24</v>
      </c>
      <c r="Q14" s="9" t="s">
        <v>869</v>
      </c>
    </row>
    <row r="15">
      <c r="A15" s="63">
        <v>46035.50798912037</v>
      </c>
      <c r="B15" s="2" t="s">
        <v>220</v>
      </c>
      <c r="C15" s="5">
        <v>46035.0</v>
      </c>
      <c r="D15" s="2" t="s">
        <v>19</v>
      </c>
      <c r="E15" s="2" t="s">
        <v>798</v>
      </c>
      <c r="F15" s="2" t="s">
        <v>569</v>
      </c>
      <c r="G15" s="2">
        <v>1.0</v>
      </c>
      <c r="H15" s="2" t="s">
        <v>571</v>
      </c>
      <c r="I15" s="2" t="s">
        <v>570</v>
      </c>
      <c r="K15" s="2">
        <v>0.0</v>
      </c>
      <c r="L15" s="2">
        <v>0.0</v>
      </c>
      <c r="M15" s="2" t="s">
        <v>222</v>
      </c>
      <c r="N15" s="2" t="s">
        <v>24</v>
      </c>
      <c r="Q15" s="9" t="s">
        <v>869</v>
      </c>
    </row>
    <row r="16">
      <c r="A16" s="63">
        <v>46035.50798912037</v>
      </c>
      <c r="B16" s="2" t="s">
        <v>220</v>
      </c>
      <c r="C16" s="5">
        <v>46035.0</v>
      </c>
      <c r="D16" s="2" t="s">
        <v>19</v>
      </c>
      <c r="E16" s="2" t="s">
        <v>798</v>
      </c>
      <c r="F16" s="2" t="s">
        <v>572</v>
      </c>
      <c r="G16" s="2">
        <v>1.0</v>
      </c>
      <c r="H16" s="2" t="s">
        <v>571</v>
      </c>
      <c r="I16" s="2" t="s">
        <v>573</v>
      </c>
      <c r="K16" s="2">
        <v>0.0</v>
      </c>
      <c r="L16" s="2">
        <v>0.0</v>
      </c>
      <c r="M16" s="2" t="s">
        <v>222</v>
      </c>
      <c r="N16" s="2" t="s">
        <v>24</v>
      </c>
      <c r="Q16" s="9" t="s">
        <v>869</v>
      </c>
    </row>
    <row r="17">
      <c r="A17" s="63">
        <v>46035.50798912037</v>
      </c>
      <c r="B17" s="2" t="s">
        <v>220</v>
      </c>
      <c r="C17" s="5">
        <v>46035.0</v>
      </c>
      <c r="D17" s="2" t="s">
        <v>19</v>
      </c>
      <c r="E17" s="2" t="s">
        <v>798</v>
      </c>
      <c r="F17" s="2" t="s">
        <v>622</v>
      </c>
      <c r="G17" s="2">
        <v>2.0</v>
      </c>
      <c r="H17" s="2" t="s">
        <v>66</v>
      </c>
      <c r="I17" s="2" t="s">
        <v>623</v>
      </c>
      <c r="K17" s="2">
        <v>0.0</v>
      </c>
      <c r="L17" s="2">
        <v>0.0</v>
      </c>
      <c r="M17" s="2" t="s">
        <v>222</v>
      </c>
      <c r="N17" s="2" t="s">
        <v>24</v>
      </c>
      <c r="Q17" s="9" t="s">
        <v>869</v>
      </c>
    </row>
    <row r="18">
      <c r="A18" s="63">
        <v>46035.50798912037</v>
      </c>
      <c r="B18" s="2" t="s">
        <v>220</v>
      </c>
      <c r="C18" s="5">
        <v>46035.0</v>
      </c>
      <c r="D18" s="2" t="s">
        <v>19</v>
      </c>
      <c r="E18" s="2" t="s">
        <v>798</v>
      </c>
      <c r="F18" s="2" t="s">
        <v>588</v>
      </c>
      <c r="G18" s="2">
        <v>15.0</v>
      </c>
      <c r="H18" s="2" t="s">
        <v>66</v>
      </c>
      <c r="I18" s="2" t="s">
        <v>589</v>
      </c>
      <c r="K18" s="2">
        <v>0.0</v>
      </c>
      <c r="L18" s="2">
        <v>0.0</v>
      </c>
      <c r="M18" s="2" t="s">
        <v>222</v>
      </c>
      <c r="N18" s="2" t="s">
        <v>24</v>
      </c>
      <c r="Q18" s="9" t="s">
        <v>869</v>
      </c>
    </row>
    <row r="19">
      <c r="A19" s="63">
        <v>46035.50798912037</v>
      </c>
      <c r="B19" s="2" t="s">
        <v>220</v>
      </c>
      <c r="C19" s="5">
        <v>46035.0</v>
      </c>
      <c r="D19" s="2" t="s">
        <v>19</v>
      </c>
      <c r="E19" s="2" t="s">
        <v>798</v>
      </c>
      <c r="F19" s="2" t="s">
        <v>592</v>
      </c>
      <c r="G19" s="2">
        <v>40.0</v>
      </c>
      <c r="H19" s="2" t="s">
        <v>66</v>
      </c>
      <c r="I19" s="2" t="s">
        <v>593</v>
      </c>
      <c r="K19" s="2">
        <v>0.0</v>
      </c>
      <c r="L19" s="2">
        <v>0.0</v>
      </c>
      <c r="M19" s="2" t="s">
        <v>222</v>
      </c>
      <c r="N19" s="2" t="s">
        <v>24</v>
      </c>
      <c r="Q19" s="9" t="s">
        <v>869</v>
      </c>
    </row>
    <row r="20">
      <c r="A20" s="63">
        <v>46035.50798912037</v>
      </c>
      <c r="B20" s="2" t="s">
        <v>220</v>
      </c>
      <c r="C20" s="5">
        <v>46035.0</v>
      </c>
      <c r="D20" s="2" t="s">
        <v>19</v>
      </c>
      <c r="E20" s="2" t="s">
        <v>798</v>
      </c>
      <c r="F20" s="2" t="s">
        <v>602</v>
      </c>
      <c r="G20" s="2">
        <v>10.0</v>
      </c>
      <c r="H20" s="2" t="s">
        <v>66</v>
      </c>
      <c r="I20" s="2" t="s">
        <v>603</v>
      </c>
      <c r="K20" s="2">
        <v>0.0</v>
      </c>
      <c r="L20" s="2">
        <v>0.0</v>
      </c>
      <c r="M20" s="2" t="s">
        <v>222</v>
      </c>
      <c r="N20" s="2" t="s">
        <v>24</v>
      </c>
      <c r="Q20" s="9" t="s">
        <v>869</v>
      </c>
    </row>
    <row r="21">
      <c r="A21" s="63">
        <v>46035.50798912037</v>
      </c>
      <c r="B21" s="2" t="s">
        <v>220</v>
      </c>
      <c r="C21" s="5">
        <v>46035.0</v>
      </c>
      <c r="D21" s="2" t="s">
        <v>19</v>
      </c>
      <c r="E21" s="2" t="s">
        <v>798</v>
      </c>
      <c r="F21" s="2" t="s">
        <v>646</v>
      </c>
      <c r="G21" s="2">
        <v>2.0</v>
      </c>
      <c r="H21" s="2" t="s">
        <v>66</v>
      </c>
      <c r="I21" s="2" t="s">
        <v>647</v>
      </c>
      <c r="K21" s="2">
        <v>0.0</v>
      </c>
      <c r="L21" s="2">
        <v>0.0</v>
      </c>
      <c r="M21" s="2" t="s">
        <v>222</v>
      </c>
      <c r="N21" s="2" t="s">
        <v>837</v>
      </c>
      <c r="Q21" s="9" t="s">
        <v>869</v>
      </c>
    </row>
    <row r="22">
      <c r="A22" s="63">
        <v>46035.50798912037</v>
      </c>
      <c r="B22" s="2" t="s">
        <v>220</v>
      </c>
      <c r="C22" s="5">
        <v>46035.0</v>
      </c>
      <c r="D22" s="2" t="s">
        <v>19</v>
      </c>
      <c r="E22" s="2" t="s">
        <v>798</v>
      </c>
      <c r="F22" s="2" t="s">
        <v>640</v>
      </c>
      <c r="G22" s="2">
        <v>3.0</v>
      </c>
      <c r="H22" s="2" t="s">
        <v>66</v>
      </c>
      <c r="I22" s="2" t="s">
        <v>641</v>
      </c>
      <c r="K22" s="2">
        <v>0.0</v>
      </c>
      <c r="L22" s="2">
        <v>0.0</v>
      </c>
      <c r="M22" s="2" t="s">
        <v>222</v>
      </c>
      <c r="N22" s="2" t="s">
        <v>24</v>
      </c>
      <c r="Q22" s="9" t="s">
        <v>869</v>
      </c>
    </row>
    <row r="23">
      <c r="A23" s="63">
        <v>46035.50798912037</v>
      </c>
      <c r="B23" s="2" t="s">
        <v>220</v>
      </c>
      <c r="C23" s="5">
        <v>46035.0</v>
      </c>
      <c r="D23" s="2" t="s">
        <v>19</v>
      </c>
      <c r="E23" s="2" t="s">
        <v>798</v>
      </c>
      <c r="F23" s="2" t="s">
        <v>769</v>
      </c>
      <c r="G23" s="2">
        <v>1.0</v>
      </c>
      <c r="H23" s="2" t="s">
        <v>768</v>
      </c>
      <c r="I23" s="2" t="s">
        <v>770</v>
      </c>
      <c r="K23" s="2">
        <v>0.0</v>
      </c>
      <c r="L23" s="2">
        <v>0.0</v>
      </c>
      <c r="M23" s="2" t="s">
        <v>222</v>
      </c>
      <c r="N23" s="2" t="s">
        <v>24</v>
      </c>
      <c r="Q23" s="9" t="s">
        <v>869</v>
      </c>
    </row>
    <row r="24">
      <c r="A24" s="63">
        <v>46035.50798912037</v>
      </c>
      <c r="B24" s="2" t="s">
        <v>220</v>
      </c>
      <c r="C24" s="5">
        <v>46035.0</v>
      </c>
      <c r="D24" s="2" t="s">
        <v>19</v>
      </c>
      <c r="E24" s="2" t="s">
        <v>798</v>
      </c>
      <c r="F24" s="2" t="s">
        <v>598</v>
      </c>
      <c r="G24" s="2">
        <v>15.0</v>
      </c>
      <c r="H24" s="2" t="s">
        <v>66</v>
      </c>
      <c r="I24" s="2" t="s">
        <v>599</v>
      </c>
      <c r="K24" s="2">
        <v>0.0</v>
      </c>
      <c r="L24" s="2">
        <v>0.0</v>
      </c>
      <c r="M24" s="2" t="s">
        <v>222</v>
      </c>
      <c r="N24" s="2" t="s">
        <v>24</v>
      </c>
      <c r="Q24" s="9" t="s">
        <v>869</v>
      </c>
    </row>
    <row r="25">
      <c r="A25" s="63">
        <v>46035.50798912037</v>
      </c>
      <c r="B25" s="2" t="s">
        <v>220</v>
      </c>
      <c r="C25" s="5">
        <v>46035.0</v>
      </c>
      <c r="D25" s="2" t="s">
        <v>19</v>
      </c>
      <c r="E25" s="2" t="s">
        <v>798</v>
      </c>
      <c r="F25" s="2" t="s">
        <v>610</v>
      </c>
      <c r="G25" s="2">
        <v>1.0</v>
      </c>
      <c r="H25" s="2" t="s">
        <v>21</v>
      </c>
      <c r="I25" s="2" t="s">
        <v>611</v>
      </c>
      <c r="K25" s="2">
        <v>0.0</v>
      </c>
      <c r="L25" s="2">
        <v>0.0</v>
      </c>
      <c r="M25" s="2" t="s">
        <v>222</v>
      </c>
      <c r="N25" s="2" t="s">
        <v>24</v>
      </c>
      <c r="Q25" s="9" t="s">
        <v>869</v>
      </c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</sheetData>
  <dataValidations>
    <dataValidation type="list" allowBlank="1" showErrorMessage="1" sqref="N1:N944">
      <formula1>"Pending,Approved,No Stock"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</hyperlinks>
  <drawing r:id="rId2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6.88"/>
    <col customWidth="1" min="3" max="3" width="9.5"/>
    <col customWidth="1" min="4" max="4" width="18.63"/>
    <col customWidth="1" min="5" max="5" width="15.75"/>
    <col customWidth="1" min="6" max="6" width="7.63"/>
    <col customWidth="1" min="7" max="7" width="3.63"/>
    <col customWidth="1" min="8" max="8" width="5.88"/>
    <col customWidth="1" min="9" max="9" width="40.63"/>
    <col customWidth="1" min="10" max="10" width="6.0"/>
    <col customWidth="1" min="11" max="11" width="6.75"/>
    <col customWidth="1" min="12" max="12" width="4.5"/>
    <col customWidth="1" min="13" max="13" width="18.25"/>
    <col customWidth="1" min="14" max="14" width="13.0"/>
    <col customWidth="1" min="15" max="15" width="11.13"/>
    <col customWidth="1" min="16" max="16" width="10.38"/>
    <col customWidth="1" min="17" max="17" width="69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46034.68506886574</v>
      </c>
      <c r="B2" s="2" t="s">
        <v>105</v>
      </c>
      <c r="C2" s="5">
        <v>46021.0</v>
      </c>
      <c r="D2" s="2" t="s">
        <v>19</v>
      </c>
      <c r="E2" s="2" t="s">
        <v>798</v>
      </c>
      <c r="F2" s="2" t="s">
        <v>638</v>
      </c>
      <c r="G2" s="2">
        <v>1.0</v>
      </c>
      <c r="H2" s="2" t="s">
        <v>21</v>
      </c>
      <c r="I2" s="2" t="s">
        <v>639</v>
      </c>
      <c r="K2" s="2">
        <v>0.0</v>
      </c>
      <c r="L2" s="2">
        <v>0.0</v>
      </c>
      <c r="M2" s="2" t="s">
        <v>105</v>
      </c>
      <c r="N2" s="2" t="s">
        <v>24</v>
      </c>
      <c r="Q2" s="9" t="s">
        <v>870</v>
      </c>
    </row>
    <row r="3">
      <c r="A3" s="63">
        <v>46035.71809623843</v>
      </c>
      <c r="B3" s="2" t="s">
        <v>105</v>
      </c>
      <c r="C3" s="5">
        <v>46035.0</v>
      </c>
      <c r="D3" s="2" t="s">
        <v>19</v>
      </c>
      <c r="E3" s="2" t="s">
        <v>798</v>
      </c>
      <c r="F3" s="2" t="s">
        <v>569</v>
      </c>
      <c r="G3" s="2">
        <v>1.0</v>
      </c>
      <c r="H3" s="2" t="s">
        <v>571</v>
      </c>
      <c r="I3" s="2" t="s">
        <v>570</v>
      </c>
      <c r="K3" s="2">
        <v>0.0</v>
      </c>
      <c r="L3" s="2">
        <v>0.0</v>
      </c>
      <c r="M3" s="2" t="s">
        <v>268</v>
      </c>
      <c r="N3" s="2" t="s">
        <v>24</v>
      </c>
      <c r="Q3" s="9" t="s">
        <v>871</v>
      </c>
    </row>
    <row r="4">
      <c r="A4" s="63">
        <v>46035.71809623843</v>
      </c>
      <c r="B4" s="2" t="s">
        <v>105</v>
      </c>
      <c r="C4" s="5">
        <v>46035.0</v>
      </c>
      <c r="D4" s="2" t="s">
        <v>19</v>
      </c>
      <c r="E4" s="2" t="s">
        <v>798</v>
      </c>
      <c r="F4" s="2" t="s">
        <v>572</v>
      </c>
      <c r="G4" s="2">
        <v>1.0</v>
      </c>
      <c r="H4" s="2" t="s">
        <v>571</v>
      </c>
      <c r="I4" s="2" t="s">
        <v>573</v>
      </c>
      <c r="K4" s="2">
        <v>0.0</v>
      </c>
      <c r="L4" s="2">
        <v>0.0</v>
      </c>
      <c r="M4" s="2" t="s">
        <v>268</v>
      </c>
      <c r="N4" s="2" t="s">
        <v>24</v>
      </c>
      <c r="Q4" s="9" t="s">
        <v>871</v>
      </c>
    </row>
    <row r="5">
      <c r="A5" s="63">
        <v>46035.71809623843</v>
      </c>
      <c r="B5" s="2" t="s">
        <v>105</v>
      </c>
      <c r="C5" s="5">
        <v>46035.0</v>
      </c>
      <c r="D5" s="2" t="s">
        <v>19</v>
      </c>
      <c r="E5" s="2" t="s">
        <v>798</v>
      </c>
      <c r="F5" s="2" t="s">
        <v>576</v>
      </c>
      <c r="G5" s="2">
        <v>1.0</v>
      </c>
      <c r="H5" s="2" t="s">
        <v>571</v>
      </c>
      <c r="I5" s="2" t="s">
        <v>577</v>
      </c>
      <c r="K5" s="2">
        <v>0.0</v>
      </c>
      <c r="L5" s="2">
        <v>0.0</v>
      </c>
      <c r="M5" s="2" t="s">
        <v>268</v>
      </c>
      <c r="N5" s="2" t="s">
        <v>24</v>
      </c>
      <c r="Q5" s="9" t="s">
        <v>871</v>
      </c>
    </row>
    <row r="6">
      <c r="A6" s="63">
        <v>46035.71809623843</v>
      </c>
      <c r="B6" s="2" t="s">
        <v>105</v>
      </c>
      <c r="C6" s="5">
        <v>46035.0</v>
      </c>
      <c r="D6" s="2" t="s">
        <v>19</v>
      </c>
      <c r="E6" s="2" t="s">
        <v>798</v>
      </c>
      <c r="F6" s="2" t="s">
        <v>592</v>
      </c>
      <c r="G6" s="2">
        <v>30.0</v>
      </c>
      <c r="H6" s="2" t="s">
        <v>66</v>
      </c>
      <c r="I6" s="2" t="s">
        <v>593</v>
      </c>
      <c r="K6" s="2">
        <v>0.0</v>
      </c>
      <c r="L6" s="2">
        <v>0.0</v>
      </c>
      <c r="M6" s="2" t="s">
        <v>268</v>
      </c>
      <c r="N6" s="2" t="s">
        <v>24</v>
      </c>
      <c r="Q6" s="9" t="s">
        <v>871</v>
      </c>
    </row>
    <row r="7">
      <c r="A7" s="63">
        <v>46035.71809623843</v>
      </c>
      <c r="B7" s="2" t="s">
        <v>105</v>
      </c>
      <c r="C7" s="5">
        <v>46035.0</v>
      </c>
      <c r="D7" s="2" t="s">
        <v>19</v>
      </c>
      <c r="E7" s="2" t="s">
        <v>798</v>
      </c>
      <c r="F7" s="2" t="s">
        <v>586</v>
      </c>
      <c r="G7" s="2">
        <v>10.0</v>
      </c>
      <c r="H7" s="2" t="s">
        <v>66</v>
      </c>
      <c r="I7" s="2" t="s">
        <v>587</v>
      </c>
      <c r="K7" s="2">
        <v>0.0</v>
      </c>
      <c r="L7" s="2">
        <v>0.0</v>
      </c>
      <c r="M7" s="2" t="s">
        <v>268</v>
      </c>
      <c r="N7" s="2" t="s">
        <v>24</v>
      </c>
      <c r="Q7" s="9" t="s">
        <v>871</v>
      </c>
    </row>
    <row r="8">
      <c r="A8" s="63">
        <v>46035.71809623843</v>
      </c>
      <c r="B8" s="2" t="s">
        <v>105</v>
      </c>
      <c r="C8" s="5">
        <v>46035.0</v>
      </c>
      <c r="D8" s="2" t="s">
        <v>19</v>
      </c>
      <c r="E8" s="2" t="s">
        <v>798</v>
      </c>
      <c r="F8" s="2" t="s">
        <v>648</v>
      </c>
      <c r="G8" s="2">
        <v>3.0</v>
      </c>
      <c r="H8" s="2" t="s">
        <v>66</v>
      </c>
      <c r="I8" s="2" t="s">
        <v>649</v>
      </c>
      <c r="K8" s="2">
        <v>0.0</v>
      </c>
      <c r="L8" s="2">
        <v>0.0</v>
      </c>
      <c r="M8" s="2" t="s">
        <v>268</v>
      </c>
      <c r="N8" s="2" t="s">
        <v>24</v>
      </c>
      <c r="Q8" s="9" t="s">
        <v>871</v>
      </c>
    </row>
    <row r="9">
      <c r="A9" s="63">
        <v>46035.71809623843</v>
      </c>
      <c r="B9" s="2" t="s">
        <v>105</v>
      </c>
      <c r="C9" s="5">
        <v>46035.0</v>
      </c>
      <c r="D9" s="2" t="s">
        <v>19</v>
      </c>
      <c r="E9" s="2" t="s">
        <v>798</v>
      </c>
      <c r="F9" s="2" t="s">
        <v>690</v>
      </c>
      <c r="G9" s="2">
        <v>2.0</v>
      </c>
      <c r="H9" s="2" t="s">
        <v>66</v>
      </c>
      <c r="I9" s="2" t="s">
        <v>691</v>
      </c>
      <c r="K9" s="2">
        <v>0.0</v>
      </c>
      <c r="L9" s="2">
        <v>0.0</v>
      </c>
      <c r="M9" s="2" t="s">
        <v>268</v>
      </c>
      <c r="N9" s="2" t="s">
        <v>24</v>
      </c>
      <c r="Q9" s="9" t="s">
        <v>871</v>
      </c>
    </row>
    <row r="10">
      <c r="A10" s="63">
        <v>46035.71809623843</v>
      </c>
      <c r="B10" s="2" t="s">
        <v>105</v>
      </c>
      <c r="C10" s="5">
        <v>46035.0</v>
      </c>
      <c r="D10" s="2" t="s">
        <v>19</v>
      </c>
      <c r="E10" s="2" t="s">
        <v>798</v>
      </c>
      <c r="F10" s="2" t="s">
        <v>606</v>
      </c>
      <c r="G10" s="2">
        <v>6.0</v>
      </c>
      <c r="H10" s="2" t="s">
        <v>66</v>
      </c>
      <c r="I10" s="2" t="s">
        <v>607</v>
      </c>
      <c r="K10" s="2">
        <v>0.0</v>
      </c>
      <c r="L10" s="2">
        <v>0.0</v>
      </c>
      <c r="M10" s="2" t="s">
        <v>268</v>
      </c>
      <c r="N10" s="2" t="s">
        <v>24</v>
      </c>
      <c r="Q10" s="9" t="s">
        <v>871</v>
      </c>
    </row>
    <row r="11">
      <c r="A11" s="63">
        <v>46035.71809623843</v>
      </c>
      <c r="B11" s="2" t="s">
        <v>105</v>
      </c>
      <c r="C11" s="5">
        <v>46035.0</v>
      </c>
      <c r="D11" s="2" t="s">
        <v>19</v>
      </c>
      <c r="E11" s="2" t="s">
        <v>798</v>
      </c>
      <c r="F11" s="2" t="s">
        <v>614</v>
      </c>
      <c r="G11" s="2">
        <v>1.0</v>
      </c>
      <c r="H11" s="2" t="s">
        <v>66</v>
      </c>
      <c r="I11" s="2" t="s">
        <v>615</v>
      </c>
      <c r="K11" s="2">
        <v>0.0</v>
      </c>
      <c r="L11" s="2">
        <v>0.0</v>
      </c>
      <c r="M11" s="2" t="s">
        <v>268</v>
      </c>
      <c r="N11" s="2" t="s">
        <v>24</v>
      </c>
      <c r="Q11" s="9" t="s">
        <v>871</v>
      </c>
    </row>
    <row r="12">
      <c r="A12" s="63">
        <v>46035.71809623843</v>
      </c>
      <c r="B12" s="2" t="s">
        <v>105</v>
      </c>
      <c r="C12" s="5">
        <v>46035.0</v>
      </c>
      <c r="D12" s="2" t="s">
        <v>19</v>
      </c>
      <c r="E12" s="2" t="s">
        <v>798</v>
      </c>
      <c r="F12" s="2" t="s">
        <v>688</v>
      </c>
      <c r="G12" s="2">
        <v>3.0</v>
      </c>
      <c r="H12" s="2" t="s">
        <v>66</v>
      </c>
      <c r="I12" s="2" t="s">
        <v>689</v>
      </c>
      <c r="K12" s="2">
        <v>0.0</v>
      </c>
      <c r="L12" s="2">
        <v>0.0</v>
      </c>
      <c r="M12" s="2" t="s">
        <v>268</v>
      </c>
      <c r="N12" s="2" t="s">
        <v>24</v>
      </c>
      <c r="Q12" s="9" t="s">
        <v>871</v>
      </c>
    </row>
    <row r="13">
      <c r="A13" s="63">
        <v>46035.71809623843</v>
      </c>
      <c r="B13" s="2" t="s">
        <v>105</v>
      </c>
      <c r="C13" s="5">
        <v>46035.0</v>
      </c>
      <c r="D13" s="2" t="s">
        <v>19</v>
      </c>
      <c r="E13" s="2" t="s">
        <v>798</v>
      </c>
      <c r="F13" s="2" t="s">
        <v>602</v>
      </c>
      <c r="G13" s="2">
        <v>10.0</v>
      </c>
      <c r="H13" s="2" t="s">
        <v>66</v>
      </c>
      <c r="I13" s="2" t="s">
        <v>603</v>
      </c>
      <c r="K13" s="2">
        <v>0.0</v>
      </c>
      <c r="L13" s="2">
        <v>0.0</v>
      </c>
      <c r="M13" s="2" t="s">
        <v>268</v>
      </c>
      <c r="N13" s="2" t="s">
        <v>24</v>
      </c>
      <c r="Q13" s="9" t="s">
        <v>871</v>
      </c>
    </row>
    <row r="14">
      <c r="A14" s="63">
        <v>46035.71809623843</v>
      </c>
      <c r="B14" s="2" t="s">
        <v>105</v>
      </c>
      <c r="C14" s="5">
        <v>46035.0</v>
      </c>
      <c r="D14" s="2" t="s">
        <v>19</v>
      </c>
      <c r="E14" s="2" t="s">
        <v>798</v>
      </c>
      <c r="F14" s="2" t="s">
        <v>600</v>
      </c>
      <c r="G14" s="2">
        <v>10.0</v>
      </c>
      <c r="H14" s="2" t="s">
        <v>66</v>
      </c>
      <c r="I14" s="2" t="s">
        <v>601</v>
      </c>
      <c r="K14" s="2">
        <v>0.0</v>
      </c>
      <c r="L14" s="2">
        <v>0.0</v>
      </c>
      <c r="M14" s="2" t="s">
        <v>268</v>
      </c>
      <c r="N14" s="2" t="s">
        <v>24</v>
      </c>
      <c r="Q14" s="9" t="s">
        <v>871</v>
      </c>
    </row>
    <row r="15">
      <c r="A15" s="63">
        <v>46035.71809623843</v>
      </c>
      <c r="B15" s="2" t="s">
        <v>105</v>
      </c>
      <c r="C15" s="5">
        <v>46035.0</v>
      </c>
      <c r="D15" s="2" t="s">
        <v>19</v>
      </c>
      <c r="E15" s="2" t="s">
        <v>798</v>
      </c>
      <c r="F15" s="2" t="s">
        <v>582</v>
      </c>
      <c r="G15" s="2">
        <v>1.0</v>
      </c>
      <c r="H15" s="2" t="s">
        <v>21</v>
      </c>
      <c r="I15" s="2" t="s">
        <v>583</v>
      </c>
      <c r="K15" s="2">
        <v>0.0</v>
      </c>
      <c r="L15" s="2">
        <v>0.0</v>
      </c>
      <c r="M15" s="2" t="s">
        <v>268</v>
      </c>
      <c r="N15" s="2" t="s">
        <v>24</v>
      </c>
      <c r="Q15" s="9" t="s">
        <v>871</v>
      </c>
    </row>
    <row r="16">
      <c r="A16" s="63">
        <v>46035.71809623843</v>
      </c>
      <c r="B16" s="2" t="s">
        <v>105</v>
      </c>
      <c r="C16" s="5">
        <v>46035.0</v>
      </c>
      <c r="D16" s="2" t="s">
        <v>19</v>
      </c>
      <c r="E16" s="2" t="s">
        <v>798</v>
      </c>
      <c r="F16" s="2" t="s">
        <v>616</v>
      </c>
      <c r="G16" s="2">
        <v>2.0</v>
      </c>
      <c r="H16" s="2" t="s">
        <v>66</v>
      </c>
      <c r="I16" s="2" t="s">
        <v>617</v>
      </c>
      <c r="K16" s="2">
        <v>0.0</v>
      </c>
      <c r="L16" s="2">
        <v>0.0</v>
      </c>
      <c r="M16" s="2" t="s">
        <v>268</v>
      </c>
      <c r="N16" s="2" t="s">
        <v>24</v>
      </c>
      <c r="Q16" s="9" t="s">
        <v>871</v>
      </c>
    </row>
    <row r="17">
      <c r="A17" s="63">
        <v>46035.71809623843</v>
      </c>
      <c r="B17" s="2" t="s">
        <v>105</v>
      </c>
      <c r="C17" s="5">
        <v>46035.0</v>
      </c>
      <c r="D17" s="2" t="s">
        <v>19</v>
      </c>
      <c r="E17" s="2" t="s">
        <v>798</v>
      </c>
      <c r="F17" s="2" t="s">
        <v>678</v>
      </c>
      <c r="G17" s="2">
        <v>6.0</v>
      </c>
      <c r="H17" s="2" t="s">
        <v>66</v>
      </c>
      <c r="I17" s="2" t="s">
        <v>679</v>
      </c>
      <c r="K17" s="2">
        <v>0.0</v>
      </c>
      <c r="L17" s="2">
        <v>0.0</v>
      </c>
      <c r="M17" s="2" t="s">
        <v>268</v>
      </c>
      <c r="N17" s="2" t="s">
        <v>24</v>
      </c>
      <c r="Q17" s="9" t="s">
        <v>871</v>
      </c>
    </row>
    <row r="18">
      <c r="A18" s="63">
        <v>46035.71809623843</v>
      </c>
      <c r="B18" s="2" t="s">
        <v>105</v>
      </c>
      <c r="C18" s="5">
        <v>46035.0</v>
      </c>
      <c r="D18" s="2" t="s">
        <v>19</v>
      </c>
      <c r="E18" s="2" t="s">
        <v>798</v>
      </c>
      <c r="F18" s="2" t="s">
        <v>750</v>
      </c>
      <c r="G18" s="2">
        <v>1.0</v>
      </c>
      <c r="H18" s="2" t="s">
        <v>841</v>
      </c>
      <c r="I18" s="2" t="s">
        <v>751</v>
      </c>
      <c r="K18" s="2">
        <v>0.0</v>
      </c>
      <c r="L18" s="2">
        <v>0.0</v>
      </c>
      <c r="M18" s="2" t="s">
        <v>268</v>
      </c>
      <c r="N18" s="2" t="s">
        <v>24</v>
      </c>
      <c r="Q18" s="9" t="s">
        <v>871</v>
      </c>
    </row>
    <row r="19">
      <c r="A19" s="63">
        <v>46035.71809623843</v>
      </c>
      <c r="B19" s="2" t="s">
        <v>105</v>
      </c>
      <c r="C19" s="5">
        <v>46035.0</v>
      </c>
      <c r="D19" s="2" t="s">
        <v>19</v>
      </c>
      <c r="E19" s="2" t="s">
        <v>798</v>
      </c>
      <c r="F19" s="2" t="s">
        <v>692</v>
      </c>
      <c r="G19" s="2">
        <v>1.0</v>
      </c>
      <c r="H19" s="2" t="s">
        <v>66</v>
      </c>
      <c r="I19" s="2" t="s">
        <v>693</v>
      </c>
      <c r="K19" s="2">
        <v>0.0</v>
      </c>
      <c r="L19" s="2">
        <v>0.0</v>
      </c>
      <c r="M19" s="2" t="s">
        <v>268</v>
      </c>
      <c r="N19" s="2" t="s">
        <v>24</v>
      </c>
      <c r="Q19" s="9" t="s">
        <v>871</v>
      </c>
    </row>
    <row r="20">
      <c r="A20" s="63">
        <v>46035.71809623843</v>
      </c>
      <c r="B20" s="2" t="s">
        <v>105</v>
      </c>
      <c r="C20" s="5">
        <v>46035.0</v>
      </c>
      <c r="D20" s="2" t="s">
        <v>19</v>
      </c>
      <c r="E20" s="2" t="s">
        <v>798</v>
      </c>
      <c r="F20" s="2" t="s">
        <v>640</v>
      </c>
      <c r="G20" s="2">
        <v>1.0</v>
      </c>
      <c r="H20" s="2" t="s">
        <v>66</v>
      </c>
      <c r="I20" s="2" t="s">
        <v>641</v>
      </c>
      <c r="K20" s="2">
        <v>0.0</v>
      </c>
      <c r="L20" s="2">
        <v>0.0</v>
      </c>
      <c r="M20" s="2" t="s">
        <v>268</v>
      </c>
      <c r="N20" s="2" t="s">
        <v>24</v>
      </c>
      <c r="Q20" s="9" t="s">
        <v>871</v>
      </c>
    </row>
    <row r="21">
      <c r="A21" s="63">
        <v>46035.71809623843</v>
      </c>
      <c r="B21" s="2" t="s">
        <v>105</v>
      </c>
      <c r="C21" s="5">
        <v>46035.0</v>
      </c>
      <c r="D21" s="2" t="s">
        <v>19</v>
      </c>
      <c r="E21" s="2" t="s">
        <v>798</v>
      </c>
      <c r="F21" s="2" t="s">
        <v>618</v>
      </c>
      <c r="G21" s="2">
        <v>1.0</v>
      </c>
      <c r="H21" s="2" t="s">
        <v>21</v>
      </c>
      <c r="I21" s="2" t="s">
        <v>619</v>
      </c>
      <c r="K21" s="2">
        <v>0.0</v>
      </c>
      <c r="L21" s="2">
        <v>0.0</v>
      </c>
      <c r="M21" s="2" t="s">
        <v>268</v>
      </c>
      <c r="N21" s="2" t="s">
        <v>24</v>
      </c>
      <c r="Q21" s="9" t="s">
        <v>871</v>
      </c>
    </row>
    <row r="22">
      <c r="A22" s="63">
        <v>46035.71809623843</v>
      </c>
      <c r="B22" s="2" t="s">
        <v>105</v>
      </c>
      <c r="C22" s="5">
        <v>46035.0</v>
      </c>
      <c r="D22" s="2" t="s">
        <v>19</v>
      </c>
      <c r="E22" s="2" t="s">
        <v>798</v>
      </c>
      <c r="F22" s="2" t="s">
        <v>694</v>
      </c>
      <c r="G22" s="2">
        <v>1.0</v>
      </c>
      <c r="H22" s="2" t="s">
        <v>821</v>
      </c>
      <c r="I22" s="2" t="s">
        <v>695</v>
      </c>
      <c r="K22" s="2">
        <v>0.0</v>
      </c>
      <c r="L22" s="2">
        <v>0.0</v>
      </c>
      <c r="M22" s="2" t="s">
        <v>268</v>
      </c>
      <c r="N22" s="2" t="s">
        <v>24</v>
      </c>
      <c r="Q22" s="9" t="s">
        <v>871</v>
      </c>
    </row>
    <row r="23">
      <c r="A23" s="63">
        <v>46035.71809623843</v>
      </c>
      <c r="B23" s="2" t="s">
        <v>105</v>
      </c>
      <c r="C23" s="5">
        <v>46035.0</v>
      </c>
      <c r="D23" s="2" t="s">
        <v>19</v>
      </c>
      <c r="E23" s="2" t="s">
        <v>798</v>
      </c>
      <c r="F23" s="2" t="s">
        <v>762</v>
      </c>
      <c r="G23" s="2">
        <v>1.0</v>
      </c>
      <c r="H23" s="2" t="s">
        <v>755</v>
      </c>
      <c r="I23" s="2" t="s">
        <v>763</v>
      </c>
      <c r="K23" s="2">
        <v>0.0</v>
      </c>
      <c r="L23" s="2">
        <v>0.0</v>
      </c>
      <c r="M23" s="2" t="s">
        <v>268</v>
      </c>
      <c r="N23" s="2" t="s">
        <v>24</v>
      </c>
      <c r="Q23" s="9" t="s">
        <v>871</v>
      </c>
    </row>
    <row r="24">
      <c r="A24" s="63">
        <v>46035.71809623843</v>
      </c>
      <c r="B24" s="2" t="s">
        <v>105</v>
      </c>
      <c r="C24" s="5">
        <v>46035.0</v>
      </c>
      <c r="D24" s="2" t="s">
        <v>19</v>
      </c>
      <c r="E24" s="2" t="s">
        <v>798</v>
      </c>
      <c r="F24" s="2" t="s">
        <v>756</v>
      </c>
      <c r="G24" s="2">
        <v>1.0</v>
      </c>
      <c r="H24" s="2" t="s">
        <v>755</v>
      </c>
      <c r="I24" s="2" t="s">
        <v>757</v>
      </c>
      <c r="K24" s="2">
        <v>0.0</v>
      </c>
      <c r="L24" s="2">
        <v>0.0</v>
      </c>
      <c r="M24" s="2" t="s">
        <v>268</v>
      </c>
      <c r="N24" s="2" t="s">
        <v>24</v>
      </c>
      <c r="Q24" s="9" t="s">
        <v>871</v>
      </c>
    </row>
    <row r="25">
      <c r="A25" s="63">
        <v>46035.71809623843</v>
      </c>
      <c r="B25" s="2" t="s">
        <v>105</v>
      </c>
      <c r="C25" s="5">
        <v>46035.0</v>
      </c>
      <c r="D25" s="2" t="s">
        <v>19</v>
      </c>
      <c r="E25" s="2" t="s">
        <v>798</v>
      </c>
      <c r="F25" s="2" t="s">
        <v>652</v>
      </c>
      <c r="G25" s="2">
        <v>2.0</v>
      </c>
      <c r="H25" s="2" t="s">
        <v>66</v>
      </c>
      <c r="I25" s="2" t="s">
        <v>653</v>
      </c>
      <c r="K25" s="2">
        <v>0.0</v>
      </c>
      <c r="L25" s="2">
        <v>0.0</v>
      </c>
      <c r="M25" s="2" t="s">
        <v>268</v>
      </c>
      <c r="N25" s="2" t="s">
        <v>24</v>
      </c>
      <c r="Q25" s="9" t="s">
        <v>871</v>
      </c>
    </row>
    <row r="26">
      <c r="A26" s="63">
        <v>46035.71809623843</v>
      </c>
      <c r="B26" s="2" t="s">
        <v>105</v>
      </c>
      <c r="C26" s="5">
        <v>46035.0</v>
      </c>
      <c r="D26" s="2" t="s">
        <v>19</v>
      </c>
      <c r="E26" s="2" t="s">
        <v>798</v>
      </c>
      <c r="F26" s="2" t="s">
        <v>580</v>
      </c>
      <c r="G26" s="2">
        <v>30.0</v>
      </c>
      <c r="H26" s="2" t="s">
        <v>66</v>
      </c>
      <c r="I26" s="2" t="s">
        <v>581</v>
      </c>
      <c r="K26" s="2">
        <v>0.0</v>
      </c>
      <c r="L26" s="2">
        <v>0.0</v>
      </c>
      <c r="M26" s="2" t="s">
        <v>268</v>
      </c>
      <c r="N26" s="2" t="s">
        <v>24</v>
      </c>
      <c r="Q26" s="9" t="s">
        <v>871</v>
      </c>
    </row>
    <row r="27">
      <c r="A27" s="63">
        <v>46035.71809623843</v>
      </c>
      <c r="B27" s="2" t="s">
        <v>105</v>
      </c>
      <c r="C27" s="5">
        <v>46035.0</v>
      </c>
      <c r="D27" s="2" t="s">
        <v>19</v>
      </c>
      <c r="E27" s="2" t="s">
        <v>798</v>
      </c>
      <c r="F27" s="2" t="s">
        <v>742</v>
      </c>
      <c r="G27" s="2">
        <v>1.0</v>
      </c>
      <c r="H27" s="2" t="s">
        <v>48</v>
      </c>
      <c r="I27" s="2" t="s">
        <v>743</v>
      </c>
      <c r="K27" s="2">
        <v>0.0</v>
      </c>
      <c r="L27" s="2">
        <v>0.0</v>
      </c>
      <c r="M27" s="2" t="s">
        <v>268</v>
      </c>
      <c r="N27" s="2" t="s">
        <v>24</v>
      </c>
      <c r="Q27" s="9" t="s">
        <v>871</v>
      </c>
    </row>
    <row r="28">
      <c r="N28" s="4"/>
    </row>
    <row r="29">
      <c r="N29" s="4"/>
    </row>
    <row r="30">
      <c r="N30" s="4"/>
    </row>
    <row r="31">
      <c r="M31" s="2" t="s">
        <v>872</v>
      </c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  <row r="972">
      <c r="N972" s="4"/>
    </row>
    <row r="973">
      <c r="N973" s="4"/>
    </row>
    <row r="974">
      <c r="N974" s="4"/>
    </row>
  </sheetData>
  <dataValidations>
    <dataValidation type="list" allowBlank="1" showErrorMessage="1" sqref="N1:N974">
      <formula1>"Approved,Pending"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</hyperlinks>
  <drawing r:id="rId27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2.25"/>
    <col customWidth="1" min="3" max="3" width="9.5"/>
    <col customWidth="1" min="4" max="4" width="18.63"/>
    <col customWidth="1" min="5" max="5" width="15.75"/>
    <col customWidth="1" min="6" max="6" width="7.63"/>
    <col customWidth="1" min="7" max="7" width="3.63"/>
    <col customWidth="1" min="8" max="8" width="4.5"/>
    <col customWidth="1" min="9" max="9" width="25.25"/>
    <col customWidth="1" min="10" max="10" width="6.0"/>
    <col customWidth="1" min="11" max="11" width="6.75"/>
    <col customWidth="1" min="12" max="12" width="4.5"/>
    <col customWidth="1" min="13" max="13" width="15.75"/>
    <col customWidth="1" min="14" max="14" width="21.38"/>
    <col customWidth="1" min="15" max="15" width="11.13"/>
    <col customWidth="1" min="16" max="16" width="10.38"/>
    <col customWidth="1" min="17" max="17" width="70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46027.440511782406</v>
      </c>
      <c r="B2" s="2" t="s">
        <v>307</v>
      </c>
      <c r="C2" s="5">
        <v>46027.0</v>
      </c>
      <c r="D2" s="2" t="s">
        <v>19</v>
      </c>
      <c r="E2" s="2" t="s">
        <v>798</v>
      </c>
      <c r="F2" s="2" t="s">
        <v>586</v>
      </c>
      <c r="G2" s="2">
        <v>5.0</v>
      </c>
      <c r="H2" s="2" t="s">
        <v>66</v>
      </c>
      <c r="I2" s="2" t="s">
        <v>587</v>
      </c>
      <c r="K2" s="2">
        <v>0.0</v>
      </c>
      <c r="L2" s="2">
        <v>0.0</v>
      </c>
      <c r="M2" s="2" t="s">
        <v>873</v>
      </c>
      <c r="N2" s="2" t="s">
        <v>24</v>
      </c>
      <c r="Q2" s="9" t="s">
        <v>874</v>
      </c>
    </row>
    <row r="3">
      <c r="A3" s="63">
        <v>46027.440511782406</v>
      </c>
      <c r="B3" s="2" t="s">
        <v>307</v>
      </c>
      <c r="C3" s="5">
        <v>46027.0</v>
      </c>
      <c r="D3" s="2" t="s">
        <v>19</v>
      </c>
      <c r="E3" s="2" t="s">
        <v>798</v>
      </c>
      <c r="F3" s="2" t="s">
        <v>701</v>
      </c>
      <c r="G3" s="2">
        <v>1.0</v>
      </c>
      <c r="H3" s="2" t="s">
        <v>703</v>
      </c>
      <c r="I3" s="2" t="s">
        <v>702</v>
      </c>
      <c r="K3" s="2">
        <v>0.0</v>
      </c>
      <c r="L3" s="2">
        <v>0.0</v>
      </c>
      <c r="M3" s="2" t="s">
        <v>873</v>
      </c>
      <c r="N3" s="2" t="s">
        <v>24</v>
      </c>
      <c r="Q3" s="9" t="s">
        <v>874</v>
      </c>
    </row>
    <row r="4">
      <c r="A4" s="63">
        <v>46027.440511782406</v>
      </c>
      <c r="B4" s="2" t="s">
        <v>307</v>
      </c>
      <c r="C4" s="5">
        <v>46027.0</v>
      </c>
      <c r="D4" s="2" t="s">
        <v>19</v>
      </c>
      <c r="E4" s="2" t="s">
        <v>798</v>
      </c>
      <c r="F4" s="2" t="s">
        <v>640</v>
      </c>
      <c r="G4" s="2">
        <v>2.0</v>
      </c>
      <c r="H4" s="2" t="s">
        <v>66</v>
      </c>
      <c r="I4" s="2" t="s">
        <v>641</v>
      </c>
      <c r="K4" s="2">
        <v>0.0</v>
      </c>
      <c r="L4" s="2">
        <v>0.0</v>
      </c>
      <c r="M4" s="2" t="s">
        <v>873</v>
      </c>
      <c r="N4" s="2" t="s">
        <v>875</v>
      </c>
      <c r="Q4" s="9" t="s">
        <v>874</v>
      </c>
    </row>
    <row r="5">
      <c r="A5" s="63">
        <v>46031.651738182874</v>
      </c>
      <c r="B5" s="2" t="s">
        <v>307</v>
      </c>
      <c r="C5" s="5">
        <v>46031.0</v>
      </c>
      <c r="D5" s="2" t="s">
        <v>19</v>
      </c>
      <c r="E5" s="2" t="s">
        <v>798</v>
      </c>
      <c r="F5" s="2" t="s">
        <v>592</v>
      </c>
      <c r="G5" s="2">
        <v>30.0</v>
      </c>
      <c r="H5" s="2" t="s">
        <v>66</v>
      </c>
      <c r="I5" s="2" t="s">
        <v>593</v>
      </c>
      <c r="K5" s="2">
        <v>0.0</v>
      </c>
      <c r="L5" s="2">
        <v>0.0</v>
      </c>
      <c r="M5" s="2" t="s">
        <v>310</v>
      </c>
      <c r="N5" s="12" t="s">
        <v>24</v>
      </c>
      <c r="Q5" s="9" t="s">
        <v>876</v>
      </c>
    </row>
    <row r="6">
      <c r="A6" s="63">
        <v>46031.651738182874</v>
      </c>
      <c r="B6" s="2" t="s">
        <v>307</v>
      </c>
      <c r="C6" s="5">
        <v>46031.0</v>
      </c>
      <c r="D6" s="2" t="s">
        <v>19</v>
      </c>
      <c r="E6" s="2" t="s">
        <v>798</v>
      </c>
      <c r="F6" s="2" t="s">
        <v>678</v>
      </c>
      <c r="G6" s="2">
        <v>6.0</v>
      </c>
      <c r="H6" s="2" t="s">
        <v>66</v>
      </c>
      <c r="I6" s="2" t="s">
        <v>679</v>
      </c>
      <c r="K6" s="2">
        <v>0.0</v>
      </c>
      <c r="L6" s="2">
        <v>0.0</v>
      </c>
      <c r="M6" s="2" t="s">
        <v>310</v>
      </c>
      <c r="N6" s="12" t="s">
        <v>24</v>
      </c>
      <c r="Q6" s="9" t="s">
        <v>876</v>
      </c>
    </row>
    <row r="7">
      <c r="A7" s="63">
        <v>46031.651738182874</v>
      </c>
      <c r="B7" s="2" t="s">
        <v>307</v>
      </c>
      <c r="C7" s="5">
        <v>46031.0</v>
      </c>
      <c r="D7" s="2" t="s">
        <v>19</v>
      </c>
      <c r="E7" s="2" t="s">
        <v>798</v>
      </c>
      <c r="F7" s="2" t="s">
        <v>640</v>
      </c>
      <c r="G7" s="2">
        <v>2.0</v>
      </c>
      <c r="H7" s="2" t="s">
        <v>66</v>
      </c>
      <c r="I7" s="2" t="s">
        <v>641</v>
      </c>
      <c r="K7" s="2">
        <v>0.0</v>
      </c>
      <c r="L7" s="2">
        <v>0.0</v>
      </c>
      <c r="M7" s="2" t="s">
        <v>310</v>
      </c>
      <c r="N7" s="12" t="s">
        <v>24</v>
      </c>
      <c r="Q7" s="9" t="s">
        <v>876</v>
      </c>
    </row>
    <row r="8">
      <c r="A8" s="63">
        <v>46031.651738182874</v>
      </c>
      <c r="B8" s="2" t="s">
        <v>307</v>
      </c>
      <c r="C8" s="5">
        <v>46031.0</v>
      </c>
      <c r="D8" s="2" t="s">
        <v>19</v>
      </c>
      <c r="E8" s="2" t="s">
        <v>798</v>
      </c>
      <c r="F8" s="2" t="s">
        <v>580</v>
      </c>
      <c r="G8" s="2">
        <v>10.0</v>
      </c>
      <c r="H8" s="2" t="s">
        <v>66</v>
      </c>
      <c r="I8" s="2" t="s">
        <v>581</v>
      </c>
      <c r="K8" s="2">
        <v>0.0</v>
      </c>
      <c r="L8" s="2">
        <v>0.0</v>
      </c>
      <c r="M8" s="2" t="s">
        <v>310</v>
      </c>
      <c r="N8" s="12" t="s">
        <v>24</v>
      </c>
      <c r="Q8" s="9" t="s">
        <v>876</v>
      </c>
    </row>
    <row r="9">
      <c r="N9" s="4"/>
    </row>
    <row r="10">
      <c r="N10" s="4"/>
    </row>
    <row r="11">
      <c r="N11" s="4"/>
    </row>
    <row r="12">
      <c r="N12" s="4"/>
    </row>
    <row r="13">
      <c r="N13" s="4"/>
    </row>
    <row r="14">
      <c r="N14" s="4"/>
    </row>
    <row r="15">
      <c r="N15" s="4"/>
    </row>
    <row r="16">
      <c r="N16" s="4"/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  <row r="972">
      <c r="N972" s="4"/>
    </row>
  </sheetData>
  <dataValidations>
    <dataValidation type="list" allowBlank="1" showErrorMessage="1" sqref="N1:N972">
      <formula1>"Approved,Pending,No Stocks"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</hyperlinks>
  <drawing r:id="rId8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2.88"/>
    <col customWidth="1" min="3" max="3" width="9.5"/>
    <col customWidth="1" min="4" max="4" width="18.63"/>
    <col customWidth="1" min="5" max="5" width="15.75"/>
    <col customWidth="1" min="6" max="6" width="7.63"/>
    <col customWidth="1" min="7" max="7" width="3.63"/>
    <col customWidth="1" min="8" max="8" width="5.88"/>
    <col customWidth="1" min="9" max="9" width="39.88"/>
    <col customWidth="1" min="10" max="10" width="6.0"/>
    <col customWidth="1" min="11" max="11" width="6.75"/>
    <col customWidth="1" min="12" max="12" width="4.5"/>
    <col customWidth="1" min="13" max="13" width="12.88"/>
    <col customWidth="1" min="14" max="14" width="13.0"/>
    <col customWidth="1" min="15" max="15" width="11.13"/>
    <col customWidth="1" min="16" max="16" width="10.38"/>
    <col customWidth="1" min="17" max="17" width="6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1">
        <v>46029.46369851852</v>
      </c>
      <c r="B2" s="2" t="s">
        <v>183</v>
      </c>
      <c r="C2" s="5">
        <v>46029.0</v>
      </c>
      <c r="D2" s="2" t="s">
        <v>19</v>
      </c>
      <c r="E2" s="2" t="s">
        <v>798</v>
      </c>
      <c r="F2" s="2" t="s">
        <v>740</v>
      </c>
      <c r="G2" s="2">
        <v>1.0</v>
      </c>
      <c r="H2" s="2" t="s">
        <v>21</v>
      </c>
      <c r="I2" s="2" t="s">
        <v>741</v>
      </c>
      <c r="K2" s="2">
        <v>0.0</v>
      </c>
      <c r="L2" s="2">
        <v>0.0</v>
      </c>
      <c r="M2" s="2" t="s">
        <v>877</v>
      </c>
      <c r="N2" s="2" t="s">
        <v>24</v>
      </c>
      <c r="Q2" s="9" t="s">
        <v>878</v>
      </c>
    </row>
    <row r="3">
      <c r="A3" s="1">
        <v>46029.46369851852</v>
      </c>
      <c r="B3" s="2" t="s">
        <v>183</v>
      </c>
      <c r="C3" s="5">
        <v>46029.0</v>
      </c>
      <c r="D3" s="2" t="s">
        <v>19</v>
      </c>
      <c r="E3" s="2" t="s">
        <v>798</v>
      </c>
      <c r="F3" s="2" t="s">
        <v>592</v>
      </c>
      <c r="G3" s="2">
        <v>20.0</v>
      </c>
      <c r="H3" s="2" t="s">
        <v>66</v>
      </c>
      <c r="I3" s="2" t="s">
        <v>593</v>
      </c>
      <c r="K3" s="2">
        <v>0.0</v>
      </c>
      <c r="L3" s="2">
        <v>0.0</v>
      </c>
      <c r="M3" s="2" t="s">
        <v>877</v>
      </c>
      <c r="N3" s="2" t="s">
        <v>24</v>
      </c>
      <c r="Q3" s="9" t="s">
        <v>878</v>
      </c>
    </row>
    <row r="4">
      <c r="A4" s="1">
        <v>46029.46369851852</v>
      </c>
      <c r="B4" s="2" t="s">
        <v>183</v>
      </c>
      <c r="C4" s="5">
        <v>46029.0</v>
      </c>
      <c r="D4" s="2" t="s">
        <v>19</v>
      </c>
      <c r="E4" s="2" t="s">
        <v>798</v>
      </c>
      <c r="F4" s="2" t="s">
        <v>732</v>
      </c>
      <c r="G4" s="2">
        <v>1.0</v>
      </c>
      <c r="H4" s="2" t="s">
        <v>722</v>
      </c>
      <c r="I4" s="2" t="s">
        <v>733</v>
      </c>
      <c r="K4" s="2">
        <v>0.0</v>
      </c>
      <c r="L4" s="2">
        <v>0.0</v>
      </c>
      <c r="M4" s="2" t="s">
        <v>877</v>
      </c>
      <c r="N4" s="2" t="s">
        <v>24</v>
      </c>
      <c r="Q4" s="9" t="s">
        <v>878</v>
      </c>
    </row>
    <row r="5">
      <c r="A5" s="1">
        <v>46029.46369851852</v>
      </c>
      <c r="B5" s="2" t="s">
        <v>183</v>
      </c>
      <c r="C5" s="5">
        <v>46029.0</v>
      </c>
      <c r="D5" s="2" t="s">
        <v>19</v>
      </c>
      <c r="E5" s="2" t="s">
        <v>798</v>
      </c>
      <c r="F5" s="2" t="s">
        <v>624</v>
      </c>
      <c r="G5" s="2">
        <v>30.0</v>
      </c>
      <c r="H5" s="2" t="s">
        <v>66</v>
      </c>
      <c r="I5" s="2" t="s">
        <v>625</v>
      </c>
      <c r="K5" s="2">
        <v>0.0</v>
      </c>
      <c r="L5" s="2">
        <v>0.0</v>
      </c>
      <c r="M5" s="2" t="s">
        <v>877</v>
      </c>
      <c r="N5" s="2" t="s">
        <v>24</v>
      </c>
      <c r="Q5" s="9" t="s">
        <v>878</v>
      </c>
    </row>
    <row r="6">
      <c r="A6" s="1">
        <v>46029.46369851852</v>
      </c>
      <c r="B6" s="2" t="s">
        <v>183</v>
      </c>
      <c r="C6" s="5">
        <v>46029.0</v>
      </c>
      <c r="D6" s="2" t="s">
        <v>19</v>
      </c>
      <c r="E6" s="2" t="s">
        <v>798</v>
      </c>
      <c r="F6" s="2" t="s">
        <v>586</v>
      </c>
      <c r="G6" s="2">
        <v>10.0</v>
      </c>
      <c r="H6" s="2" t="s">
        <v>66</v>
      </c>
      <c r="I6" s="2" t="s">
        <v>587</v>
      </c>
      <c r="K6" s="2">
        <v>0.0</v>
      </c>
      <c r="L6" s="2">
        <v>0.0</v>
      </c>
      <c r="M6" s="2" t="s">
        <v>877</v>
      </c>
      <c r="N6" s="2" t="s">
        <v>24</v>
      </c>
      <c r="Q6" s="9" t="s">
        <v>878</v>
      </c>
    </row>
    <row r="7">
      <c r="A7" s="1">
        <v>46029.46369851852</v>
      </c>
      <c r="B7" s="2" t="s">
        <v>183</v>
      </c>
      <c r="C7" s="5">
        <v>46029.0</v>
      </c>
      <c r="D7" s="2" t="s">
        <v>19</v>
      </c>
      <c r="E7" s="2" t="s">
        <v>798</v>
      </c>
      <c r="F7" s="2" t="s">
        <v>724</v>
      </c>
      <c r="G7" s="2">
        <v>1.0</v>
      </c>
      <c r="H7" s="2" t="s">
        <v>836</v>
      </c>
      <c r="I7" s="2" t="s">
        <v>725</v>
      </c>
      <c r="K7" s="2">
        <v>0.0</v>
      </c>
      <c r="L7" s="2">
        <v>0.0</v>
      </c>
      <c r="M7" s="2" t="s">
        <v>877</v>
      </c>
      <c r="N7" s="2" t="s">
        <v>24</v>
      </c>
      <c r="Q7" s="9" t="s">
        <v>878</v>
      </c>
    </row>
    <row r="8">
      <c r="A8" s="1">
        <v>46029.46369851852</v>
      </c>
      <c r="B8" s="2" t="s">
        <v>183</v>
      </c>
      <c r="C8" s="5">
        <v>46029.0</v>
      </c>
      <c r="D8" s="2" t="s">
        <v>19</v>
      </c>
      <c r="E8" s="2" t="s">
        <v>798</v>
      </c>
      <c r="F8" s="2" t="s">
        <v>728</v>
      </c>
      <c r="G8" s="2">
        <v>1.0</v>
      </c>
      <c r="H8" s="2" t="s">
        <v>836</v>
      </c>
      <c r="I8" s="2" t="s">
        <v>729</v>
      </c>
      <c r="K8" s="2">
        <v>0.0</v>
      </c>
      <c r="L8" s="2">
        <v>0.0</v>
      </c>
      <c r="M8" s="2" t="s">
        <v>877</v>
      </c>
      <c r="N8" s="2" t="s">
        <v>24</v>
      </c>
      <c r="Q8" s="9" t="s">
        <v>878</v>
      </c>
    </row>
    <row r="9">
      <c r="A9" s="1">
        <v>46029.46369851852</v>
      </c>
      <c r="B9" s="2" t="s">
        <v>183</v>
      </c>
      <c r="C9" s="5">
        <v>46029.0</v>
      </c>
      <c r="D9" s="2" t="s">
        <v>19</v>
      </c>
      <c r="E9" s="2" t="s">
        <v>798</v>
      </c>
      <c r="F9" s="2" t="s">
        <v>622</v>
      </c>
      <c r="G9" s="2">
        <v>3.0</v>
      </c>
      <c r="H9" s="2" t="s">
        <v>66</v>
      </c>
      <c r="I9" s="2" t="s">
        <v>623</v>
      </c>
      <c r="K9" s="2">
        <v>0.0</v>
      </c>
      <c r="L9" s="2">
        <v>0.0</v>
      </c>
      <c r="M9" s="2" t="s">
        <v>877</v>
      </c>
      <c r="N9" s="2" t="s">
        <v>24</v>
      </c>
      <c r="Q9" s="9" t="s">
        <v>878</v>
      </c>
    </row>
    <row r="10">
      <c r="A10" s="1">
        <v>46029.46369851852</v>
      </c>
      <c r="B10" s="2" t="s">
        <v>183</v>
      </c>
      <c r="C10" s="5">
        <v>46029.0</v>
      </c>
      <c r="D10" s="2" t="s">
        <v>19</v>
      </c>
      <c r="E10" s="2" t="s">
        <v>798</v>
      </c>
      <c r="F10" s="2" t="s">
        <v>648</v>
      </c>
      <c r="G10" s="2">
        <v>3.0</v>
      </c>
      <c r="H10" s="2" t="s">
        <v>66</v>
      </c>
      <c r="I10" s="2" t="s">
        <v>649</v>
      </c>
      <c r="K10" s="2">
        <v>0.0</v>
      </c>
      <c r="L10" s="2">
        <v>0.0</v>
      </c>
      <c r="M10" s="2" t="s">
        <v>877</v>
      </c>
      <c r="N10" s="2" t="s">
        <v>24</v>
      </c>
      <c r="Q10" s="9" t="s">
        <v>878</v>
      </c>
    </row>
    <row r="11">
      <c r="A11" s="1">
        <v>46029.46369851852</v>
      </c>
      <c r="B11" s="2" t="s">
        <v>183</v>
      </c>
      <c r="C11" s="5">
        <v>46029.0</v>
      </c>
      <c r="D11" s="2" t="s">
        <v>19</v>
      </c>
      <c r="E11" s="2" t="s">
        <v>798</v>
      </c>
      <c r="F11" s="2" t="s">
        <v>690</v>
      </c>
      <c r="G11" s="2">
        <v>6.0</v>
      </c>
      <c r="H11" s="2" t="s">
        <v>66</v>
      </c>
      <c r="I11" s="2" t="s">
        <v>691</v>
      </c>
      <c r="K11" s="2">
        <v>0.0</v>
      </c>
      <c r="L11" s="2">
        <v>0.0</v>
      </c>
      <c r="M11" s="2" t="s">
        <v>877</v>
      </c>
      <c r="N11" s="2" t="s">
        <v>24</v>
      </c>
      <c r="Q11" s="9" t="s">
        <v>878</v>
      </c>
    </row>
    <row r="12">
      <c r="A12" s="1">
        <v>46029.46369851852</v>
      </c>
      <c r="B12" s="2" t="s">
        <v>183</v>
      </c>
      <c r="C12" s="5">
        <v>46029.0</v>
      </c>
      <c r="D12" s="2" t="s">
        <v>19</v>
      </c>
      <c r="E12" s="2" t="s">
        <v>798</v>
      </c>
      <c r="F12" s="2" t="s">
        <v>726</v>
      </c>
      <c r="G12" s="2">
        <v>1.0</v>
      </c>
      <c r="H12" s="2" t="s">
        <v>836</v>
      </c>
      <c r="I12" s="2" t="s">
        <v>727</v>
      </c>
      <c r="K12" s="2">
        <v>0.0</v>
      </c>
      <c r="L12" s="2">
        <v>0.0</v>
      </c>
      <c r="M12" s="2" t="s">
        <v>877</v>
      </c>
      <c r="N12" s="2" t="s">
        <v>24</v>
      </c>
      <c r="Q12" s="9" t="s">
        <v>878</v>
      </c>
    </row>
    <row r="13">
      <c r="A13" s="1">
        <v>46029.46369851852</v>
      </c>
      <c r="B13" s="2" t="s">
        <v>183</v>
      </c>
      <c r="C13" s="5">
        <v>46029.0</v>
      </c>
      <c r="D13" s="2" t="s">
        <v>19</v>
      </c>
      <c r="E13" s="2" t="s">
        <v>798</v>
      </c>
      <c r="F13" s="2" t="s">
        <v>614</v>
      </c>
      <c r="G13" s="2">
        <v>3.0</v>
      </c>
      <c r="H13" s="2" t="s">
        <v>66</v>
      </c>
      <c r="I13" s="2" t="s">
        <v>615</v>
      </c>
      <c r="K13" s="2">
        <v>0.0</v>
      </c>
      <c r="L13" s="2">
        <v>0.0</v>
      </c>
      <c r="M13" s="2" t="s">
        <v>877</v>
      </c>
      <c r="N13" s="2" t="s">
        <v>24</v>
      </c>
      <c r="Q13" s="9" t="s">
        <v>878</v>
      </c>
    </row>
    <row r="14">
      <c r="A14" s="1">
        <v>46029.46369851852</v>
      </c>
      <c r="B14" s="2" t="s">
        <v>183</v>
      </c>
      <c r="C14" s="5">
        <v>46029.0</v>
      </c>
      <c r="D14" s="2" t="s">
        <v>19</v>
      </c>
      <c r="E14" s="2" t="s">
        <v>798</v>
      </c>
      <c r="F14" s="2" t="s">
        <v>688</v>
      </c>
      <c r="G14" s="2">
        <v>5.0</v>
      </c>
      <c r="H14" s="2" t="s">
        <v>66</v>
      </c>
      <c r="I14" s="2" t="s">
        <v>689</v>
      </c>
      <c r="K14" s="2">
        <v>0.0</v>
      </c>
      <c r="L14" s="2">
        <v>0.0</v>
      </c>
      <c r="M14" s="2" t="s">
        <v>877</v>
      </c>
      <c r="N14" s="2" t="s">
        <v>24</v>
      </c>
      <c r="Q14" s="9" t="s">
        <v>878</v>
      </c>
    </row>
    <row r="15">
      <c r="A15" s="1">
        <v>46029.46369851852</v>
      </c>
      <c r="B15" s="2" t="s">
        <v>183</v>
      </c>
      <c r="C15" s="5">
        <v>46029.0</v>
      </c>
      <c r="D15" s="2" t="s">
        <v>19</v>
      </c>
      <c r="E15" s="2" t="s">
        <v>798</v>
      </c>
      <c r="F15" s="2" t="s">
        <v>646</v>
      </c>
      <c r="G15" s="2">
        <v>2.0</v>
      </c>
      <c r="H15" s="2" t="s">
        <v>66</v>
      </c>
      <c r="I15" s="2" t="s">
        <v>647</v>
      </c>
      <c r="K15" s="2">
        <v>0.0</v>
      </c>
      <c r="L15" s="2">
        <v>0.0</v>
      </c>
      <c r="M15" s="2" t="s">
        <v>877</v>
      </c>
      <c r="N15" s="2" t="s">
        <v>24</v>
      </c>
      <c r="Q15" s="9" t="s">
        <v>878</v>
      </c>
    </row>
    <row r="16">
      <c r="A16" s="1">
        <v>46029.46369851852</v>
      </c>
      <c r="B16" s="2" t="s">
        <v>183</v>
      </c>
      <c r="C16" s="5">
        <v>46029.0</v>
      </c>
      <c r="D16" s="2" t="s">
        <v>19</v>
      </c>
      <c r="E16" s="2" t="s">
        <v>798</v>
      </c>
      <c r="F16" s="2" t="s">
        <v>678</v>
      </c>
      <c r="G16" s="2">
        <v>12.0</v>
      </c>
      <c r="H16" s="2" t="s">
        <v>66</v>
      </c>
      <c r="I16" s="2" t="s">
        <v>679</v>
      </c>
      <c r="K16" s="2">
        <v>0.0</v>
      </c>
      <c r="L16" s="2">
        <v>0.0</v>
      </c>
      <c r="M16" s="2" t="s">
        <v>877</v>
      </c>
      <c r="N16" s="2" t="s">
        <v>24</v>
      </c>
      <c r="Q16" s="9" t="s">
        <v>878</v>
      </c>
    </row>
    <row r="17">
      <c r="A17" s="1">
        <v>46029.46369851852</v>
      </c>
      <c r="B17" s="2" t="s">
        <v>183</v>
      </c>
      <c r="C17" s="5">
        <v>46029.0</v>
      </c>
      <c r="D17" s="2" t="s">
        <v>19</v>
      </c>
      <c r="E17" s="2" t="s">
        <v>798</v>
      </c>
      <c r="F17" s="2" t="s">
        <v>694</v>
      </c>
      <c r="G17" s="2">
        <v>2.0</v>
      </c>
      <c r="H17" s="2" t="s">
        <v>821</v>
      </c>
      <c r="I17" s="2" t="s">
        <v>695</v>
      </c>
      <c r="K17" s="2">
        <v>0.0</v>
      </c>
      <c r="L17" s="2">
        <v>0.0</v>
      </c>
      <c r="M17" s="2" t="s">
        <v>877</v>
      </c>
      <c r="N17" s="2" t="s">
        <v>24</v>
      </c>
      <c r="Q17" s="9" t="s">
        <v>878</v>
      </c>
    </row>
    <row r="18">
      <c r="A18" s="1">
        <v>46029.46369851852</v>
      </c>
      <c r="B18" s="2" t="s">
        <v>183</v>
      </c>
      <c r="C18" s="5">
        <v>46029.0</v>
      </c>
      <c r="D18" s="2" t="s">
        <v>19</v>
      </c>
      <c r="E18" s="2" t="s">
        <v>798</v>
      </c>
      <c r="F18" s="2" t="s">
        <v>734</v>
      </c>
      <c r="G18" s="2">
        <v>50.0</v>
      </c>
      <c r="H18" s="2" t="s">
        <v>66</v>
      </c>
      <c r="I18" s="2" t="s">
        <v>735</v>
      </c>
      <c r="K18" s="2">
        <v>0.0</v>
      </c>
      <c r="L18" s="2">
        <v>0.0</v>
      </c>
      <c r="M18" s="2" t="s">
        <v>877</v>
      </c>
      <c r="N18" s="2" t="s">
        <v>24</v>
      </c>
      <c r="Q18" s="9" t="s">
        <v>878</v>
      </c>
    </row>
    <row r="19">
      <c r="A19" s="1">
        <v>46029.46369851852</v>
      </c>
      <c r="B19" s="2" t="s">
        <v>183</v>
      </c>
      <c r="C19" s="5">
        <v>46029.0</v>
      </c>
      <c r="D19" s="2" t="s">
        <v>19</v>
      </c>
      <c r="E19" s="2" t="s">
        <v>798</v>
      </c>
      <c r="F19" s="2" t="s">
        <v>764</v>
      </c>
      <c r="G19" s="2">
        <v>3.0</v>
      </c>
      <c r="H19" s="2" t="s">
        <v>822</v>
      </c>
      <c r="I19" s="2" t="s">
        <v>765</v>
      </c>
      <c r="K19" s="2">
        <v>0.0</v>
      </c>
      <c r="L19" s="2">
        <v>0.0</v>
      </c>
      <c r="M19" s="2" t="s">
        <v>877</v>
      </c>
      <c r="N19" s="2" t="s">
        <v>24</v>
      </c>
      <c r="Q19" s="9" t="s">
        <v>878</v>
      </c>
    </row>
    <row r="20">
      <c r="A20" s="1">
        <v>46029.46369851852</v>
      </c>
      <c r="B20" s="2" t="s">
        <v>183</v>
      </c>
      <c r="C20" s="5">
        <v>46029.0</v>
      </c>
      <c r="D20" s="2" t="s">
        <v>19</v>
      </c>
      <c r="E20" s="2" t="s">
        <v>798</v>
      </c>
      <c r="F20" s="2" t="s">
        <v>753</v>
      </c>
      <c r="G20" s="2">
        <v>1.0</v>
      </c>
      <c r="H20" s="2" t="s">
        <v>822</v>
      </c>
      <c r="I20" s="2" t="s">
        <v>754</v>
      </c>
      <c r="K20" s="2">
        <v>0.0</v>
      </c>
      <c r="L20" s="2">
        <v>0.0</v>
      </c>
      <c r="M20" s="2" t="s">
        <v>877</v>
      </c>
      <c r="N20" s="2" t="s">
        <v>24</v>
      </c>
      <c r="Q20" s="9" t="s">
        <v>878</v>
      </c>
    </row>
    <row r="21">
      <c r="A21" s="1">
        <v>46029.46369851852</v>
      </c>
      <c r="B21" s="2" t="s">
        <v>183</v>
      </c>
      <c r="C21" s="5">
        <v>46029.0</v>
      </c>
      <c r="D21" s="2" t="s">
        <v>19</v>
      </c>
      <c r="E21" s="2" t="s">
        <v>798</v>
      </c>
      <c r="F21" s="2" t="s">
        <v>580</v>
      </c>
      <c r="G21" s="2">
        <v>20.0</v>
      </c>
      <c r="H21" s="2" t="s">
        <v>66</v>
      </c>
      <c r="I21" s="2" t="s">
        <v>581</v>
      </c>
      <c r="K21" s="2">
        <v>0.0</v>
      </c>
      <c r="L21" s="2">
        <v>0.0</v>
      </c>
      <c r="M21" s="2" t="s">
        <v>877</v>
      </c>
      <c r="N21" s="2" t="s">
        <v>24</v>
      </c>
      <c r="Q21" s="9" t="s">
        <v>878</v>
      </c>
    </row>
    <row r="22">
      <c r="A22" s="1">
        <v>46029.46369851852</v>
      </c>
      <c r="B22" s="2" t="s">
        <v>183</v>
      </c>
      <c r="C22" s="5">
        <v>46029.0</v>
      </c>
      <c r="D22" s="2" t="s">
        <v>19</v>
      </c>
      <c r="E22" s="2" t="s">
        <v>798</v>
      </c>
      <c r="F22" s="2" t="s">
        <v>742</v>
      </c>
      <c r="G22" s="2">
        <v>1.0</v>
      </c>
      <c r="H22" s="2" t="s">
        <v>868</v>
      </c>
      <c r="I22" s="2" t="s">
        <v>743</v>
      </c>
      <c r="K22" s="2">
        <v>0.0</v>
      </c>
      <c r="L22" s="2">
        <v>0.0</v>
      </c>
      <c r="M22" s="2" t="s">
        <v>877</v>
      </c>
      <c r="N22" s="2" t="s">
        <v>24</v>
      </c>
      <c r="Q22" s="9" t="s">
        <v>878</v>
      </c>
    </row>
    <row r="23">
      <c r="A23" s="1">
        <v>46029.46369851852</v>
      </c>
      <c r="B23" s="2" t="s">
        <v>183</v>
      </c>
      <c r="C23" s="5">
        <v>46029.0</v>
      </c>
      <c r="D23" s="2" t="s">
        <v>19</v>
      </c>
      <c r="E23" s="2" t="s">
        <v>798</v>
      </c>
      <c r="F23" s="2" t="s">
        <v>569</v>
      </c>
      <c r="G23" s="2">
        <v>1.0</v>
      </c>
      <c r="H23" s="2" t="s">
        <v>571</v>
      </c>
      <c r="I23" s="2" t="s">
        <v>570</v>
      </c>
      <c r="K23" s="2">
        <v>0.0</v>
      </c>
      <c r="L23" s="2">
        <v>0.0</v>
      </c>
      <c r="M23" s="2" t="s">
        <v>877</v>
      </c>
      <c r="N23" s="2" t="s">
        <v>24</v>
      </c>
      <c r="Q23" s="9" t="s">
        <v>878</v>
      </c>
    </row>
    <row r="24">
      <c r="A24" s="1">
        <v>46029.46369851852</v>
      </c>
      <c r="B24" s="2" t="s">
        <v>183</v>
      </c>
      <c r="C24" s="5">
        <v>46029.0</v>
      </c>
      <c r="D24" s="2" t="s">
        <v>19</v>
      </c>
      <c r="E24" s="2" t="s">
        <v>798</v>
      </c>
      <c r="F24" s="2" t="s">
        <v>572</v>
      </c>
      <c r="G24" s="2">
        <v>1.0</v>
      </c>
      <c r="H24" s="2" t="s">
        <v>571</v>
      </c>
      <c r="I24" s="2" t="s">
        <v>573</v>
      </c>
      <c r="K24" s="2">
        <v>0.0</v>
      </c>
      <c r="L24" s="2">
        <v>0.0</v>
      </c>
      <c r="M24" s="2" t="s">
        <v>877</v>
      </c>
      <c r="N24" s="2" t="s">
        <v>24</v>
      </c>
      <c r="Q24" s="9" t="s">
        <v>878</v>
      </c>
    </row>
    <row r="25">
      <c r="A25" s="1">
        <v>46029.49666793981</v>
      </c>
      <c r="B25" s="2" t="s">
        <v>183</v>
      </c>
      <c r="C25" s="5">
        <v>46029.0</v>
      </c>
      <c r="D25" s="2" t="s">
        <v>19</v>
      </c>
      <c r="E25" s="2" t="s">
        <v>798</v>
      </c>
      <c r="F25" s="2" t="s">
        <v>730</v>
      </c>
      <c r="G25" s="2">
        <v>1.0</v>
      </c>
      <c r="H25" s="2" t="s">
        <v>722</v>
      </c>
      <c r="I25" s="2" t="s">
        <v>731</v>
      </c>
      <c r="K25" s="2">
        <v>0.0</v>
      </c>
      <c r="L25" s="2">
        <v>0.0</v>
      </c>
      <c r="M25" s="2" t="s">
        <v>877</v>
      </c>
      <c r="N25" s="2" t="s">
        <v>24</v>
      </c>
      <c r="Q25" s="9" t="s">
        <v>879</v>
      </c>
    </row>
    <row r="26">
      <c r="A26" s="1">
        <v>46029.72800354166</v>
      </c>
      <c r="B26" s="2" t="s">
        <v>183</v>
      </c>
      <c r="C26" s="5">
        <v>46029.0</v>
      </c>
      <c r="D26" s="2" t="s">
        <v>19</v>
      </c>
      <c r="E26" s="2" t="s">
        <v>798</v>
      </c>
      <c r="F26" s="2" t="s">
        <v>606</v>
      </c>
      <c r="G26" s="2">
        <v>20.0</v>
      </c>
      <c r="H26" s="2" t="s">
        <v>66</v>
      </c>
      <c r="I26" s="2" t="s">
        <v>607</v>
      </c>
      <c r="K26" s="2">
        <v>0.0</v>
      </c>
      <c r="L26" s="2">
        <v>0.0</v>
      </c>
      <c r="M26" s="2" t="s">
        <v>880</v>
      </c>
      <c r="N26" s="2" t="s">
        <v>837</v>
      </c>
      <c r="Q26" s="9" t="s">
        <v>881</v>
      </c>
    </row>
    <row r="27">
      <c r="A27" s="1">
        <v>46036.674638055556</v>
      </c>
      <c r="B27" s="2" t="s">
        <v>183</v>
      </c>
      <c r="C27" s="5">
        <v>46036.0</v>
      </c>
      <c r="D27" s="2" t="s">
        <v>19</v>
      </c>
      <c r="E27" s="2" t="s">
        <v>798</v>
      </c>
      <c r="F27" s="2" t="s">
        <v>572</v>
      </c>
      <c r="G27" s="2">
        <v>1.0</v>
      </c>
      <c r="H27" s="2" t="s">
        <v>571</v>
      </c>
      <c r="I27" s="2" t="s">
        <v>573</v>
      </c>
      <c r="K27" s="2">
        <v>0.0</v>
      </c>
      <c r="L27" s="2">
        <v>0.0</v>
      </c>
      <c r="M27" s="2" t="s">
        <v>183</v>
      </c>
      <c r="N27" s="2" t="s">
        <v>24</v>
      </c>
      <c r="Q27" s="9" t="s">
        <v>882</v>
      </c>
    </row>
    <row r="28">
      <c r="A28" s="1">
        <v>46036.674638055556</v>
      </c>
      <c r="B28" s="2" t="s">
        <v>183</v>
      </c>
      <c r="C28" s="5">
        <v>46036.0</v>
      </c>
      <c r="D28" s="2" t="s">
        <v>19</v>
      </c>
      <c r="E28" s="2" t="s">
        <v>798</v>
      </c>
      <c r="F28" s="2" t="s">
        <v>592</v>
      </c>
      <c r="G28" s="2">
        <v>40.0</v>
      </c>
      <c r="H28" s="2" t="s">
        <v>66</v>
      </c>
      <c r="I28" s="2" t="s">
        <v>593</v>
      </c>
      <c r="K28" s="2">
        <v>0.0</v>
      </c>
      <c r="L28" s="2">
        <v>0.0</v>
      </c>
      <c r="M28" s="2" t="s">
        <v>183</v>
      </c>
      <c r="N28" s="2" t="s">
        <v>24</v>
      </c>
      <c r="Q28" s="9" t="s">
        <v>882</v>
      </c>
    </row>
    <row r="29">
      <c r="A29" s="1">
        <v>46036.674638055556</v>
      </c>
      <c r="B29" s="2" t="s">
        <v>183</v>
      </c>
      <c r="C29" s="5">
        <v>46036.0</v>
      </c>
      <c r="D29" s="2" t="s">
        <v>19</v>
      </c>
      <c r="E29" s="2" t="s">
        <v>798</v>
      </c>
      <c r="F29" s="2" t="s">
        <v>606</v>
      </c>
      <c r="G29" s="2">
        <v>12.0</v>
      </c>
      <c r="H29" s="2" t="s">
        <v>66</v>
      </c>
      <c r="I29" s="2" t="s">
        <v>607</v>
      </c>
      <c r="K29" s="2">
        <v>0.0</v>
      </c>
      <c r="L29" s="2">
        <v>0.0</v>
      </c>
      <c r="M29" s="2" t="s">
        <v>183</v>
      </c>
      <c r="N29" s="2" t="s">
        <v>24</v>
      </c>
      <c r="Q29" s="9" t="s">
        <v>882</v>
      </c>
    </row>
    <row r="30">
      <c r="A30" s="1">
        <v>46040.367528229166</v>
      </c>
      <c r="B30" s="2" t="s">
        <v>183</v>
      </c>
      <c r="C30" s="5">
        <v>46040.0</v>
      </c>
      <c r="D30" s="2" t="s">
        <v>19</v>
      </c>
      <c r="E30" s="2" t="s">
        <v>798</v>
      </c>
      <c r="F30" s="2" t="s">
        <v>740</v>
      </c>
      <c r="G30" s="2">
        <v>1.0</v>
      </c>
      <c r="H30" s="2" t="s">
        <v>66</v>
      </c>
      <c r="I30" s="2" t="s">
        <v>741</v>
      </c>
      <c r="K30" s="2">
        <v>0.0</v>
      </c>
      <c r="L30" s="2">
        <v>0.0</v>
      </c>
      <c r="M30" s="2" t="s">
        <v>185</v>
      </c>
      <c r="N30" s="2" t="s">
        <v>24</v>
      </c>
      <c r="Q30" s="9" t="s">
        <v>883</v>
      </c>
    </row>
    <row r="31">
      <c r="A31" s="1">
        <v>46040.367528229166</v>
      </c>
      <c r="B31" s="2" t="s">
        <v>183</v>
      </c>
      <c r="C31" s="5">
        <v>46040.0</v>
      </c>
      <c r="D31" s="2" t="s">
        <v>19</v>
      </c>
      <c r="E31" s="2" t="s">
        <v>798</v>
      </c>
      <c r="F31" s="2" t="s">
        <v>572</v>
      </c>
      <c r="G31" s="2">
        <v>1.0</v>
      </c>
      <c r="H31" s="2" t="s">
        <v>884</v>
      </c>
      <c r="I31" s="2" t="s">
        <v>573</v>
      </c>
      <c r="K31" s="2">
        <v>0.0</v>
      </c>
      <c r="L31" s="2">
        <v>0.0</v>
      </c>
      <c r="M31" s="2" t="s">
        <v>185</v>
      </c>
      <c r="N31" s="2" t="s">
        <v>24</v>
      </c>
      <c r="Q31" s="9" t="s">
        <v>883</v>
      </c>
    </row>
    <row r="32">
      <c r="A32" s="1">
        <v>46040.367528229166</v>
      </c>
      <c r="B32" s="2" t="s">
        <v>183</v>
      </c>
      <c r="C32" s="5">
        <v>46040.0</v>
      </c>
      <c r="D32" s="2" t="s">
        <v>19</v>
      </c>
      <c r="E32" s="2" t="s">
        <v>798</v>
      </c>
      <c r="F32" s="2" t="s">
        <v>574</v>
      </c>
      <c r="G32" s="2">
        <v>1.0</v>
      </c>
      <c r="H32" s="2" t="s">
        <v>884</v>
      </c>
      <c r="I32" s="2" t="s">
        <v>575</v>
      </c>
      <c r="K32" s="2">
        <v>0.0</v>
      </c>
      <c r="L32" s="2">
        <v>0.0</v>
      </c>
      <c r="M32" s="2" t="s">
        <v>185</v>
      </c>
      <c r="N32" s="2" t="s">
        <v>24</v>
      </c>
      <c r="Q32" s="9" t="s">
        <v>883</v>
      </c>
    </row>
    <row r="33">
      <c r="A33" s="1">
        <v>46040.367528229166</v>
      </c>
      <c r="B33" s="2" t="s">
        <v>183</v>
      </c>
      <c r="C33" s="5">
        <v>46040.0</v>
      </c>
      <c r="D33" s="2" t="s">
        <v>19</v>
      </c>
      <c r="E33" s="2" t="s">
        <v>798</v>
      </c>
      <c r="F33" s="2" t="s">
        <v>590</v>
      </c>
      <c r="G33" s="2">
        <v>30.0</v>
      </c>
      <c r="H33" s="2" t="s">
        <v>66</v>
      </c>
      <c r="I33" s="2" t="s">
        <v>591</v>
      </c>
      <c r="K33" s="2">
        <v>0.0</v>
      </c>
      <c r="L33" s="2">
        <v>0.0</v>
      </c>
      <c r="M33" s="2" t="s">
        <v>185</v>
      </c>
      <c r="N33" s="2" t="s">
        <v>24</v>
      </c>
      <c r="Q33" s="9" t="s">
        <v>883</v>
      </c>
    </row>
    <row r="34">
      <c r="A34" s="1">
        <v>46040.367528229166</v>
      </c>
      <c r="B34" s="2" t="s">
        <v>183</v>
      </c>
      <c r="C34" s="5">
        <v>46040.0</v>
      </c>
      <c r="D34" s="2" t="s">
        <v>19</v>
      </c>
      <c r="E34" s="2" t="s">
        <v>798</v>
      </c>
      <c r="F34" s="2" t="s">
        <v>732</v>
      </c>
      <c r="G34" s="2">
        <v>1.0</v>
      </c>
      <c r="H34" s="2" t="s">
        <v>836</v>
      </c>
      <c r="I34" s="2" t="s">
        <v>733</v>
      </c>
      <c r="K34" s="2">
        <v>0.0</v>
      </c>
      <c r="L34" s="2">
        <v>0.0</v>
      </c>
      <c r="M34" s="2" t="s">
        <v>185</v>
      </c>
      <c r="N34" s="2" t="s">
        <v>24</v>
      </c>
      <c r="Q34" s="9" t="s">
        <v>883</v>
      </c>
    </row>
    <row r="35">
      <c r="A35" s="1">
        <v>46040.367528229166</v>
      </c>
      <c r="B35" s="2" t="s">
        <v>183</v>
      </c>
      <c r="C35" s="5">
        <v>46040.0</v>
      </c>
      <c r="D35" s="2" t="s">
        <v>19</v>
      </c>
      <c r="E35" s="2" t="s">
        <v>798</v>
      </c>
      <c r="F35" s="2" t="s">
        <v>624</v>
      </c>
      <c r="G35" s="2">
        <v>20.0</v>
      </c>
      <c r="H35" s="2" t="s">
        <v>66</v>
      </c>
      <c r="I35" s="2" t="s">
        <v>625</v>
      </c>
      <c r="K35" s="2">
        <v>0.0</v>
      </c>
      <c r="L35" s="2">
        <v>0.0</v>
      </c>
      <c r="M35" s="2" t="s">
        <v>185</v>
      </c>
      <c r="N35" s="2" t="s">
        <v>24</v>
      </c>
      <c r="Q35" s="9" t="s">
        <v>883</v>
      </c>
    </row>
    <row r="36">
      <c r="A36" s="1">
        <v>46040.367528229166</v>
      </c>
      <c r="B36" s="2" t="s">
        <v>183</v>
      </c>
      <c r="C36" s="5">
        <v>46040.0</v>
      </c>
      <c r="D36" s="2" t="s">
        <v>19</v>
      </c>
      <c r="E36" s="2" t="s">
        <v>798</v>
      </c>
      <c r="F36" s="2" t="s">
        <v>724</v>
      </c>
      <c r="G36" s="2">
        <v>1.0</v>
      </c>
      <c r="H36" s="2" t="s">
        <v>836</v>
      </c>
      <c r="I36" s="2" t="s">
        <v>725</v>
      </c>
      <c r="K36" s="2">
        <v>0.0</v>
      </c>
      <c r="L36" s="2">
        <v>0.0</v>
      </c>
      <c r="M36" s="2" t="s">
        <v>185</v>
      </c>
      <c r="N36" s="2" t="s">
        <v>24</v>
      </c>
      <c r="Q36" s="9" t="s">
        <v>883</v>
      </c>
    </row>
    <row r="37">
      <c r="A37" s="1">
        <v>46040.367528229166</v>
      </c>
      <c r="B37" s="2" t="s">
        <v>183</v>
      </c>
      <c r="C37" s="5">
        <v>46040.0</v>
      </c>
      <c r="D37" s="2" t="s">
        <v>19</v>
      </c>
      <c r="E37" s="2" t="s">
        <v>798</v>
      </c>
      <c r="F37" s="2" t="s">
        <v>728</v>
      </c>
      <c r="G37" s="2">
        <v>1.0</v>
      </c>
      <c r="H37" s="2" t="s">
        <v>836</v>
      </c>
      <c r="I37" s="2" t="s">
        <v>729</v>
      </c>
      <c r="K37" s="2">
        <v>0.0</v>
      </c>
      <c r="L37" s="2">
        <v>0.0</v>
      </c>
      <c r="M37" s="2" t="s">
        <v>185</v>
      </c>
      <c r="N37" s="2" t="s">
        <v>24</v>
      </c>
      <c r="Q37" s="9" t="s">
        <v>883</v>
      </c>
    </row>
    <row r="38">
      <c r="A38" s="1">
        <v>46040.367528229166</v>
      </c>
      <c r="B38" s="2" t="s">
        <v>183</v>
      </c>
      <c r="C38" s="5">
        <v>46040.0</v>
      </c>
      <c r="D38" s="2" t="s">
        <v>19</v>
      </c>
      <c r="E38" s="2" t="s">
        <v>798</v>
      </c>
      <c r="F38" s="2" t="s">
        <v>622</v>
      </c>
      <c r="G38" s="2">
        <v>1.0</v>
      </c>
      <c r="H38" s="2" t="s">
        <v>66</v>
      </c>
      <c r="I38" s="2" t="s">
        <v>623</v>
      </c>
      <c r="K38" s="2">
        <v>0.0</v>
      </c>
      <c r="L38" s="2">
        <v>0.0</v>
      </c>
      <c r="M38" s="2" t="s">
        <v>185</v>
      </c>
      <c r="N38" s="2" t="s">
        <v>24</v>
      </c>
      <c r="Q38" s="9" t="s">
        <v>883</v>
      </c>
    </row>
    <row r="39">
      <c r="A39" s="1">
        <v>46040.367528229166</v>
      </c>
      <c r="B39" s="2" t="s">
        <v>183</v>
      </c>
      <c r="C39" s="5">
        <v>46040.0</v>
      </c>
      <c r="D39" s="2" t="s">
        <v>19</v>
      </c>
      <c r="E39" s="2" t="s">
        <v>798</v>
      </c>
      <c r="F39" s="2" t="s">
        <v>730</v>
      </c>
      <c r="G39" s="2">
        <v>1.0</v>
      </c>
      <c r="H39" s="2" t="s">
        <v>836</v>
      </c>
      <c r="I39" s="2" t="s">
        <v>731</v>
      </c>
      <c r="K39" s="2">
        <v>0.0</v>
      </c>
      <c r="L39" s="2">
        <v>0.0</v>
      </c>
      <c r="M39" s="2" t="s">
        <v>185</v>
      </c>
      <c r="N39" s="2" t="s">
        <v>24</v>
      </c>
      <c r="Q39" s="9" t="s">
        <v>883</v>
      </c>
    </row>
    <row r="40">
      <c r="A40" s="1">
        <v>46040.367528229166</v>
      </c>
      <c r="B40" s="2" t="s">
        <v>183</v>
      </c>
      <c r="C40" s="5">
        <v>46040.0</v>
      </c>
      <c r="D40" s="2" t="s">
        <v>19</v>
      </c>
      <c r="E40" s="2" t="s">
        <v>798</v>
      </c>
      <c r="F40" s="2" t="s">
        <v>648</v>
      </c>
      <c r="G40" s="2">
        <v>2.0</v>
      </c>
      <c r="H40" s="2" t="s">
        <v>66</v>
      </c>
      <c r="I40" s="2" t="s">
        <v>649</v>
      </c>
      <c r="K40" s="2">
        <v>0.0</v>
      </c>
      <c r="L40" s="2">
        <v>0.0</v>
      </c>
      <c r="M40" s="2" t="s">
        <v>185</v>
      </c>
      <c r="N40" s="2" t="s">
        <v>24</v>
      </c>
      <c r="Q40" s="9" t="s">
        <v>883</v>
      </c>
    </row>
    <row r="41">
      <c r="A41" s="1">
        <v>46040.367528229166</v>
      </c>
      <c r="B41" s="2" t="s">
        <v>183</v>
      </c>
      <c r="C41" s="5">
        <v>46040.0</v>
      </c>
      <c r="D41" s="2" t="s">
        <v>19</v>
      </c>
      <c r="E41" s="2" t="s">
        <v>798</v>
      </c>
      <c r="F41" s="2" t="s">
        <v>690</v>
      </c>
      <c r="G41" s="2">
        <v>4.0</v>
      </c>
      <c r="H41" s="2" t="s">
        <v>66</v>
      </c>
      <c r="I41" s="2" t="s">
        <v>691</v>
      </c>
      <c r="K41" s="2">
        <v>0.0</v>
      </c>
      <c r="L41" s="2">
        <v>0.0</v>
      </c>
      <c r="M41" s="2" t="s">
        <v>185</v>
      </c>
      <c r="N41" s="2" t="s">
        <v>24</v>
      </c>
      <c r="Q41" s="9" t="s">
        <v>883</v>
      </c>
    </row>
    <row r="42">
      <c r="A42" s="1">
        <v>46040.367528229166</v>
      </c>
      <c r="B42" s="2" t="s">
        <v>183</v>
      </c>
      <c r="C42" s="5">
        <v>46040.0</v>
      </c>
      <c r="D42" s="2" t="s">
        <v>19</v>
      </c>
      <c r="E42" s="2" t="s">
        <v>798</v>
      </c>
      <c r="F42" s="2" t="s">
        <v>726</v>
      </c>
      <c r="G42" s="2">
        <v>1.0</v>
      </c>
      <c r="H42" s="2" t="s">
        <v>836</v>
      </c>
      <c r="I42" s="2" t="s">
        <v>727</v>
      </c>
      <c r="K42" s="2">
        <v>0.0</v>
      </c>
      <c r="L42" s="2">
        <v>0.0</v>
      </c>
      <c r="M42" s="2" t="s">
        <v>185</v>
      </c>
      <c r="N42" s="2" t="s">
        <v>24</v>
      </c>
      <c r="Q42" s="9" t="s">
        <v>883</v>
      </c>
    </row>
    <row r="43">
      <c r="A43" s="1">
        <v>46040.367528229166</v>
      </c>
      <c r="B43" s="2" t="s">
        <v>183</v>
      </c>
      <c r="C43" s="5">
        <v>46040.0</v>
      </c>
      <c r="D43" s="2" t="s">
        <v>19</v>
      </c>
      <c r="E43" s="2" t="s">
        <v>798</v>
      </c>
      <c r="F43" s="2" t="s">
        <v>701</v>
      </c>
      <c r="G43" s="2">
        <v>1.0</v>
      </c>
      <c r="H43" s="2" t="s">
        <v>703</v>
      </c>
      <c r="I43" s="2" t="s">
        <v>702</v>
      </c>
      <c r="K43" s="2">
        <v>0.0</v>
      </c>
      <c r="L43" s="2">
        <v>0.0</v>
      </c>
      <c r="M43" s="2" t="s">
        <v>185</v>
      </c>
      <c r="N43" s="2" t="s">
        <v>24</v>
      </c>
      <c r="Q43" s="9" t="s">
        <v>883</v>
      </c>
    </row>
    <row r="44">
      <c r="A44" s="1">
        <v>46040.367528229166</v>
      </c>
      <c r="B44" s="2" t="s">
        <v>183</v>
      </c>
      <c r="C44" s="5">
        <v>46040.0</v>
      </c>
      <c r="D44" s="2" t="s">
        <v>19</v>
      </c>
      <c r="E44" s="2" t="s">
        <v>798</v>
      </c>
      <c r="F44" s="2" t="s">
        <v>606</v>
      </c>
      <c r="G44" s="2">
        <v>1.0</v>
      </c>
      <c r="H44" s="2" t="s">
        <v>21</v>
      </c>
      <c r="I44" s="2" t="s">
        <v>607</v>
      </c>
      <c r="K44" s="2">
        <v>0.0</v>
      </c>
      <c r="L44" s="2">
        <v>0.0</v>
      </c>
      <c r="M44" s="2" t="s">
        <v>185</v>
      </c>
      <c r="N44" s="2" t="s">
        <v>24</v>
      </c>
      <c r="Q44" s="9" t="s">
        <v>883</v>
      </c>
    </row>
    <row r="45">
      <c r="A45" s="1">
        <v>46040.367528229166</v>
      </c>
      <c r="B45" s="2" t="s">
        <v>183</v>
      </c>
      <c r="C45" s="5">
        <v>46040.0</v>
      </c>
      <c r="D45" s="2" t="s">
        <v>19</v>
      </c>
      <c r="E45" s="2" t="s">
        <v>798</v>
      </c>
      <c r="F45" s="2" t="s">
        <v>746</v>
      </c>
      <c r="G45" s="2">
        <v>1.0</v>
      </c>
      <c r="H45" s="2" t="s">
        <v>48</v>
      </c>
      <c r="I45" s="2" t="s">
        <v>747</v>
      </c>
      <c r="K45" s="2">
        <v>0.0</v>
      </c>
      <c r="L45" s="2">
        <v>0.0</v>
      </c>
      <c r="M45" s="2" t="s">
        <v>185</v>
      </c>
      <c r="N45" s="2" t="s">
        <v>24</v>
      </c>
      <c r="Q45" s="9" t="s">
        <v>883</v>
      </c>
    </row>
    <row r="46">
      <c r="A46" s="1">
        <v>46040.367528229166</v>
      </c>
      <c r="B46" s="2" t="s">
        <v>183</v>
      </c>
      <c r="C46" s="5">
        <v>46040.0</v>
      </c>
      <c r="D46" s="2" t="s">
        <v>19</v>
      </c>
      <c r="E46" s="2" t="s">
        <v>798</v>
      </c>
      <c r="F46" s="2" t="s">
        <v>632</v>
      </c>
      <c r="G46" s="2">
        <v>2.0</v>
      </c>
      <c r="H46" s="2" t="s">
        <v>66</v>
      </c>
      <c r="I46" s="2" t="s">
        <v>633</v>
      </c>
      <c r="K46" s="2">
        <v>0.0</v>
      </c>
      <c r="L46" s="2">
        <v>0.0</v>
      </c>
      <c r="M46" s="2" t="s">
        <v>185</v>
      </c>
      <c r="N46" s="2" t="s">
        <v>24</v>
      </c>
      <c r="Q46" s="9" t="s">
        <v>883</v>
      </c>
    </row>
    <row r="47">
      <c r="A47" s="1">
        <v>46040.367528229166</v>
      </c>
      <c r="B47" s="2" t="s">
        <v>183</v>
      </c>
      <c r="C47" s="5">
        <v>46040.0</v>
      </c>
      <c r="D47" s="2" t="s">
        <v>19</v>
      </c>
      <c r="E47" s="2" t="s">
        <v>798</v>
      </c>
      <c r="F47" s="2" t="s">
        <v>688</v>
      </c>
      <c r="G47" s="2">
        <v>12.0</v>
      </c>
      <c r="H47" s="2" t="s">
        <v>66</v>
      </c>
      <c r="I47" s="2" t="s">
        <v>689</v>
      </c>
      <c r="K47" s="2">
        <v>0.0</v>
      </c>
      <c r="L47" s="2">
        <v>0.0</v>
      </c>
      <c r="M47" s="2" t="s">
        <v>185</v>
      </c>
      <c r="N47" s="2" t="s">
        <v>24</v>
      </c>
      <c r="Q47" s="9" t="s">
        <v>883</v>
      </c>
    </row>
    <row r="48">
      <c r="A48" s="1">
        <v>46040.367528229166</v>
      </c>
      <c r="B48" s="2" t="s">
        <v>183</v>
      </c>
      <c r="C48" s="5">
        <v>46040.0</v>
      </c>
      <c r="D48" s="2" t="s">
        <v>19</v>
      </c>
      <c r="E48" s="2" t="s">
        <v>798</v>
      </c>
      <c r="F48" s="2" t="s">
        <v>616</v>
      </c>
      <c r="G48" s="2">
        <v>2.0</v>
      </c>
      <c r="H48" s="2" t="s">
        <v>66</v>
      </c>
      <c r="I48" s="2" t="s">
        <v>617</v>
      </c>
      <c r="K48" s="2">
        <v>0.0</v>
      </c>
      <c r="L48" s="2">
        <v>0.0</v>
      </c>
      <c r="M48" s="2" t="s">
        <v>185</v>
      </c>
      <c r="N48" s="2" t="s">
        <v>24</v>
      </c>
      <c r="Q48" s="9" t="s">
        <v>883</v>
      </c>
    </row>
    <row r="49">
      <c r="A49" s="1">
        <v>46040.367528229166</v>
      </c>
      <c r="B49" s="2" t="s">
        <v>183</v>
      </c>
      <c r="C49" s="5">
        <v>46040.0</v>
      </c>
      <c r="D49" s="2" t="s">
        <v>19</v>
      </c>
      <c r="E49" s="2" t="s">
        <v>798</v>
      </c>
      <c r="F49" s="2" t="s">
        <v>678</v>
      </c>
      <c r="G49" s="2">
        <v>12.0</v>
      </c>
      <c r="H49" s="2" t="s">
        <v>66</v>
      </c>
      <c r="I49" s="2" t="s">
        <v>679</v>
      </c>
      <c r="K49" s="2">
        <v>0.0</v>
      </c>
      <c r="L49" s="2">
        <v>0.0</v>
      </c>
      <c r="M49" s="2" t="s">
        <v>185</v>
      </c>
      <c r="N49" s="2" t="s">
        <v>24</v>
      </c>
      <c r="Q49" s="9" t="s">
        <v>883</v>
      </c>
    </row>
    <row r="50">
      <c r="A50" s="1">
        <v>46040.367528229166</v>
      </c>
      <c r="B50" s="2" t="s">
        <v>183</v>
      </c>
      <c r="C50" s="5">
        <v>46040.0</v>
      </c>
      <c r="D50" s="2" t="s">
        <v>19</v>
      </c>
      <c r="E50" s="2" t="s">
        <v>798</v>
      </c>
      <c r="F50" s="2" t="s">
        <v>692</v>
      </c>
      <c r="G50" s="2">
        <v>2.0</v>
      </c>
      <c r="H50" s="2" t="s">
        <v>66</v>
      </c>
      <c r="I50" s="2" t="s">
        <v>693</v>
      </c>
      <c r="K50" s="2">
        <v>0.0</v>
      </c>
      <c r="L50" s="2">
        <v>0.0</v>
      </c>
      <c r="M50" s="2" t="s">
        <v>185</v>
      </c>
      <c r="N50" s="2" t="s">
        <v>24</v>
      </c>
      <c r="Q50" s="9" t="s">
        <v>883</v>
      </c>
    </row>
    <row r="51">
      <c r="A51" s="1">
        <v>46040.367528229166</v>
      </c>
      <c r="B51" s="2" t="s">
        <v>183</v>
      </c>
      <c r="C51" s="5">
        <v>46040.0</v>
      </c>
      <c r="D51" s="2" t="s">
        <v>19</v>
      </c>
      <c r="E51" s="2" t="s">
        <v>798</v>
      </c>
      <c r="F51" s="2" t="s">
        <v>716</v>
      </c>
      <c r="G51" s="2">
        <v>1.0</v>
      </c>
      <c r="H51" s="2" t="s">
        <v>301</v>
      </c>
      <c r="I51" s="2" t="s">
        <v>717</v>
      </c>
      <c r="K51" s="2">
        <v>0.0</v>
      </c>
      <c r="L51" s="2">
        <v>0.0</v>
      </c>
      <c r="M51" s="2" t="s">
        <v>185</v>
      </c>
      <c r="N51" s="2" t="s">
        <v>24</v>
      </c>
      <c r="Q51" s="9" t="s">
        <v>883</v>
      </c>
    </row>
    <row r="52">
      <c r="A52" s="1">
        <v>46040.367528229166</v>
      </c>
      <c r="B52" s="2" t="s">
        <v>183</v>
      </c>
      <c r="C52" s="5">
        <v>46040.0</v>
      </c>
      <c r="D52" s="2" t="s">
        <v>19</v>
      </c>
      <c r="E52" s="2" t="s">
        <v>798</v>
      </c>
      <c r="F52" s="2" t="s">
        <v>734</v>
      </c>
      <c r="G52" s="2">
        <v>50.0</v>
      </c>
      <c r="H52" s="2" t="s">
        <v>66</v>
      </c>
      <c r="I52" s="2" t="s">
        <v>735</v>
      </c>
      <c r="K52" s="2">
        <v>0.0</v>
      </c>
      <c r="L52" s="2">
        <v>0.0</v>
      </c>
      <c r="M52" s="2" t="s">
        <v>185</v>
      </c>
      <c r="N52" s="2" t="s">
        <v>24</v>
      </c>
      <c r="Q52" s="9" t="s">
        <v>883</v>
      </c>
    </row>
    <row r="53">
      <c r="A53" s="1">
        <v>46040.367528229166</v>
      </c>
      <c r="B53" s="2" t="s">
        <v>183</v>
      </c>
      <c r="C53" s="5">
        <v>46040.0</v>
      </c>
      <c r="D53" s="2" t="s">
        <v>19</v>
      </c>
      <c r="E53" s="2" t="s">
        <v>798</v>
      </c>
      <c r="F53" s="2" t="s">
        <v>764</v>
      </c>
      <c r="G53" s="2">
        <v>3.0</v>
      </c>
      <c r="H53" s="2" t="s">
        <v>822</v>
      </c>
      <c r="I53" s="2" t="s">
        <v>765</v>
      </c>
      <c r="K53" s="2">
        <v>0.0</v>
      </c>
      <c r="L53" s="2">
        <v>0.0</v>
      </c>
      <c r="M53" s="2" t="s">
        <v>185</v>
      </c>
      <c r="N53" s="2" t="s">
        <v>24</v>
      </c>
      <c r="Q53" s="9" t="s">
        <v>883</v>
      </c>
    </row>
    <row r="54">
      <c r="A54" s="1">
        <v>46040.367528229166</v>
      </c>
      <c r="B54" s="2" t="s">
        <v>183</v>
      </c>
      <c r="C54" s="5">
        <v>46040.0</v>
      </c>
      <c r="D54" s="2" t="s">
        <v>19</v>
      </c>
      <c r="E54" s="2" t="s">
        <v>798</v>
      </c>
      <c r="F54" s="2" t="s">
        <v>762</v>
      </c>
      <c r="G54" s="2">
        <v>1.0</v>
      </c>
      <c r="H54" s="2" t="s">
        <v>755</v>
      </c>
      <c r="I54" s="2" t="s">
        <v>763</v>
      </c>
      <c r="K54" s="2">
        <v>0.0</v>
      </c>
      <c r="L54" s="2">
        <v>0.0</v>
      </c>
      <c r="M54" s="2" t="s">
        <v>185</v>
      </c>
      <c r="N54" s="2" t="s">
        <v>24</v>
      </c>
      <c r="Q54" s="9" t="s">
        <v>883</v>
      </c>
    </row>
    <row r="55">
      <c r="A55" s="1">
        <v>46040.367528229166</v>
      </c>
      <c r="B55" s="2" t="s">
        <v>183</v>
      </c>
      <c r="C55" s="5">
        <v>46040.0</v>
      </c>
      <c r="D55" s="2" t="s">
        <v>19</v>
      </c>
      <c r="E55" s="2" t="s">
        <v>798</v>
      </c>
      <c r="F55" s="2" t="s">
        <v>580</v>
      </c>
      <c r="G55" s="2">
        <v>50.0</v>
      </c>
      <c r="H55" s="2" t="s">
        <v>66</v>
      </c>
      <c r="I55" s="2" t="s">
        <v>581</v>
      </c>
      <c r="K55" s="2">
        <v>0.0</v>
      </c>
      <c r="L55" s="2">
        <v>0.0</v>
      </c>
      <c r="M55" s="2" t="s">
        <v>185</v>
      </c>
      <c r="N55" s="2" t="s">
        <v>24</v>
      </c>
      <c r="Q55" s="9" t="s">
        <v>883</v>
      </c>
    </row>
    <row r="56">
      <c r="A56" s="1">
        <v>46040.367528229166</v>
      </c>
      <c r="B56" s="2" t="s">
        <v>183</v>
      </c>
      <c r="C56" s="5">
        <v>46040.0</v>
      </c>
      <c r="D56" s="2" t="s">
        <v>19</v>
      </c>
      <c r="E56" s="2" t="s">
        <v>798</v>
      </c>
      <c r="F56" s="2" t="s">
        <v>742</v>
      </c>
      <c r="G56" s="2">
        <v>2.0</v>
      </c>
      <c r="H56" s="2" t="s">
        <v>868</v>
      </c>
      <c r="I56" s="2" t="s">
        <v>743</v>
      </c>
      <c r="K56" s="2">
        <v>0.0</v>
      </c>
      <c r="L56" s="2">
        <v>0.0</v>
      </c>
      <c r="M56" s="2" t="s">
        <v>185</v>
      </c>
      <c r="N56" s="2" t="s">
        <v>24</v>
      </c>
      <c r="Q56" s="9" t="s">
        <v>883</v>
      </c>
    </row>
    <row r="57">
      <c r="A57" s="14"/>
      <c r="N57" s="4"/>
    </row>
    <row r="58">
      <c r="A58" s="14"/>
      <c r="N58" s="4"/>
    </row>
    <row r="59">
      <c r="A59" s="14"/>
      <c r="N59" s="4"/>
    </row>
    <row r="60">
      <c r="A60" s="14"/>
      <c r="N60" s="4"/>
    </row>
    <row r="61">
      <c r="A61" s="14"/>
      <c r="N61" s="4"/>
    </row>
    <row r="62">
      <c r="A62" s="14"/>
      <c r="N62" s="4"/>
    </row>
    <row r="63">
      <c r="A63" s="14"/>
      <c r="N63" s="4"/>
    </row>
    <row r="64">
      <c r="A64" s="14"/>
      <c r="N64" s="4"/>
    </row>
    <row r="65">
      <c r="A65" s="14"/>
      <c r="N65" s="4"/>
    </row>
    <row r="66">
      <c r="A66" s="14"/>
      <c r="N66" s="4"/>
    </row>
    <row r="67">
      <c r="A67" s="14"/>
      <c r="N67" s="4"/>
    </row>
    <row r="68">
      <c r="A68" s="14"/>
      <c r="N68" s="4"/>
    </row>
    <row r="69">
      <c r="A69" s="14"/>
      <c r="N69" s="4"/>
    </row>
    <row r="70">
      <c r="A70" s="14"/>
      <c r="N70" s="4"/>
    </row>
    <row r="71">
      <c r="A71" s="14"/>
      <c r="N71" s="4"/>
    </row>
    <row r="72">
      <c r="A72" s="14"/>
      <c r="N72" s="4"/>
    </row>
    <row r="73">
      <c r="A73" s="14"/>
      <c r="N73" s="4"/>
    </row>
    <row r="74">
      <c r="A74" s="14"/>
      <c r="N74" s="4"/>
    </row>
    <row r="75">
      <c r="A75" s="14"/>
      <c r="N75" s="4"/>
    </row>
    <row r="76">
      <c r="A76" s="14"/>
      <c r="N76" s="4"/>
    </row>
    <row r="77">
      <c r="A77" s="14"/>
      <c r="N77" s="4"/>
    </row>
    <row r="78">
      <c r="A78" s="14"/>
      <c r="N78" s="4"/>
    </row>
    <row r="79">
      <c r="A79" s="14"/>
      <c r="N79" s="4"/>
    </row>
    <row r="80">
      <c r="A80" s="14"/>
      <c r="N80" s="4"/>
    </row>
    <row r="81">
      <c r="A81" s="14"/>
      <c r="N81" s="4"/>
    </row>
    <row r="82">
      <c r="A82" s="14"/>
      <c r="N82" s="4"/>
    </row>
    <row r="83">
      <c r="A83" s="14"/>
      <c r="N83" s="4"/>
    </row>
    <row r="84">
      <c r="A84" s="14"/>
      <c r="N84" s="4"/>
    </row>
    <row r="85">
      <c r="A85" s="14"/>
      <c r="N85" s="4"/>
    </row>
    <row r="86">
      <c r="A86" s="14"/>
      <c r="N86" s="4"/>
    </row>
    <row r="87">
      <c r="A87" s="14"/>
      <c r="N87" s="4"/>
    </row>
    <row r="88">
      <c r="A88" s="14"/>
      <c r="N88" s="4"/>
    </row>
    <row r="89">
      <c r="A89" s="14"/>
      <c r="N89" s="4"/>
    </row>
    <row r="90">
      <c r="A90" s="14"/>
      <c r="N90" s="4"/>
    </row>
    <row r="91">
      <c r="A91" s="14"/>
      <c r="N91" s="4"/>
    </row>
    <row r="92">
      <c r="A92" s="14"/>
      <c r="N92" s="4"/>
    </row>
    <row r="93">
      <c r="A93" s="14"/>
      <c r="N93" s="4"/>
    </row>
    <row r="94">
      <c r="A94" s="14"/>
      <c r="N94" s="4"/>
    </row>
    <row r="95">
      <c r="A95" s="14"/>
      <c r="N95" s="4"/>
    </row>
    <row r="96">
      <c r="A96" s="14"/>
      <c r="N96" s="4"/>
    </row>
    <row r="97">
      <c r="A97" s="14"/>
      <c r="N97" s="4"/>
    </row>
    <row r="98">
      <c r="A98" s="14"/>
      <c r="N98" s="4"/>
    </row>
    <row r="99">
      <c r="A99" s="14"/>
      <c r="N99" s="4"/>
    </row>
    <row r="100">
      <c r="A100" s="14"/>
      <c r="N100" s="4"/>
    </row>
    <row r="101">
      <c r="A101" s="14"/>
      <c r="N101" s="4"/>
    </row>
    <row r="102">
      <c r="A102" s="14"/>
      <c r="N102" s="4"/>
    </row>
    <row r="103">
      <c r="A103" s="14"/>
      <c r="N103" s="4"/>
    </row>
    <row r="104">
      <c r="A104" s="14"/>
      <c r="N104" s="4"/>
    </row>
    <row r="105">
      <c r="A105" s="14"/>
      <c r="N105" s="4"/>
    </row>
    <row r="106">
      <c r="A106" s="14"/>
      <c r="N106" s="4"/>
    </row>
    <row r="107">
      <c r="A107" s="14"/>
      <c r="N107" s="4"/>
    </row>
    <row r="108">
      <c r="A108" s="14"/>
      <c r="N108" s="4"/>
    </row>
    <row r="109">
      <c r="A109" s="14"/>
      <c r="N109" s="4"/>
    </row>
    <row r="110">
      <c r="A110" s="14"/>
      <c r="N110" s="4"/>
    </row>
    <row r="111">
      <c r="A111" s="14"/>
      <c r="N111" s="4"/>
    </row>
    <row r="112">
      <c r="A112" s="14"/>
      <c r="N112" s="4"/>
    </row>
    <row r="113">
      <c r="A113" s="14"/>
      <c r="N113" s="4"/>
    </row>
    <row r="114">
      <c r="A114" s="14"/>
      <c r="N114" s="4"/>
    </row>
    <row r="115">
      <c r="A115" s="14"/>
      <c r="N115" s="4"/>
    </row>
    <row r="116">
      <c r="A116" s="14"/>
      <c r="N116" s="4"/>
    </row>
    <row r="117">
      <c r="A117" s="14"/>
      <c r="N117" s="4"/>
    </row>
    <row r="118">
      <c r="A118" s="14"/>
      <c r="N118" s="4"/>
    </row>
    <row r="119">
      <c r="A119" s="14"/>
      <c r="N119" s="4"/>
    </row>
    <row r="120">
      <c r="A120" s="14"/>
      <c r="N120" s="4"/>
    </row>
    <row r="121">
      <c r="A121" s="14"/>
      <c r="N121" s="4"/>
    </row>
    <row r="122">
      <c r="A122" s="14"/>
      <c r="N122" s="4"/>
    </row>
    <row r="123">
      <c r="A123" s="14"/>
      <c r="N123" s="4"/>
    </row>
    <row r="124">
      <c r="A124" s="14"/>
      <c r="N124" s="4"/>
    </row>
    <row r="125">
      <c r="A125" s="14"/>
      <c r="N125" s="4"/>
    </row>
    <row r="126">
      <c r="A126" s="14"/>
      <c r="N126" s="4"/>
    </row>
    <row r="127">
      <c r="A127" s="14"/>
      <c r="N127" s="4"/>
    </row>
    <row r="128">
      <c r="A128" s="14"/>
      <c r="N128" s="4"/>
    </row>
    <row r="129">
      <c r="A129" s="14"/>
      <c r="N129" s="4"/>
    </row>
    <row r="130">
      <c r="A130" s="14"/>
      <c r="N130" s="4"/>
    </row>
    <row r="131">
      <c r="A131" s="14"/>
      <c r="N131" s="4"/>
    </row>
    <row r="132">
      <c r="A132" s="14"/>
      <c r="N132" s="4"/>
    </row>
    <row r="133">
      <c r="A133" s="14"/>
      <c r="N133" s="4"/>
    </row>
    <row r="134">
      <c r="A134" s="14"/>
      <c r="N134" s="4"/>
    </row>
    <row r="135">
      <c r="A135" s="14"/>
      <c r="N135" s="4"/>
    </row>
    <row r="136">
      <c r="A136" s="14"/>
      <c r="N136" s="4"/>
    </row>
    <row r="137">
      <c r="A137" s="14"/>
      <c r="N137" s="4"/>
    </row>
    <row r="138">
      <c r="A138" s="14"/>
      <c r="N138" s="4"/>
    </row>
    <row r="139">
      <c r="A139" s="14"/>
      <c r="N139" s="4"/>
    </row>
    <row r="140">
      <c r="A140" s="14"/>
      <c r="N140" s="4"/>
    </row>
    <row r="141">
      <c r="A141" s="14"/>
      <c r="N141" s="4"/>
    </row>
    <row r="142">
      <c r="A142" s="14"/>
      <c r="N142" s="4"/>
    </row>
    <row r="143">
      <c r="A143" s="14"/>
      <c r="N143" s="4"/>
    </row>
    <row r="144">
      <c r="A144" s="14"/>
      <c r="N144" s="4"/>
    </row>
    <row r="145">
      <c r="A145" s="14"/>
      <c r="N145" s="4"/>
    </row>
    <row r="146">
      <c r="A146" s="14"/>
      <c r="N146" s="4"/>
    </row>
    <row r="147">
      <c r="A147" s="14"/>
      <c r="N147" s="4"/>
    </row>
    <row r="148">
      <c r="A148" s="14"/>
      <c r="N148" s="4"/>
    </row>
    <row r="149">
      <c r="A149" s="14"/>
      <c r="N149" s="4"/>
    </row>
    <row r="150">
      <c r="A150" s="14"/>
      <c r="N150" s="4"/>
    </row>
    <row r="151">
      <c r="A151" s="14"/>
      <c r="N151" s="4"/>
    </row>
    <row r="152">
      <c r="A152" s="14"/>
      <c r="N152" s="4"/>
    </row>
    <row r="153">
      <c r="A153" s="14"/>
      <c r="N153" s="4"/>
    </row>
    <row r="154">
      <c r="A154" s="14"/>
      <c r="N154" s="4"/>
    </row>
    <row r="155">
      <c r="A155" s="14"/>
      <c r="N155" s="4"/>
    </row>
    <row r="156">
      <c r="A156" s="14"/>
      <c r="N156" s="4"/>
    </row>
    <row r="157">
      <c r="A157" s="14"/>
      <c r="N157" s="4"/>
    </row>
    <row r="158">
      <c r="A158" s="14"/>
      <c r="N158" s="4"/>
    </row>
    <row r="159">
      <c r="A159" s="14"/>
      <c r="N159" s="4"/>
    </row>
    <row r="160">
      <c r="A160" s="14"/>
      <c r="N160" s="4"/>
    </row>
    <row r="161">
      <c r="A161" s="14"/>
      <c r="N161" s="4"/>
    </row>
    <row r="162">
      <c r="A162" s="14"/>
      <c r="N162" s="4"/>
    </row>
    <row r="163">
      <c r="A163" s="14"/>
      <c r="N163" s="4"/>
    </row>
    <row r="164">
      <c r="A164" s="14"/>
      <c r="N164" s="4"/>
    </row>
    <row r="165">
      <c r="A165" s="14"/>
      <c r="N165" s="4"/>
    </row>
    <row r="166">
      <c r="A166" s="14"/>
      <c r="N166" s="4"/>
    </row>
    <row r="167">
      <c r="A167" s="14"/>
      <c r="N167" s="4"/>
    </row>
    <row r="168">
      <c r="A168" s="14"/>
      <c r="N168" s="4"/>
    </row>
    <row r="169">
      <c r="A169" s="14"/>
      <c r="N169" s="4"/>
    </row>
    <row r="170">
      <c r="A170" s="14"/>
      <c r="N170" s="4"/>
    </row>
    <row r="171">
      <c r="A171" s="14"/>
      <c r="N171" s="4"/>
    </row>
    <row r="172">
      <c r="A172" s="14"/>
      <c r="N172" s="4"/>
    </row>
    <row r="173">
      <c r="A173" s="14"/>
      <c r="N173" s="4"/>
    </row>
    <row r="174">
      <c r="A174" s="14"/>
      <c r="N174" s="4"/>
    </row>
    <row r="175">
      <c r="A175" s="14"/>
      <c r="N175" s="4"/>
    </row>
    <row r="176">
      <c r="A176" s="14"/>
      <c r="N176" s="4"/>
    </row>
    <row r="177">
      <c r="A177" s="14"/>
      <c r="N177" s="4"/>
    </row>
    <row r="178">
      <c r="A178" s="14"/>
      <c r="N178" s="4"/>
    </row>
    <row r="179">
      <c r="A179" s="14"/>
      <c r="N179" s="4"/>
    </row>
    <row r="180">
      <c r="A180" s="14"/>
      <c r="N180" s="4"/>
    </row>
    <row r="181">
      <c r="A181" s="14"/>
      <c r="N181" s="4"/>
    </row>
    <row r="182">
      <c r="A182" s="14"/>
      <c r="N182" s="4"/>
    </row>
    <row r="183">
      <c r="A183" s="14"/>
      <c r="N183" s="4"/>
    </row>
    <row r="184">
      <c r="A184" s="14"/>
      <c r="N184" s="4"/>
    </row>
    <row r="185">
      <c r="A185" s="14"/>
      <c r="N185" s="4"/>
    </row>
    <row r="186">
      <c r="A186" s="14"/>
      <c r="N186" s="4"/>
    </row>
    <row r="187">
      <c r="A187" s="14"/>
      <c r="N187" s="4"/>
    </row>
    <row r="188">
      <c r="A188" s="14"/>
      <c r="N188" s="4"/>
    </row>
    <row r="189">
      <c r="A189" s="14"/>
      <c r="N189" s="4"/>
    </row>
    <row r="190">
      <c r="A190" s="14"/>
      <c r="N190" s="4"/>
    </row>
    <row r="191">
      <c r="A191" s="14"/>
      <c r="N191" s="4"/>
    </row>
    <row r="192">
      <c r="A192" s="14"/>
      <c r="N192" s="4"/>
    </row>
    <row r="193">
      <c r="A193" s="14"/>
      <c r="N193" s="4"/>
    </row>
    <row r="194">
      <c r="A194" s="14"/>
      <c r="N194" s="4"/>
    </row>
    <row r="195">
      <c r="A195" s="14"/>
      <c r="N195" s="4"/>
    </row>
    <row r="196">
      <c r="A196" s="14"/>
      <c r="N196" s="4"/>
    </row>
    <row r="197">
      <c r="A197" s="14"/>
      <c r="N197" s="4"/>
    </row>
    <row r="198">
      <c r="A198" s="14"/>
      <c r="N198" s="4"/>
    </row>
    <row r="199">
      <c r="A199" s="14"/>
      <c r="N199" s="4"/>
    </row>
    <row r="200">
      <c r="A200" s="14"/>
      <c r="N200" s="4"/>
    </row>
    <row r="201">
      <c r="A201" s="14"/>
      <c r="N201" s="4"/>
    </row>
    <row r="202">
      <c r="A202" s="14"/>
      <c r="N202" s="4"/>
    </row>
    <row r="203">
      <c r="A203" s="14"/>
      <c r="N203" s="4"/>
    </row>
    <row r="204">
      <c r="A204" s="14"/>
      <c r="N204" s="4"/>
    </row>
    <row r="205">
      <c r="A205" s="14"/>
      <c r="N205" s="4"/>
    </row>
    <row r="206">
      <c r="A206" s="14"/>
      <c r="N206" s="4"/>
    </row>
    <row r="207">
      <c r="A207" s="14"/>
      <c r="N207" s="4"/>
    </row>
    <row r="208">
      <c r="A208" s="14"/>
      <c r="N208" s="4"/>
    </row>
    <row r="209">
      <c r="A209" s="14"/>
      <c r="N209" s="4"/>
    </row>
    <row r="210">
      <c r="A210" s="14"/>
      <c r="N210" s="4"/>
    </row>
    <row r="211">
      <c r="A211" s="14"/>
      <c r="N211" s="4"/>
    </row>
    <row r="212">
      <c r="A212" s="14"/>
      <c r="N212" s="4"/>
    </row>
    <row r="213">
      <c r="A213" s="14"/>
      <c r="N213" s="4"/>
    </row>
    <row r="214">
      <c r="A214" s="14"/>
      <c r="N214" s="4"/>
    </row>
    <row r="215">
      <c r="A215" s="14"/>
      <c r="N215" s="4"/>
    </row>
    <row r="216">
      <c r="A216" s="14"/>
      <c r="N216" s="4"/>
    </row>
    <row r="217">
      <c r="A217" s="14"/>
      <c r="N217" s="4"/>
    </row>
    <row r="218">
      <c r="A218" s="14"/>
      <c r="N218" s="4"/>
    </row>
    <row r="219">
      <c r="A219" s="14"/>
      <c r="N219" s="4"/>
    </row>
    <row r="220">
      <c r="A220" s="14"/>
      <c r="N220" s="4"/>
    </row>
    <row r="221">
      <c r="A221" s="14"/>
      <c r="N221" s="4"/>
    </row>
    <row r="222">
      <c r="A222" s="14"/>
      <c r="N222" s="4"/>
    </row>
    <row r="223">
      <c r="A223" s="14"/>
      <c r="N223" s="4"/>
    </row>
    <row r="224">
      <c r="A224" s="14"/>
      <c r="N224" s="4"/>
    </row>
    <row r="225">
      <c r="A225" s="14"/>
      <c r="N225" s="4"/>
    </row>
    <row r="226">
      <c r="A226" s="14"/>
      <c r="N226" s="4"/>
    </row>
    <row r="227">
      <c r="A227" s="14"/>
      <c r="N227" s="4"/>
    </row>
    <row r="228">
      <c r="A228" s="14"/>
      <c r="N228" s="4"/>
    </row>
    <row r="229">
      <c r="A229" s="14"/>
      <c r="N229" s="4"/>
    </row>
    <row r="230">
      <c r="A230" s="14"/>
      <c r="N230" s="4"/>
    </row>
    <row r="231">
      <c r="A231" s="14"/>
      <c r="N231" s="4"/>
    </row>
    <row r="232">
      <c r="A232" s="14"/>
      <c r="N232" s="4"/>
    </row>
    <row r="233">
      <c r="A233" s="14"/>
      <c r="N233" s="4"/>
    </row>
    <row r="234">
      <c r="A234" s="14"/>
      <c r="N234" s="4"/>
    </row>
    <row r="235">
      <c r="A235" s="14"/>
      <c r="N235" s="4"/>
    </row>
    <row r="236">
      <c r="A236" s="14"/>
      <c r="N236" s="4"/>
    </row>
    <row r="237">
      <c r="A237" s="14"/>
      <c r="N237" s="4"/>
    </row>
    <row r="238">
      <c r="A238" s="14"/>
      <c r="N238" s="4"/>
    </row>
    <row r="239">
      <c r="A239" s="14"/>
      <c r="N239" s="4"/>
    </row>
    <row r="240">
      <c r="A240" s="14"/>
      <c r="N240" s="4"/>
    </row>
    <row r="241">
      <c r="A241" s="14"/>
      <c r="N241" s="4"/>
    </row>
    <row r="242">
      <c r="A242" s="14"/>
      <c r="N242" s="4"/>
    </row>
    <row r="243">
      <c r="A243" s="14"/>
      <c r="N243" s="4"/>
    </row>
    <row r="244">
      <c r="A244" s="14"/>
      <c r="N244" s="4"/>
    </row>
    <row r="245">
      <c r="A245" s="14"/>
      <c r="N245" s="4"/>
    </row>
    <row r="246">
      <c r="A246" s="14"/>
      <c r="N246" s="4"/>
    </row>
    <row r="247">
      <c r="A247" s="14"/>
      <c r="N247" s="4"/>
    </row>
    <row r="248">
      <c r="A248" s="14"/>
      <c r="N248" s="4"/>
    </row>
    <row r="249">
      <c r="A249" s="14"/>
      <c r="N249" s="4"/>
    </row>
    <row r="250">
      <c r="A250" s="14"/>
      <c r="N250" s="4"/>
    </row>
    <row r="251">
      <c r="A251" s="14"/>
      <c r="N251" s="4"/>
    </row>
    <row r="252">
      <c r="A252" s="14"/>
      <c r="N252" s="4"/>
    </row>
    <row r="253">
      <c r="A253" s="14"/>
      <c r="N253" s="4"/>
    </row>
    <row r="254">
      <c r="A254" s="14"/>
      <c r="N254" s="4"/>
    </row>
    <row r="255">
      <c r="A255" s="14"/>
      <c r="N255" s="4"/>
    </row>
    <row r="256">
      <c r="A256" s="14"/>
      <c r="N256" s="4"/>
    </row>
    <row r="257">
      <c r="A257" s="14"/>
      <c r="N257" s="4"/>
    </row>
    <row r="258">
      <c r="A258" s="14"/>
      <c r="N258" s="4"/>
    </row>
    <row r="259">
      <c r="A259" s="14"/>
      <c r="N259" s="4"/>
    </row>
    <row r="260">
      <c r="A260" s="14"/>
      <c r="N260" s="4"/>
    </row>
    <row r="261">
      <c r="A261" s="14"/>
      <c r="N261" s="4"/>
    </row>
    <row r="262">
      <c r="A262" s="14"/>
      <c r="N262" s="4"/>
    </row>
    <row r="263">
      <c r="A263" s="14"/>
      <c r="N263" s="4"/>
    </row>
    <row r="264">
      <c r="A264" s="14"/>
      <c r="N264" s="4"/>
    </row>
    <row r="265">
      <c r="A265" s="14"/>
      <c r="N265" s="4"/>
    </row>
    <row r="266">
      <c r="A266" s="14"/>
      <c r="N266" s="4"/>
    </row>
    <row r="267">
      <c r="A267" s="14"/>
      <c r="N267" s="4"/>
    </row>
    <row r="268">
      <c r="A268" s="14"/>
      <c r="N268" s="4"/>
    </row>
    <row r="269">
      <c r="A269" s="14"/>
      <c r="N269" s="4"/>
    </row>
    <row r="270">
      <c r="A270" s="14"/>
      <c r="N270" s="4"/>
    </row>
    <row r="271">
      <c r="A271" s="14"/>
      <c r="N271" s="4"/>
    </row>
    <row r="272">
      <c r="A272" s="14"/>
      <c r="N272" s="4"/>
    </row>
    <row r="273">
      <c r="A273" s="14"/>
      <c r="N273" s="4"/>
    </row>
    <row r="274">
      <c r="A274" s="14"/>
      <c r="N274" s="4"/>
    </row>
    <row r="275">
      <c r="A275" s="14"/>
      <c r="N275" s="4"/>
    </row>
    <row r="276">
      <c r="A276" s="14"/>
      <c r="N276" s="4"/>
    </row>
    <row r="277">
      <c r="A277" s="14"/>
      <c r="N277" s="4"/>
    </row>
    <row r="278">
      <c r="A278" s="14"/>
      <c r="N278" s="4"/>
    </row>
    <row r="279">
      <c r="A279" s="14"/>
      <c r="N279" s="4"/>
    </row>
    <row r="280">
      <c r="A280" s="14"/>
      <c r="N280" s="4"/>
    </row>
    <row r="281">
      <c r="A281" s="14"/>
      <c r="N281" s="4"/>
    </row>
    <row r="282">
      <c r="A282" s="14"/>
      <c r="N282" s="4"/>
    </row>
    <row r="283">
      <c r="A283" s="14"/>
      <c r="N283" s="4"/>
    </row>
    <row r="284">
      <c r="A284" s="14"/>
      <c r="N284" s="4"/>
    </row>
    <row r="285">
      <c r="A285" s="14"/>
      <c r="N285" s="4"/>
    </row>
    <row r="286">
      <c r="A286" s="14"/>
      <c r="N286" s="4"/>
    </row>
    <row r="287">
      <c r="A287" s="14"/>
      <c r="N287" s="4"/>
    </row>
    <row r="288">
      <c r="A288" s="14"/>
      <c r="N288" s="4"/>
    </row>
    <row r="289">
      <c r="A289" s="14"/>
      <c r="N289" s="4"/>
    </row>
    <row r="290">
      <c r="A290" s="14"/>
      <c r="N290" s="4"/>
    </row>
    <row r="291">
      <c r="A291" s="14"/>
      <c r="N291" s="4"/>
    </row>
    <row r="292">
      <c r="A292" s="14"/>
      <c r="N292" s="4"/>
    </row>
    <row r="293">
      <c r="A293" s="14"/>
      <c r="N293" s="4"/>
    </row>
    <row r="294">
      <c r="A294" s="14"/>
      <c r="N294" s="4"/>
    </row>
    <row r="295">
      <c r="A295" s="14"/>
      <c r="N295" s="4"/>
    </row>
    <row r="296">
      <c r="A296" s="14"/>
      <c r="N296" s="4"/>
    </row>
    <row r="297">
      <c r="A297" s="14"/>
      <c r="N297" s="4"/>
    </row>
    <row r="298">
      <c r="A298" s="14"/>
      <c r="N298" s="4"/>
    </row>
    <row r="299">
      <c r="A299" s="14"/>
      <c r="N299" s="4"/>
    </row>
    <row r="300">
      <c r="A300" s="14"/>
      <c r="N300" s="4"/>
    </row>
    <row r="301">
      <c r="A301" s="14"/>
      <c r="N301" s="4"/>
    </row>
    <row r="302">
      <c r="A302" s="14"/>
      <c r="N302" s="4"/>
    </row>
    <row r="303">
      <c r="A303" s="14"/>
      <c r="N303" s="4"/>
    </row>
    <row r="304">
      <c r="A304" s="14"/>
      <c r="N304" s="4"/>
    </row>
    <row r="305">
      <c r="A305" s="14"/>
      <c r="N305" s="4"/>
    </row>
    <row r="306">
      <c r="A306" s="14"/>
      <c r="N306" s="4"/>
    </row>
    <row r="307">
      <c r="A307" s="14"/>
      <c r="N307" s="4"/>
    </row>
    <row r="308">
      <c r="A308" s="14"/>
      <c r="N308" s="4"/>
    </row>
    <row r="309">
      <c r="A309" s="14"/>
      <c r="N309" s="4"/>
    </row>
    <row r="310">
      <c r="A310" s="14"/>
      <c r="N310" s="4"/>
    </row>
    <row r="311">
      <c r="A311" s="14"/>
      <c r="N311" s="4"/>
    </row>
    <row r="312">
      <c r="A312" s="14"/>
      <c r="N312" s="4"/>
    </row>
    <row r="313">
      <c r="A313" s="14"/>
      <c r="N313" s="4"/>
    </row>
    <row r="314">
      <c r="A314" s="14"/>
      <c r="N314" s="4"/>
    </row>
    <row r="315">
      <c r="A315" s="14"/>
      <c r="N315" s="4"/>
    </row>
    <row r="316">
      <c r="A316" s="14"/>
      <c r="N316" s="4"/>
    </row>
    <row r="317">
      <c r="A317" s="14"/>
      <c r="N317" s="4"/>
    </row>
    <row r="318">
      <c r="A318" s="14"/>
      <c r="N318" s="4"/>
    </row>
    <row r="319">
      <c r="A319" s="14"/>
      <c r="N319" s="4"/>
    </row>
    <row r="320">
      <c r="A320" s="14"/>
      <c r="N320" s="4"/>
    </row>
    <row r="321">
      <c r="A321" s="14"/>
      <c r="N321" s="4"/>
    </row>
    <row r="322">
      <c r="A322" s="14"/>
      <c r="N322" s="4"/>
    </row>
    <row r="323">
      <c r="A323" s="14"/>
      <c r="N323" s="4"/>
    </row>
    <row r="324">
      <c r="A324" s="14"/>
      <c r="N324" s="4"/>
    </row>
    <row r="325">
      <c r="A325" s="14"/>
      <c r="N325" s="4"/>
    </row>
    <row r="326">
      <c r="A326" s="14"/>
      <c r="N326" s="4"/>
    </row>
    <row r="327">
      <c r="A327" s="14"/>
      <c r="N327" s="4"/>
    </row>
    <row r="328">
      <c r="A328" s="14"/>
      <c r="N328" s="4"/>
    </row>
    <row r="329">
      <c r="A329" s="14"/>
      <c r="N329" s="4"/>
    </row>
    <row r="330">
      <c r="A330" s="14"/>
      <c r="N330" s="4"/>
    </row>
    <row r="331">
      <c r="A331" s="14"/>
      <c r="N331" s="4"/>
    </row>
    <row r="332">
      <c r="A332" s="14"/>
      <c r="N332" s="4"/>
    </row>
    <row r="333">
      <c r="A333" s="14"/>
      <c r="N333" s="4"/>
    </row>
    <row r="334">
      <c r="A334" s="14"/>
      <c r="N334" s="4"/>
    </row>
    <row r="335">
      <c r="A335" s="14"/>
      <c r="N335" s="4"/>
    </row>
    <row r="336">
      <c r="A336" s="14"/>
      <c r="N336" s="4"/>
    </row>
    <row r="337">
      <c r="A337" s="14"/>
      <c r="N337" s="4"/>
    </row>
    <row r="338">
      <c r="A338" s="14"/>
      <c r="N338" s="4"/>
    </row>
    <row r="339">
      <c r="A339" s="14"/>
      <c r="N339" s="4"/>
    </row>
    <row r="340">
      <c r="A340" s="14"/>
      <c r="N340" s="4"/>
    </row>
    <row r="341">
      <c r="A341" s="14"/>
      <c r="N341" s="4"/>
    </row>
    <row r="342">
      <c r="A342" s="14"/>
      <c r="N342" s="4"/>
    </row>
    <row r="343">
      <c r="A343" s="14"/>
      <c r="N343" s="4"/>
    </row>
    <row r="344">
      <c r="A344" s="14"/>
      <c r="N344" s="4"/>
    </row>
    <row r="345">
      <c r="A345" s="14"/>
      <c r="N345" s="4"/>
    </row>
    <row r="346">
      <c r="A346" s="14"/>
      <c r="N346" s="4"/>
    </row>
    <row r="347">
      <c r="A347" s="14"/>
      <c r="N347" s="4"/>
    </row>
    <row r="348">
      <c r="A348" s="14"/>
      <c r="N348" s="4"/>
    </row>
    <row r="349">
      <c r="A349" s="14"/>
      <c r="N349" s="4"/>
    </row>
    <row r="350">
      <c r="A350" s="14"/>
      <c r="N350" s="4"/>
    </row>
    <row r="351">
      <c r="A351" s="14"/>
      <c r="N351" s="4"/>
    </row>
    <row r="352">
      <c r="A352" s="14"/>
      <c r="N352" s="4"/>
    </row>
    <row r="353">
      <c r="A353" s="14"/>
      <c r="N353" s="4"/>
    </row>
    <row r="354">
      <c r="A354" s="14"/>
      <c r="N354" s="4"/>
    </row>
    <row r="355">
      <c r="A355" s="14"/>
      <c r="N355" s="4"/>
    </row>
    <row r="356">
      <c r="A356" s="14"/>
      <c r="N356" s="4"/>
    </row>
    <row r="357">
      <c r="A357" s="14"/>
      <c r="N357" s="4"/>
    </row>
    <row r="358">
      <c r="A358" s="14"/>
      <c r="N358" s="4"/>
    </row>
    <row r="359">
      <c r="A359" s="14"/>
      <c r="N359" s="4"/>
    </row>
    <row r="360">
      <c r="A360" s="14"/>
      <c r="N360" s="4"/>
    </row>
    <row r="361">
      <c r="A361" s="14"/>
      <c r="N361" s="4"/>
    </row>
    <row r="362">
      <c r="A362" s="14"/>
      <c r="N362" s="4"/>
    </row>
    <row r="363">
      <c r="A363" s="14"/>
      <c r="N363" s="4"/>
    </row>
    <row r="364">
      <c r="A364" s="14"/>
      <c r="N364" s="4"/>
    </row>
    <row r="365">
      <c r="A365" s="14"/>
      <c r="N365" s="4"/>
    </row>
    <row r="366">
      <c r="A366" s="14"/>
      <c r="N366" s="4"/>
    </row>
    <row r="367">
      <c r="A367" s="14"/>
      <c r="N367" s="4"/>
    </row>
    <row r="368">
      <c r="A368" s="14"/>
      <c r="N368" s="4"/>
    </row>
    <row r="369">
      <c r="A369" s="14"/>
      <c r="N369" s="4"/>
    </row>
    <row r="370">
      <c r="A370" s="14"/>
      <c r="N370" s="4"/>
    </row>
    <row r="371">
      <c r="A371" s="14"/>
      <c r="N371" s="4"/>
    </row>
    <row r="372">
      <c r="A372" s="14"/>
      <c r="N372" s="4"/>
    </row>
    <row r="373">
      <c r="A373" s="14"/>
      <c r="N373" s="4"/>
    </row>
    <row r="374">
      <c r="A374" s="14"/>
      <c r="N374" s="4"/>
    </row>
    <row r="375">
      <c r="A375" s="14"/>
      <c r="N375" s="4"/>
    </row>
    <row r="376">
      <c r="A376" s="14"/>
      <c r="N376" s="4"/>
    </row>
    <row r="377">
      <c r="A377" s="14"/>
      <c r="N377" s="4"/>
    </row>
    <row r="378">
      <c r="A378" s="14"/>
      <c r="N378" s="4"/>
    </row>
    <row r="379">
      <c r="A379" s="14"/>
      <c r="N379" s="4"/>
    </row>
    <row r="380">
      <c r="A380" s="14"/>
      <c r="N380" s="4"/>
    </row>
    <row r="381">
      <c r="A381" s="14"/>
      <c r="N381" s="4"/>
    </row>
    <row r="382">
      <c r="A382" s="14"/>
      <c r="N382" s="4"/>
    </row>
    <row r="383">
      <c r="A383" s="14"/>
      <c r="N383" s="4"/>
    </row>
    <row r="384">
      <c r="A384" s="14"/>
      <c r="N384" s="4"/>
    </row>
    <row r="385">
      <c r="A385" s="14"/>
      <c r="N385" s="4"/>
    </row>
    <row r="386">
      <c r="A386" s="14"/>
      <c r="N386" s="4"/>
    </row>
    <row r="387">
      <c r="A387" s="14"/>
      <c r="N387" s="4"/>
    </row>
    <row r="388">
      <c r="A388" s="14"/>
      <c r="N388" s="4"/>
    </row>
    <row r="389">
      <c r="A389" s="14"/>
      <c r="N389" s="4"/>
    </row>
    <row r="390">
      <c r="A390" s="14"/>
      <c r="N390" s="4"/>
    </row>
    <row r="391">
      <c r="A391" s="14"/>
      <c r="N391" s="4"/>
    </row>
    <row r="392">
      <c r="A392" s="14"/>
      <c r="N392" s="4"/>
    </row>
    <row r="393">
      <c r="A393" s="14"/>
      <c r="N393" s="4"/>
    </row>
    <row r="394">
      <c r="A394" s="14"/>
      <c r="N394" s="4"/>
    </row>
    <row r="395">
      <c r="A395" s="14"/>
      <c r="N395" s="4"/>
    </row>
    <row r="396">
      <c r="A396" s="14"/>
      <c r="N396" s="4"/>
    </row>
    <row r="397">
      <c r="A397" s="14"/>
      <c r="N397" s="4"/>
    </row>
    <row r="398">
      <c r="A398" s="14"/>
      <c r="N398" s="4"/>
    </row>
    <row r="399">
      <c r="A399" s="14"/>
      <c r="N399" s="4"/>
    </row>
    <row r="400">
      <c r="A400" s="14"/>
      <c r="N400" s="4"/>
    </row>
    <row r="401">
      <c r="A401" s="14"/>
      <c r="N401" s="4"/>
    </row>
    <row r="402">
      <c r="A402" s="14"/>
      <c r="N402" s="4"/>
    </row>
    <row r="403">
      <c r="A403" s="14"/>
      <c r="N403" s="4"/>
    </row>
    <row r="404">
      <c r="A404" s="14"/>
      <c r="N404" s="4"/>
    </row>
    <row r="405">
      <c r="A405" s="14"/>
      <c r="N405" s="4"/>
    </row>
    <row r="406">
      <c r="A406" s="14"/>
      <c r="N406" s="4"/>
    </row>
    <row r="407">
      <c r="A407" s="14"/>
      <c r="N407" s="4"/>
    </row>
    <row r="408">
      <c r="A408" s="14"/>
      <c r="N408" s="4"/>
    </row>
    <row r="409">
      <c r="A409" s="14"/>
      <c r="N409" s="4"/>
    </row>
    <row r="410">
      <c r="A410" s="14"/>
      <c r="N410" s="4"/>
    </row>
    <row r="411">
      <c r="A411" s="14"/>
      <c r="N411" s="4"/>
    </row>
    <row r="412">
      <c r="A412" s="14"/>
      <c r="N412" s="4"/>
    </row>
    <row r="413">
      <c r="A413" s="14"/>
      <c r="N413" s="4"/>
    </row>
    <row r="414">
      <c r="A414" s="14"/>
      <c r="N414" s="4"/>
    </row>
    <row r="415">
      <c r="A415" s="14"/>
      <c r="N415" s="4"/>
    </row>
    <row r="416">
      <c r="A416" s="14"/>
      <c r="N416" s="4"/>
    </row>
    <row r="417">
      <c r="A417" s="14"/>
      <c r="N417" s="4"/>
    </row>
    <row r="418">
      <c r="A418" s="14"/>
      <c r="N418" s="4"/>
    </row>
    <row r="419">
      <c r="A419" s="14"/>
      <c r="N419" s="4"/>
    </row>
    <row r="420">
      <c r="A420" s="14"/>
      <c r="N420" s="4"/>
    </row>
    <row r="421">
      <c r="A421" s="14"/>
      <c r="N421" s="4"/>
    </row>
    <row r="422">
      <c r="A422" s="14"/>
      <c r="N422" s="4"/>
    </row>
    <row r="423">
      <c r="A423" s="14"/>
      <c r="N423" s="4"/>
    </row>
    <row r="424">
      <c r="A424" s="14"/>
      <c r="N424" s="4"/>
    </row>
    <row r="425">
      <c r="A425" s="14"/>
      <c r="N425" s="4"/>
    </row>
    <row r="426">
      <c r="A426" s="14"/>
      <c r="N426" s="4"/>
    </row>
    <row r="427">
      <c r="A427" s="14"/>
      <c r="N427" s="4"/>
    </row>
    <row r="428">
      <c r="A428" s="14"/>
      <c r="N428" s="4"/>
    </row>
    <row r="429">
      <c r="A429" s="14"/>
      <c r="N429" s="4"/>
    </row>
    <row r="430">
      <c r="A430" s="14"/>
      <c r="N430" s="4"/>
    </row>
    <row r="431">
      <c r="A431" s="14"/>
      <c r="N431" s="4"/>
    </row>
    <row r="432">
      <c r="A432" s="14"/>
      <c r="N432" s="4"/>
    </row>
    <row r="433">
      <c r="A433" s="14"/>
      <c r="N433" s="4"/>
    </row>
    <row r="434">
      <c r="A434" s="14"/>
      <c r="N434" s="4"/>
    </row>
    <row r="435">
      <c r="A435" s="14"/>
      <c r="N435" s="4"/>
    </row>
    <row r="436">
      <c r="A436" s="14"/>
      <c r="N436" s="4"/>
    </row>
    <row r="437">
      <c r="A437" s="14"/>
      <c r="N437" s="4"/>
    </row>
    <row r="438">
      <c r="A438" s="14"/>
      <c r="N438" s="4"/>
    </row>
    <row r="439">
      <c r="A439" s="14"/>
      <c r="N439" s="4"/>
    </row>
    <row r="440">
      <c r="A440" s="14"/>
      <c r="N440" s="4"/>
    </row>
    <row r="441">
      <c r="A441" s="14"/>
      <c r="N441" s="4"/>
    </row>
    <row r="442">
      <c r="A442" s="14"/>
      <c r="N442" s="4"/>
    </row>
    <row r="443">
      <c r="A443" s="14"/>
      <c r="N443" s="4"/>
    </row>
    <row r="444">
      <c r="A444" s="14"/>
      <c r="N444" s="4"/>
    </row>
    <row r="445">
      <c r="A445" s="14"/>
      <c r="N445" s="4"/>
    </row>
    <row r="446">
      <c r="A446" s="14"/>
      <c r="N446" s="4"/>
    </row>
    <row r="447">
      <c r="A447" s="14"/>
      <c r="N447" s="4"/>
    </row>
    <row r="448">
      <c r="A448" s="14"/>
      <c r="N448" s="4"/>
    </row>
    <row r="449">
      <c r="A449" s="14"/>
      <c r="N449" s="4"/>
    </row>
    <row r="450">
      <c r="A450" s="14"/>
      <c r="N450" s="4"/>
    </row>
    <row r="451">
      <c r="A451" s="14"/>
      <c r="N451" s="4"/>
    </row>
    <row r="452">
      <c r="A452" s="14"/>
      <c r="N452" s="4"/>
    </row>
    <row r="453">
      <c r="A453" s="14"/>
      <c r="N453" s="4"/>
    </row>
    <row r="454">
      <c r="A454" s="14"/>
      <c r="N454" s="4"/>
    </row>
    <row r="455">
      <c r="A455" s="14"/>
      <c r="N455" s="4"/>
    </row>
    <row r="456">
      <c r="A456" s="14"/>
      <c r="N456" s="4"/>
    </row>
    <row r="457">
      <c r="A457" s="14"/>
      <c r="N457" s="4"/>
    </row>
    <row r="458">
      <c r="A458" s="14"/>
      <c r="N458" s="4"/>
    </row>
    <row r="459">
      <c r="A459" s="14"/>
      <c r="N459" s="4"/>
    </row>
    <row r="460">
      <c r="A460" s="14"/>
      <c r="N460" s="4"/>
    </row>
    <row r="461">
      <c r="A461" s="14"/>
      <c r="N461" s="4"/>
    </row>
    <row r="462">
      <c r="A462" s="14"/>
      <c r="N462" s="4"/>
    </row>
    <row r="463">
      <c r="A463" s="14"/>
      <c r="N463" s="4"/>
    </row>
    <row r="464">
      <c r="A464" s="14"/>
      <c r="N464" s="4"/>
    </row>
    <row r="465">
      <c r="A465" s="14"/>
      <c r="N465" s="4"/>
    </row>
    <row r="466">
      <c r="A466" s="14"/>
      <c r="N466" s="4"/>
    </row>
    <row r="467">
      <c r="A467" s="14"/>
      <c r="N467" s="4"/>
    </row>
    <row r="468">
      <c r="A468" s="14"/>
      <c r="N468" s="4"/>
    </row>
    <row r="469">
      <c r="A469" s="14"/>
      <c r="N469" s="4"/>
    </row>
    <row r="470">
      <c r="A470" s="14"/>
      <c r="N470" s="4"/>
    </row>
    <row r="471">
      <c r="A471" s="14"/>
      <c r="N471" s="4"/>
    </row>
    <row r="472">
      <c r="A472" s="14"/>
      <c r="N472" s="4"/>
    </row>
    <row r="473">
      <c r="A473" s="14"/>
      <c r="N473" s="4"/>
    </row>
    <row r="474">
      <c r="A474" s="14"/>
      <c r="N474" s="4"/>
    </row>
    <row r="475">
      <c r="A475" s="14"/>
      <c r="N475" s="4"/>
    </row>
    <row r="476">
      <c r="A476" s="14"/>
      <c r="N476" s="4"/>
    </row>
    <row r="477">
      <c r="A477" s="14"/>
      <c r="N477" s="4"/>
    </row>
    <row r="478">
      <c r="A478" s="14"/>
      <c r="N478" s="4"/>
    </row>
    <row r="479">
      <c r="A479" s="14"/>
      <c r="N479" s="4"/>
    </row>
    <row r="480">
      <c r="A480" s="14"/>
      <c r="N480" s="4"/>
    </row>
    <row r="481">
      <c r="A481" s="14"/>
      <c r="N481" s="4"/>
    </row>
    <row r="482">
      <c r="A482" s="14"/>
      <c r="N482" s="4"/>
    </row>
    <row r="483">
      <c r="A483" s="14"/>
      <c r="N483" s="4"/>
    </row>
    <row r="484">
      <c r="A484" s="14"/>
      <c r="N484" s="4"/>
    </row>
    <row r="485">
      <c r="A485" s="14"/>
      <c r="N485" s="4"/>
    </row>
    <row r="486">
      <c r="A486" s="14"/>
      <c r="N486" s="4"/>
    </row>
    <row r="487">
      <c r="A487" s="14"/>
      <c r="N487" s="4"/>
    </row>
    <row r="488">
      <c r="A488" s="14"/>
      <c r="N488" s="4"/>
    </row>
    <row r="489">
      <c r="A489" s="14"/>
      <c r="N489" s="4"/>
    </row>
    <row r="490">
      <c r="A490" s="14"/>
      <c r="N490" s="4"/>
    </row>
    <row r="491">
      <c r="A491" s="14"/>
      <c r="N491" s="4"/>
    </row>
    <row r="492">
      <c r="A492" s="14"/>
      <c r="N492" s="4"/>
    </row>
    <row r="493">
      <c r="A493" s="14"/>
      <c r="N493" s="4"/>
    </row>
    <row r="494">
      <c r="A494" s="14"/>
      <c r="N494" s="4"/>
    </row>
    <row r="495">
      <c r="A495" s="14"/>
      <c r="N495" s="4"/>
    </row>
    <row r="496">
      <c r="A496" s="14"/>
      <c r="N496" s="4"/>
    </row>
    <row r="497">
      <c r="A497" s="14"/>
      <c r="N497" s="4"/>
    </row>
    <row r="498">
      <c r="A498" s="14"/>
      <c r="N498" s="4"/>
    </row>
    <row r="499">
      <c r="A499" s="14"/>
      <c r="N499" s="4"/>
    </row>
    <row r="500">
      <c r="A500" s="14"/>
      <c r="N500" s="4"/>
    </row>
    <row r="501">
      <c r="A501" s="14"/>
      <c r="N501" s="4"/>
    </row>
    <row r="502">
      <c r="A502" s="14"/>
      <c r="N502" s="4"/>
    </row>
    <row r="503">
      <c r="A503" s="14"/>
      <c r="N503" s="4"/>
    </row>
    <row r="504">
      <c r="A504" s="14"/>
      <c r="N504" s="4"/>
    </row>
    <row r="505">
      <c r="A505" s="14"/>
      <c r="N505" s="4"/>
    </row>
    <row r="506">
      <c r="A506" s="14"/>
      <c r="N506" s="4"/>
    </row>
    <row r="507">
      <c r="A507" s="14"/>
      <c r="N507" s="4"/>
    </row>
    <row r="508">
      <c r="A508" s="14"/>
      <c r="N508" s="4"/>
    </row>
    <row r="509">
      <c r="A509" s="14"/>
      <c r="N509" s="4"/>
    </row>
    <row r="510">
      <c r="A510" s="14"/>
      <c r="N510" s="4"/>
    </row>
    <row r="511">
      <c r="A511" s="14"/>
      <c r="N511" s="4"/>
    </row>
    <row r="512">
      <c r="A512" s="14"/>
      <c r="N512" s="4"/>
    </row>
    <row r="513">
      <c r="A513" s="14"/>
      <c r="N513" s="4"/>
    </row>
    <row r="514">
      <c r="A514" s="14"/>
      <c r="N514" s="4"/>
    </row>
    <row r="515">
      <c r="A515" s="14"/>
      <c r="N515" s="4"/>
    </row>
    <row r="516">
      <c r="A516" s="14"/>
      <c r="N516" s="4"/>
    </row>
    <row r="517">
      <c r="A517" s="14"/>
      <c r="N517" s="4"/>
    </row>
    <row r="518">
      <c r="A518" s="14"/>
      <c r="N518" s="4"/>
    </row>
    <row r="519">
      <c r="A519" s="14"/>
      <c r="N519" s="4"/>
    </row>
    <row r="520">
      <c r="A520" s="14"/>
      <c r="N520" s="4"/>
    </row>
    <row r="521">
      <c r="A521" s="14"/>
      <c r="N521" s="4"/>
    </row>
    <row r="522">
      <c r="A522" s="14"/>
      <c r="N522" s="4"/>
    </row>
    <row r="523">
      <c r="A523" s="14"/>
      <c r="N523" s="4"/>
    </row>
    <row r="524">
      <c r="A524" s="14"/>
      <c r="N524" s="4"/>
    </row>
    <row r="525">
      <c r="A525" s="14"/>
      <c r="N525" s="4"/>
    </row>
    <row r="526">
      <c r="A526" s="14"/>
      <c r="N526" s="4"/>
    </row>
    <row r="527">
      <c r="A527" s="14"/>
      <c r="N527" s="4"/>
    </row>
    <row r="528">
      <c r="A528" s="14"/>
      <c r="N528" s="4"/>
    </row>
    <row r="529">
      <c r="A529" s="14"/>
      <c r="N529" s="4"/>
    </row>
    <row r="530">
      <c r="A530" s="14"/>
      <c r="N530" s="4"/>
    </row>
    <row r="531">
      <c r="A531" s="14"/>
      <c r="N531" s="4"/>
    </row>
    <row r="532">
      <c r="A532" s="14"/>
      <c r="N532" s="4"/>
    </row>
    <row r="533">
      <c r="A533" s="14"/>
      <c r="N533" s="4"/>
    </row>
    <row r="534">
      <c r="A534" s="14"/>
      <c r="N534" s="4"/>
    </row>
    <row r="535">
      <c r="A535" s="14"/>
      <c r="N535" s="4"/>
    </row>
    <row r="536">
      <c r="A536" s="14"/>
      <c r="N536" s="4"/>
    </row>
    <row r="537">
      <c r="A537" s="14"/>
      <c r="N537" s="4"/>
    </row>
    <row r="538">
      <c r="A538" s="14"/>
      <c r="N538" s="4"/>
    </row>
    <row r="539">
      <c r="A539" s="14"/>
      <c r="N539" s="4"/>
    </row>
    <row r="540">
      <c r="A540" s="14"/>
      <c r="N540" s="4"/>
    </row>
    <row r="541">
      <c r="A541" s="14"/>
      <c r="N541" s="4"/>
    </row>
    <row r="542">
      <c r="A542" s="14"/>
      <c r="N542" s="4"/>
    </row>
    <row r="543">
      <c r="A543" s="14"/>
      <c r="N543" s="4"/>
    </row>
    <row r="544">
      <c r="A544" s="14"/>
      <c r="N544" s="4"/>
    </row>
    <row r="545">
      <c r="A545" s="14"/>
      <c r="N545" s="4"/>
    </row>
    <row r="546">
      <c r="A546" s="14"/>
      <c r="N546" s="4"/>
    </row>
    <row r="547">
      <c r="A547" s="14"/>
      <c r="N547" s="4"/>
    </row>
    <row r="548">
      <c r="A548" s="14"/>
      <c r="N548" s="4"/>
    </row>
    <row r="549">
      <c r="A549" s="14"/>
      <c r="N549" s="4"/>
    </row>
    <row r="550">
      <c r="A550" s="14"/>
      <c r="N550" s="4"/>
    </row>
    <row r="551">
      <c r="A551" s="14"/>
      <c r="N551" s="4"/>
    </row>
    <row r="552">
      <c r="A552" s="14"/>
      <c r="N552" s="4"/>
    </row>
    <row r="553">
      <c r="A553" s="14"/>
      <c r="N553" s="4"/>
    </row>
    <row r="554">
      <c r="A554" s="14"/>
      <c r="N554" s="4"/>
    </row>
    <row r="555">
      <c r="A555" s="14"/>
      <c r="N555" s="4"/>
    </row>
    <row r="556">
      <c r="A556" s="14"/>
      <c r="N556" s="4"/>
    </row>
    <row r="557">
      <c r="A557" s="14"/>
      <c r="N557" s="4"/>
    </row>
    <row r="558">
      <c r="A558" s="14"/>
      <c r="N558" s="4"/>
    </row>
    <row r="559">
      <c r="A559" s="14"/>
      <c r="N559" s="4"/>
    </row>
    <row r="560">
      <c r="A560" s="14"/>
      <c r="N560" s="4"/>
    </row>
    <row r="561">
      <c r="A561" s="14"/>
      <c r="N561" s="4"/>
    </row>
    <row r="562">
      <c r="A562" s="14"/>
      <c r="N562" s="4"/>
    </row>
    <row r="563">
      <c r="A563" s="14"/>
      <c r="N563" s="4"/>
    </row>
    <row r="564">
      <c r="A564" s="14"/>
      <c r="N564" s="4"/>
    </row>
    <row r="565">
      <c r="A565" s="14"/>
      <c r="N565" s="4"/>
    </row>
    <row r="566">
      <c r="A566" s="14"/>
      <c r="N566" s="4"/>
    </row>
    <row r="567">
      <c r="A567" s="14"/>
      <c r="N567" s="4"/>
    </row>
    <row r="568">
      <c r="A568" s="14"/>
      <c r="N568" s="4"/>
    </row>
    <row r="569">
      <c r="A569" s="14"/>
      <c r="N569" s="4"/>
    </row>
    <row r="570">
      <c r="A570" s="14"/>
      <c r="N570" s="4"/>
    </row>
    <row r="571">
      <c r="A571" s="14"/>
      <c r="N571" s="4"/>
    </row>
    <row r="572">
      <c r="A572" s="14"/>
      <c r="N572" s="4"/>
    </row>
    <row r="573">
      <c r="A573" s="14"/>
      <c r="N573" s="4"/>
    </row>
    <row r="574">
      <c r="A574" s="14"/>
      <c r="N574" s="4"/>
    </row>
    <row r="575">
      <c r="A575" s="14"/>
      <c r="N575" s="4"/>
    </row>
    <row r="576">
      <c r="A576" s="14"/>
      <c r="N576" s="4"/>
    </row>
    <row r="577">
      <c r="A577" s="14"/>
      <c r="N577" s="4"/>
    </row>
    <row r="578">
      <c r="A578" s="14"/>
      <c r="N578" s="4"/>
    </row>
    <row r="579">
      <c r="A579" s="14"/>
      <c r="N579" s="4"/>
    </row>
    <row r="580">
      <c r="A580" s="14"/>
      <c r="N580" s="4"/>
    </row>
    <row r="581">
      <c r="A581" s="14"/>
      <c r="N581" s="4"/>
    </row>
    <row r="582">
      <c r="A582" s="14"/>
      <c r="N582" s="4"/>
    </row>
    <row r="583">
      <c r="A583" s="14"/>
      <c r="N583" s="4"/>
    </row>
    <row r="584">
      <c r="A584" s="14"/>
      <c r="N584" s="4"/>
    </row>
    <row r="585">
      <c r="A585" s="14"/>
      <c r="N585" s="4"/>
    </row>
    <row r="586">
      <c r="A586" s="14"/>
      <c r="N586" s="4"/>
    </row>
    <row r="587">
      <c r="A587" s="14"/>
      <c r="N587" s="4"/>
    </row>
    <row r="588">
      <c r="A588" s="14"/>
      <c r="N588" s="4"/>
    </row>
    <row r="589">
      <c r="A589" s="14"/>
      <c r="N589" s="4"/>
    </row>
    <row r="590">
      <c r="A590" s="14"/>
      <c r="N590" s="4"/>
    </row>
    <row r="591">
      <c r="A591" s="14"/>
      <c r="N591" s="4"/>
    </row>
    <row r="592">
      <c r="A592" s="14"/>
      <c r="N592" s="4"/>
    </row>
    <row r="593">
      <c r="A593" s="14"/>
      <c r="N593" s="4"/>
    </row>
    <row r="594">
      <c r="A594" s="14"/>
      <c r="N594" s="4"/>
    </row>
    <row r="595">
      <c r="A595" s="14"/>
      <c r="N595" s="4"/>
    </row>
    <row r="596">
      <c r="A596" s="14"/>
      <c r="N596" s="4"/>
    </row>
    <row r="597">
      <c r="A597" s="14"/>
      <c r="N597" s="4"/>
    </row>
    <row r="598">
      <c r="A598" s="14"/>
      <c r="N598" s="4"/>
    </row>
    <row r="599">
      <c r="A599" s="14"/>
      <c r="N599" s="4"/>
    </row>
    <row r="600">
      <c r="A600" s="14"/>
      <c r="N600" s="4"/>
    </row>
    <row r="601">
      <c r="A601" s="14"/>
      <c r="N601" s="4"/>
    </row>
    <row r="602">
      <c r="A602" s="14"/>
      <c r="N602" s="4"/>
    </row>
    <row r="603">
      <c r="A603" s="14"/>
      <c r="N603" s="4"/>
    </row>
    <row r="604">
      <c r="A604" s="14"/>
      <c r="N604" s="4"/>
    </row>
    <row r="605">
      <c r="A605" s="14"/>
      <c r="N605" s="4"/>
    </row>
    <row r="606">
      <c r="A606" s="14"/>
      <c r="N606" s="4"/>
    </row>
    <row r="607">
      <c r="A607" s="14"/>
      <c r="N607" s="4"/>
    </row>
    <row r="608">
      <c r="A608" s="14"/>
      <c r="N608" s="4"/>
    </row>
    <row r="609">
      <c r="A609" s="14"/>
      <c r="N609" s="4"/>
    </row>
    <row r="610">
      <c r="A610" s="14"/>
      <c r="N610" s="4"/>
    </row>
    <row r="611">
      <c r="A611" s="14"/>
      <c r="N611" s="4"/>
    </row>
    <row r="612">
      <c r="A612" s="14"/>
      <c r="N612" s="4"/>
    </row>
    <row r="613">
      <c r="A613" s="14"/>
      <c r="N613" s="4"/>
    </row>
    <row r="614">
      <c r="A614" s="14"/>
      <c r="N614" s="4"/>
    </row>
    <row r="615">
      <c r="A615" s="14"/>
      <c r="N615" s="4"/>
    </row>
    <row r="616">
      <c r="A616" s="14"/>
      <c r="N616" s="4"/>
    </row>
    <row r="617">
      <c r="A617" s="14"/>
      <c r="N617" s="4"/>
    </row>
    <row r="618">
      <c r="A618" s="14"/>
      <c r="N618" s="4"/>
    </row>
    <row r="619">
      <c r="A619" s="14"/>
      <c r="N619" s="4"/>
    </row>
    <row r="620">
      <c r="A620" s="14"/>
      <c r="N620" s="4"/>
    </row>
    <row r="621">
      <c r="A621" s="14"/>
      <c r="N621" s="4"/>
    </row>
    <row r="622">
      <c r="A622" s="14"/>
      <c r="N622" s="4"/>
    </row>
    <row r="623">
      <c r="A623" s="14"/>
      <c r="N623" s="4"/>
    </row>
    <row r="624">
      <c r="A624" s="14"/>
      <c r="N624" s="4"/>
    </row>
    <row r="625">
      <c r="A625" s="14"/>
      <c r="N625" s="4"/>
    </row>
    <row r="626">
      <c r="A626" s="14"/>
      <c r="N626" s="4"/>
    </row>
    <row r="627">
      <c r="A627" s="14"/>
      <c r="N627" s="4"/>
    </row>
    <row r="628">
      <c r="A628" s="14"/>
      <c r="N628" s="4"/>
    </row>
    <row r="629">
      <c r="A629" s="14"/>
      <c r="N629" s="4"/>
    </row>
    <row r="630">
      <c r="A630" s="14"/>
      <c r="N630" s="4"/>
    </row>
    <row r="631">
      <c r="A631" s="14"/>
      <c r="N631" s="4"/>
    </row>
    <row r="632">
      <c r="A632" s="14"/>
      <c r="N632" s="4"/>
    </row>
    <row r="633">
      <c r="A633" s="14"/>
      <c r="N633" s="4"/>
    </row>
    <row r="634">
      <c r="A634" s="14"/>
      <c r="N634" s="4"/>
    </row>
    <row r="635">
      <c r="A635" s="14"/>
      <c r="N635" s="4"/>
    </row>
    <row r="636">
      <c r="A636" s="14"/>
      <c r="N636" s="4"/>
    </row>
    <row r="637">
      <c r="A637" s="14"/>
      <c r="N637" s="4"/>
    </row>
    <row r="638">
      <c r="A638" s="14"/>
      <c r="N638" s="4"/>
    </row>
    <row r="639">
      <c r="A639" s="14"/>
      <c r="N639" s="4"/>
    </row>
    <row r="640">
      <c r="A640" s="14"/>
      <c r="N640" s="4"/>
    </row>
    <row r="641">
      <c r="A641" s="14"/>
      <c r="N641" s="4"/>
    </row>
    <row r="642">
      <c r="A642" s="14"/>
      <c r="N642" s="4"/>
    </row>
    <row r="643">
      <c r="A643" s="14"/>
      <c r="N643" s="4"/>
    </row>
    <row r="644">
      <c r="A644" s="14"/>
      <c r="N644" s="4"/>
    </row>
    <row r="645">
      <c r="A645" s="14"/>
      <c r="N645" s="4"/>
    </row>
    <row r="646">
      <c r="A646" s="14"/>
      <c r="N646" s="4"/>
    </row>
    <row r="647">
      <c r="A647" s="14"/>
      <c r="N647" s="4"/>
    </row>
    <row r="648">
      <c r="A648" s="14"/>
      <c r="N648" s="4"/>
    </row>
    <row r="649">
      <c r="A649" s="14"/>
      <c r="N649" s="4"/>
    </row>
    <row r="650">
      <c r="A650" s="14"/>
      <c r="N650" s="4"/>
    </row>
    <row r="651">
      <c r="A651" s="14"/>
      <c r="N651" s="4"/>
    </row>
    <row r="652">
      <c r="A652" s="14"/>
      <c r="N652" s="4"/>
    </row>
    <row r="653">
      <c r="A653" s="14"/>
      <c r="N653" s="4"/>
    </row>
    <row r="654">
      <c r="A654" s="14"/>
      <c r="N654" s="4"/>
    </row>
    <row r="655">
      <c r="A655" s="14"/>
      <c r="N655" s="4"/>
    </row>
    <row r="656">
      <c r="A656" s="14"/>
      <c r="N656" s="4"/>
    </row>
    <row r="657">
      <c r="A657" s="14"/>
      <c r="N657" s="4"/>
    </row>
    <row r="658">
      <c r="A658" s="14"/>
      <c r="N658" s="4"/>
    </row>
    <row r="659">
      <c r="A659" s="14"/>
      <c r="N659" s="4"/>
    </row>
    <row r="660">
      <c r="A660" s="14"/>
      <c r="N660" s="4"/>
    </row>
    <row r="661">
      <c r="A661" s="14"/>
      <c r="N661" s="4"/>
    </row>
    <row r="662">
      <c r="A662" s="14"/>
      <c r="N662" s="4"/>
    </row>
    <row r="663">
      <c r="A663" s="14"/>
      <c r="N663" s="4"/>
    </row>
    <row r="664">
      <c r="A664" s="14"/>
      <c r="N664" s="4"/>
    </row>
    <row r="665">
      <c r="A665" s="14"/>
      <c r="N665" s="4"/>
    </row>
    <row r="666">
      <c r="A666" s="14"/>
      <c r="N666" s="4"/>
    </row>
    <row r="667">
      <c r="A667" s="14"/>
      <c r="N667" s="4"/>
    </row>
    <row r="668">
      <c r="A668" s="14"/>
      <c r="N668" s="4"/>
    </row>
    <row r="669">
      <c r="A669" s="14"/>
      <c r="N669" s="4"/>
    </row>
    <row r="670">
      <c r="A670" s="14"/>
      <c r="N670" s="4"/>
    </row>
    <row r="671">
      <c r="A671" s="14"/>
      <c r="N671" s="4"/>
    </row>
    <row r="672">
      <c r="A672" s="14"/>
      <c r="N672" s="4"/>
    </row>
    <row r="673">
      <c r="A673" s="14"/>
      <c r="N673" s="4"/>
    </row>
    <row r="674">
      <c r="A674" s="14"/>
      <c r="N674" s="4"/>
    </row>
    <row r="675">
      <c r="A675" s="14"/>
      <c r="N675" s="4"/>
    </row>
    <row r="676">
      <c r="A676" s="14"/>
      <c r="N676" s="4"/>
    </row>
    <row r="677">
      <c r="A677" s="14"/>
      <c r="N677" s="4"/>
    </row>
    <row r="678">
      <c r="A678" s="14"/>
      <c r="N678" s="4"/>
    </row>
    <row r="679">
      <c r="A679" s="14"/>
      <c r="N679" s="4"/>
    </row>
    <row r="680">
      <c r="A680" s="14"/>
      <c r="N680" s="4"/>
    </row>
    <row r="681">
      <c r="A681" s="14"/>
      <c r="N681" s="4"/>
    </row>
    <row r="682">
      <c r="A682" s="14"/>
      <c r="N682" s="4"/>
    </row>
    <row r="683">
      <c r="A683" s="14"/>
      <c r="N683" s="4"/>
    </row>
    <row r="684">
      <c r="A684" s="14"/>
      <c r="N684" s="4"/>
    </row>
    <row r="685">
      <c r="A685" s="14"/>
      <c r="N685" s="4"/>
    </row>
    <row r="686">
      <c r="A686" s="14"/>
      <c r="N686" s="4"/>
    </row>
    <row r="687">
      <c r="A687" s="14"/>
      <c r="N687" s="4"/>
    </row>
    <row r="688">
      <c r="A688" s="14"/>
      <c r="N688" s="4"/>
    </row>
    <row r="689">
      <c r="A689" s="14"/>
      <c r="N689" s="4"/>
    </row>
    <row r="690">
      <c r="A690" s="14"/>
      <c r="N690" s="4"/>
    </row>
    <row r="691">
      <c r="A691" s="14"/>
      <c r="N691" s="4"/>
    </row>
    <row r="692">
      <c r="A692" s="14"/>
      <c r="N692" s="4"/>
    </row>
    <row r="693">
      <c r="A693" s="14"/>
      <c r="N693" s="4"/>
    </row>
    <row r="694">
      <c r="A694" s="14"/>
      <c r="N694" s="4"/>
    </row>
    <row r="695">
      <c r="A695" s="14"/>
      <c r="N695" s="4"/>
    </row>
    <row r="696">
      <c r="A696" s="14"/>
      <c r="N696" s="4"/>
    </row>
    <row r="697">
      <c r="A697" s="14"/>
      <c r="N697" s="4"/>
    </row>
    <row r="698">
      <c r="A698" s="14"/>
      <c r="N698" s="4"/>
    </row>
    <row r="699">
      <c r="A699" s="14"/>
      <c r="N699" s="4"/>
    </row>
    <row r="700">
      <c r="A700" s="14"/>
      <c r="N700" s="4"/>
    </row>
    <row r="701">
      <c r="A701" s="14"/>
      <c r="N701" s="4"/>
    </row>
    <row r="702">
      <c r="A702" s="14"/>
      <c r="N702" s="4"/>
    </row>
    <row r="703">
      <c r="A703" s="14"/>
      <c r="N703" s="4"/>
    </row>
    <row r="704">
      <c r="A704" s="14"/>
      <c r="N704" s="4"/>
    </row>
    <row r="705">
      <c r="A705" s="14"/>
      <c r="N705" s="4"/>
    </row>
    <row r="706">
      <c r="A706" s="14"/>
      <c r="N706" s="4"/>
    </row>
    <row r="707">
      <c r="A707" s="14"/>
      <c r="N707" s="4"/>
    </row>
    <row r="708">
      <c r="A708" s="14"/>
      <c r="N708" s="4"/>
    </row>
    <row r="709">
      <c r="A709" s="14"/>
      <c r="N709" s="4"/>
    </row>
    <row r="710">
      <c r="A710" s="14"/>
      <c r="N710" s="4"/>
    </row>
    <row r="711">
      <c r="A711" s="14"/>
      <c r="N711" s="4"/>
    </row>
    <row r="712">
      <c r="A712" s="14"/>
      <c r="N712" s="4"/>
    </row>
    <row r="713">
      <c r="A713" s="14"/>
      <c r="N713" s="4"/>
    </row>
    <row r="714">
      <c r="A714" s="14"/>
      <c r="N714" s="4"/>
    </row>
    <row r="715">
      <c r="A715" s="14"/>
      <c r="N715" s="4"/>
    </row>
    <row r="716">
      <c r="A716" s="14"/>
      <c r="N716" s="4"/>
    </row>
    <row r="717">
      <c r="A717" s="14"/>
      <c r="N717" s="4"/>
    </row>
    <row r="718">
      <c r="A718" s="14"/>
      <c r="N718" s="4"/>
    </row>
    <row r="719">
      <c r="A719" s="14"/>
      <c r="N719" s="4"/>
    </row>
    <row r="720">
      <c r="A720" s="14"/>
      <c r="N720" s="4"/>
    </row>
    <row r="721">
      <c r="A721" s="14"/>
      <c r="N721" s="4"/>
    </row>
    <row r="722">
      <c r="A722" s="14"/>
      <c r="N722" s="4"/>
    </row>
    <row r="723">
      <c r="A723" s="14"/>
      <c r="N723" s="4"/>
    </row>
    <row r="724">
      <c r="A724" s="14"/>
      <c r="N724" s="4"/>
    </row>
    <row r="725">
      <c r="A725" s="14"/>
      <c r="N725" s="4"/>
    </row>
    <row r="726">
      <c r="A726" s="14"/>
      <c r="N726" s="4"/>
    </row>
    <row r="727">
      <c r="A727" s="14"/>
      <c r="N727" s="4"/>
    </row>
    <row r="728">
      <c r="A728" s="14"/>
      <c r="N728" s="4"/>
    </row>
    <row r="729">
      <c r="A729" s="14"/>
      <c r="N729" s="4"/>
    </row>
    <row r="730">
      <c r="A730" s="14"/>
      <c r="N730" s="4"/>
    </row>
    <row r="731">
      <c r="A731" s="14"/>
      <c r="N731" s="4"/>
    </row>
    <row r="732">
      <c r="A732" s="14"/>
      <c r="N732" s="4"/>
    </row>
    <row r="733">
      <c r="A733" s="14"/>
      <c r="N733" s="4"/>
    </row>
    <row r="734">
      <c r="A734" s="14"/>
      <c r="N734" s="4"/>
    </row>
    <row r="735">
      <c r="A735" s="14"/>
      <c r="N735" s="4"/>
    </row>
    <row r="736">
      <c r="A736" s="14"/>
      <c r="N736" s="4"/>
    </row>
    <row r="737">
      <c r="A737" s="14"/>
      <c r="N737" s="4"/>
    </row>
    <row r="738">
      <c r="A738" s="14"/>
      <c r="N738" s="4"/>
    </row>
    <row r="739">
      <c r="A739" s="14"/>
      <c r="N739" s="4"/>
    </row>
    <row r="740">
      <c r="A740" s="14"/>
      <c r="N740" s="4"/>
    </row>
    <row r="741">
      <c r="A741" s="14"/>
      <c r="N741" s="4"/>
    </row>
    <row r="742">
      <c r="A742" s="14"/>
      <c r="N742" s="4"/>
    </row>
    <row r="743">
      <c r="A743" s="14"/>
      <c r="N743" s="4"/>
    </row>
    <row r="744">
      <c r="A744" s="14"/>
      <c r="N744" s="4"/>
    </row>
    <row r="745">
      <c r="A745" s="14"/>
      <c r="N745" s="4"/>
    </row>
    <row r="746">
      <c r="A746" s="14"/>
      <c r="N746" s="4"/>
    </row>
    <row r="747">
      <c r="A747" s="14"/>
      <c r="N747" s="4"/>
    </row>
    <row r="748">
      <c r="A748" s="14"/>
      <c r="N748" s="4"/>
    </row>
    <row r="749">
      <c r="A749" s="14"/>
      <c r="N749" s="4"/>
    </row>
    <row r="750">
      <c r="A750" s="14"/>
      <c r="N750" s="4"/>
    </row>
    <row r="751">
      <c r="A751" s="14"/>
      <c r="N751" s="4"/>
    </row>
    <row r="752">
      <c r="A752" s="14"/>
      <c r="N752" s="4"/>
    </row>
    <row r="753">
      <c r="A753" s="14"/>
      <c r="N753" s="4"/>
    </row>
    <row r="754">
      <c r="A754" s="14"/>
      <c r="N754" s="4"/>
    </row>
    <row r="755">
      <c r="A755" s="14"/>
      <c r="N755" s="4"/>
    </row>
    <row r="756">
      <c r="A756" s="14"/>
      <c r="N756" s="4"/>
    </row>
    <row r="757">
      <c r="A757" s="14"/>
      <c r="N757" s="4"/>
    </row>
    <row r="758">
      <c r="A758" s="14"/>
      <c r="N758" s="4"/>
    </row>
    <row r="759">
      <c r="A759" s="14"/>
      <c r="N759" s="4"/>
    </row>
    <row r="760">
      <c r="A760" s="14"/>
      <c r="N760" s="4"/>
    </row>
    <row r="761">
      <c r="A761" s="14"/>
      <c r="N761" s="4"/>
    </row>
    <row r="762">
      <c r="A762" s="14"/>
      <c r="N762" s="4"/>
    </row>
    <row r="763">
      <c r="A763" s="14"/>
      <c r="N763" s="4"/>
    </row>
    <row r="764">
      <c r="A764" s="14"/>
      <c r="N764" s="4"/>
    </row>
    <row r="765">
      <c r="A765" s="14"/>
      <c r="N765" s="4"/>
    </row>
    <row r="766">
      <c r="A766" s="14"/>
      <c r="N766" s="4"/>
    </row>
    <row r="767">
      <c r="A767" s="14"/>
      <c r="N767" s="4"/>
    </row>
    <row r="768">
      <c r="A768" s="14"/>
      <c r="N768" s="4"/>
    </row>
    <row r="769">
      <c r="A769" s="14"/>
      <c r="N769" s="4"/>
    </row>
    <row r="770">
      <c r="A770" s="14"/>
      <c r="N770" s="4"/>
    </row>
    <row r="771">
      <c r="A771" s="14"/>
      <c r="N771" s="4"/>
    </row>
    <row r="772">
      <c r="A772" s="14"/>
      <c r="N772" s="4"/>
    </row>
    <row r="773">
      <c r="A773" s="14"/>
      <c r="N773" s="4"/>
    </row>
    <row r="774">
      <c r="A774" s="14"/>
      <c r="N774" s="4"/>
    </row>
    <row r="775">
      <c r="A775" s="14"/>
      <c r="N775" s="4"/>
    </row>
    <row r="776">
      <c r="A776" s="14"/>
      <c r="N776" s="4"/>
    </row>
    <row r="777">
      <c r="A777" s="14"/>
      <c r="N777" s="4"/>
    </row>
    <row r="778">
      <c r="A778" s="14"/>
      <c r="N778" s="4"/>
    </row>
    <row r="779">
      <c r="A779" s="14"/>
      <c r="N779" s="4"/>
    </row>
    <row r="780">
      <c r="A780" s="14"/>
      <c r="N780" s="4"/>
    </row>
    <row r="781">
      <c r="A781" s="14"/>
      <c r="N781" s="4"/>
    </row>
    <row r="782">
      <c r="A782" s="14"/>
      <c r="N782" s="4"/>
    </row>
    <row r="783">
      <c r="A783" s="14"/>
      <c r="N783" s="4"/>
    </row>
    <row r="784">
      <c r="A784" s="14"/>
      <c r="N784" s="4"/>
    </row>
    <row r="785">
      <c r="A785" s="14"/>
      <c r="N785" s="4"/>
    </row>
    <row r="786">
      <c r="A786" s="14"/>
      <c r="N786" s="4"/>
    </row>
    <row r="787">
      <c r="A787" s="14"/>
      <c r="N787" s="4"/>
    </row>
    <row r="788">
      <c r="A788" s="14"/>
      <c r="N788" s="4"/>
    </row>
    <row r="789">
      <c r="A789" s="14"/>
      <c r="N789" s="4"/>
    </row>
    <row r="790">
      <c r="A790" s="14"/>
      <c r="N790" s="4"/>
    </row>
    <row r="791">
      <c r="A791" s="14"/>
      <c r="N791" s="4"/>
    </row>
    <row r="792">
      <c r="A792" s="14"/>
      <c r="N792" s="4"/>
    </row>
    <row r="793">
      <c r="A793" s="14"/>
      <c r="N793" s="4"/>
    </row>
    <row r="794">
      <c r="A794" s="14"/>
      <c r="N794" s="4"/>
    </row>
    <row r="795">
      <c r="A795" s="14"/>
      <c r="N795" s="4"/>
    </row>
    <row r="796">
      <c r="A796" s="14"/>
      <c r="N796" s="4"/>
    </row>
    <row r="797">
      <c r="A797" s="14"/>
      <c r="N797" s="4"/>
    </row>
    <row r="798">
      <c r="A798" s="14"/>
      <c r="N798" s="4"/>
    </row>
    <row r="799">
      <c r="A799" s="14"/>
      <c r="N799" s="4"/>
    </row>
    <row r="800">
      <c r="A800" s="14"/>
      <c r="N800" s="4"/>
    </row>
    <row r="801">
      <c r="A801" s="14"/>
      <c r="N801" s="4"/>
    </row>
    <row r="802">
      <c r="A802" s="14"/>
      <c r="N802" s="4"/>
    </row>
    <row r="803">
      <c r="A803" s="14"/>
      <c r="N803" s="4"/>
    </row>
    <row r="804">
      <c r="A804" s="14"/>
      <c r="N804" s="4"/>
    </row>
    <row r="805">
      <c r="A805" s="14"/>
      <c r="N805" s="4"/>
    </row>
    <row r="806">
      <c r="A806" s="14"/>
      <c r="N806" s="4"/>
    </row>
    <row r="807">
      <c r="A807" s="14"/>
      <c r="N807" s="4"/>
    </row>
    <row r="808">
      <c r="A808" s="14"/>
      <c r="N808" s="4"/>
    </row>
    <row r="809">
      <c r="A809" s="14"/>
      <c r="N809" s="4"/>
    </row>
    <row r="810">
      <c r="A810" s="14"/>
      <c r="N810" s="4"/>
    </row>
    <row r="811">
      <c r="A811" s="14"/>
      <c r="N811" s="4"/>
    </row>
    <row r="812">
      <c r="A812" s="14"/>
      <c r="N812" s="4"/>
    </row>
    <row r="813">
      <c r="A813" s="14"/>
      <c r="N813" s="4"/>
    </row>
    <row r="814">
      <c r="A814" s="14"/>
      <c r="N814" s="4"/>
    </row>
    <row r="815">
      <c r="A815" s="14"/>
      <c r="N815" s="4"/>
    </row>
    <row r="816">
      <c r="A816" s="14"/>
      <c r="N816" s="4"/>
    </row>
    <row r="817">
      <c r="A817" s="14"/>
      <c r="N817" s="4"/>
    </row>
    <row r="818">
      <c r="A818" s="14"/>
      <c r="N818" s="4"/>
    </row>
    <row r="819">
      <c r="A819" s="14"/>
      <c r="N819" s="4"/>
    </row>
    <row r="820">
      <c r="A820" s="14"/>
      <c r="N820" s="4"/>
    </row>
    <row r="821">
      <c r="A821" s="14"/>
      <c r="N821" s="4"/>
    </row>
    <row r="822">
      <c r="A822" s="14"/>
      <c r="N822" s="4"/>
    </row>
    <row r="823">
      <c r="A823" s="14"/>
      <c r="N823" s="4"/>
    </row>
    <row r="824">
      <c r="A824" s="14"/>
      <c r="N824" s="4"/>
    </row>
    <row r="825">
      <c r="A825" s="14"/>
      <c r="N825" s="4"/>
    </row>
    <row r="826">
      <c r="A826" s="14"/>
      <c r="N826" s="4"/>
    </row>
    <row r="827">
      <c r="A827" s="14"/>
      <c r="N827" s="4"/>
    </row>
    <row r="828">
      <c r="A828" s="14"/>
      <c r="N828" s="4"/>
    </row>
    <row r="829">
      <c r="A829" s="14"/>
      <c r="N829" s="4"/>
    </row>
    <row r="830">
      <c r="A830" s="14"/>
      <c r="N830" s="4"/>
    </row>
    <row r="831">
      <c r="A831" s="14"/>
      <c r="N831" s="4"/>
    </row>
    <row r="832">
      <c r="A832" s="14"/>
      <c r="N832" s="4"/>
    </row>
    <row r="833">
      <c r="A833" s="14"/>
      <c r="N833" s="4"/>
    </row>
    <row r="834">
      <c r="A834" s="14"/>
      <c r="N834" s="4"/>
    </row>
    <row r="835">
      <c r="A835" s="14"/>
      <c r="N835" s="4"/>
    </row>
    <row r="836">
      <c r="A836" s="14"/>
      <c r="N836" s="4"/>
    </row>
    <row r="837">
      <c r="A837" s="14"/>
      <c r="N837" s="4"/>
    </row>
    <row r="838">
      <c r="A838" s="14"/>
      <c r="N838" s="4"/>
    </row>
    <row r="839">
      <c r="A839" s="14"/>
      <c r="N839" s="4"/>
    </row>
    <row r="840">
      <c r="A840" s="14"/>
      <c r="N840" s="4"/>
    </row>
    <row r="841">
      <c r="A841" s="14"/>
      <c r="N841" s="4"/>
    </row>
    <row r="842">
      <c r="A842" s="14"/>
      <c r="N842" s="4"/>
    </row>
    <row r="843">
      <c r="A843" s="14"/>
      <c r="N843" s="4"/>
    </row>
    <row r="844">
      <c r="A844" s="14"/>
      <c r="N844" s="4"/>
    </row>
    <row r="845">
      <c r="A845" s="14"/>
      <c r="N845" s="4"/>
    </row>
    <row r="846">
      <c r="A846" s="14"/>
      <c r="N846" s="4"/>
    </row>
    <row r="847">
      <c r="A847" s="14"/>
      <c r="N847" s="4"/>
    </row>
    <row r="848">
      <c r="A848" s="14"/>
      <c r="N848" s="4"/>
    </row>
    <row r="849">
      <c r="A849" s="14"/>
      <c r="N849" s="4"/>
    </row>
    <row r="850">
      <c r="A850" s="14"/>
      <c r="N850" s="4"/>
    </row>
    <row r="851">
      <c r="A851" s="14"/>
      <c r="N851" s="4"/>
    </row>
    <row r="852">
      <c r="A852" s="14"/>
      <c r="N852" s="4"/>
    </row>
    <row r="853">
      <c r="A853" s="14"/>
      <c r="N853" s="4"/>
    </row>
    <row r="854">
      <c r="A854" s="14"/>
      <c r="N854" s="4"/>
    </row>
    <row r="855">
      <c r="A855" s="14"/>
      <c r="N855" s="4"/>
    </row>
    <row r="856">
      <c r="A856" s="14"/>
      <c r="N856" s="4"/>
    </row>
    <row r="857">
      <c r="A857" s="14"/>
      <c r="N857" s="4"/>
    </row>
    <row r="858">
      <c r="A858" s="14"/>
      <c r="N858" s="4"/>
    </row>
    <row r="859">
      <c r="A859" s="14"/>
      <c r="N859" s="4"/>
    </row>
    <row r="860">
      <c r="A860" s="14"/>
      <c r="N860" s="4"/>
    </row>
    <row r="861">
      <c r="A861" s="14"/>
      <c r="N861" s="4"/>
    </row>
    <row r="862">
      <c r="A862" s="14"/>
      <c r="N862" s="4"/>
    </row>
    <row r="863">
      <c r="A863" s="14"/>
      <c r="N863" s="4"/>
    </row>
    <row r="864">
      <c r="A864" s="14"/>
      <c r="N864" s="4"/>
    </row>
    <row r="865">
      <c r="A865" s="14"/>
      <c r="N865" s="4"/>
    </row>
    <row r="866">
      <c r="A866" s="14"/>
      <c r="N866" s="4"/>
    </row>
    <row r="867">
      <c r="A867" s="14"/>
      <c r="N867" s="4"/>
    </row>
    <row r="868">
      <c r="A868" s="14"/>
      <c r="N868" s="4"/>
    </row>
    <row r="869">
      <c r="A869" s="14"/>
      <c r="N869" s="4"/>
    </row>
    <row r="870">
      <c r="A870" s="14"/>
      <c r="N870" s="4"/>
    </row>
    <row r="871">
      <c r="A871" s="14"/>
      <c r="N871" s="4"/>
    </row>
    <row r="872">
      <c r="A872" s="14"/>
      <c r="N872" s="4"/>
    </row>
    <row r="873">
      <c r="A873" s="14"/>
      <c r="N873" s="4"/>
    </row>
    <row r="874">
      <c r="A874" s="14"/>
      <c r="N874" s="4"/>
    </row>
    <row r="875">
      <c r="A875" s="14"/>
      <c r="N875" s="4"/>
    </row>
    <row r="876">
      <c r="A876" s="14"/>
      <c r="N876" s="4"/>
    </row>
    <row r="877">
      <c r="A877" s="14"/>
      <c r="N877" s="4"/>
    </row>
    <row r="878">
      <c r="A878" s="14"/>
      <c r="N878" s="4"/>
    </row>
    <row r="879">
      <c r="A879" s="14"/>
      <c r="N879" s="4"/>
    </row>
    <row r="880">
      <c r="A880" s="14"/>
      <c r="N880" s="4"/>
    </row>
    <row r="881">
      <c r="A881" s="14"/>
      <c r="N881" s="4"/>
    </row>
    <row r="882">
      <c r="A882" s="14"/>
      <c r="N882" s="4"/>
    </row>
    <row r="883">
      <c r="A883" s="14"/>
      <c r="N883" s="4"/>
    </row>
    <row r="884">
      <c r="A884" s="14"/>
      <c r="N884" s="4"/>
    </row>
    <row r="885">
      <c r="A885" s="14"/>
      <c r="N885" s="4"/>
    </row>
    <row r="886">
      <c r="A886" s="14"/>
      <c r="N886" s="4"/>
    </row>
    <row r="887">
      <c r="A887" s="14"/>
      <c r="N887" s="4"/>
    </row>
    <row r="888">
      <c r="A888" s="14"/>
      <c r="N888" s="4"/>
    </row>
    <row r="889">
      <c r="A889" s="14"/>
      <c r="N889" s="4"/>
    </row>
    <row r="890">
      <c r="A890" s="14"/>
      <c r="N890" s="4"/>
    </row>
    <row r="891">
      <c r="A891" s="14"/>
      <c r="N891" s="4"/>
    </row>
    <row r="892">
      <c r="A892" s="14"/>
      <c r="N892" s="4"/>
    </row>
    <row r="893">
      <c r="A893" s="14"/>
      <c r="N893" s="4"/>
    </row>
    <row r="894">
      <c r="A894" s="14"/>
      <c r="N894" s="4"/>
    </row>
    <row r="895">
      <c r="A895" s="14"/>
      <c r="N895" s="4"/>
    </row>
    <row r="896">
      <c r="A896" s="14"/>
      <c r="N896" s="4"/>
    </row>
    <row r="897">
      <c r="A897" s="14"/>
      <c r="N897" s="4"/>
    </row>
    <row r="898">
      <c r="A898" s="14"/>
      <c r="N898" s="4"/>
    </row>
    <row r="899">
      <c r="A899" s="14"/>
      <c r="N899" s="4"/>
    </row>
    <row r="900">
      <c r="A900" s="14"/>
      <c r="N900" s="4"/>
    </row>
    <row r="901">
      <c r="A901" s="14"/>
      <c r="N901" s="4"/>
    </row>
    <row r="902">
      <c r="A902" s="14"/>
      <c r="N902" s="4"/>
    </row>
    <row r="903">
      <c r="A903" s="14"/>
      <c r="N903" s="4"/>
    </row>
    <row r="904">
      <c r="A904" s="14"/>
      <c r="N904" s="4"/>
    </row>
    <row r="905">
      <c r="A905" s="14"/>
      <c r="N905" s="4"/>
    </row>
    <row r="906">
      <c r="A906" s="14"/>
      <c r="N906" s="4"/>
    </row>
    <row r="907">
      <c r="A907" s="14"/>
      <c r="N907" s="4"/>
    </row>
    <row r="908">
      <c r="A908" s="14"/>
      <c r="N908" s="4"/>
    </row>
    <row r="909">
      <c r="A909" s="14"/>
      <c r="N909" s="4"/>
    </row>
    <row r="910">
      <c r="A910" s="14"/>
      <c r="N910" s="4"/>
    </row>
    <row r="911">
      <c r="A911" s="14"/>
      <c r="N911" s="4"/>
    </row>
    <row r="912">
      <c r="A912" s="14"/>
      <c r="N912" s="4"/>
    </row>
    <row r="913">
      <c r="A913" s="14"/>
      <c r="N913" s="4"/>
    </row>
    <row r="914">
      <c r="A914" s="14"/>
      <c r="N914" s="4"/>
    </row>
    <row r="915">
      <c r="A915" s="14"/>
      <c r="N915" s="4"/>
    </row>
    <row r="916">
      <c r="A916" s="14"/>
      <c r="N916" s="4"/>
    </row>
    <row r="917">
      <c r="A917" s="14"/>
      <c r="N917" s="4"/>
    </row>
    <row r="918">
      <c r="A918" s="14"/>
      <c r="N918" s="4"/>
    </row>
    <row r="919">
      <c r="A919" s="14"/>
      <c r="N919" s="4"/>
    </row>
    <row r="920">
      <c r="A920" s="14"/>
      <c r="N920" s="4"/>
    </row>
    <row r="921">
      <c r="A921" s="14"/>
      <c r="N921" s="4"/>
    </row>
    <row r="922">
      <c r="A922" s="14"/>
      <c r="N922" s="4"/>
    </row>
    <row r="923">
      <c r="A923" s="14"/>
      <c r="N923" s="4"/>
    </row>
    <row r="924">
      <c r="A924" s="14"/>
      <c r="N924" s="4"/>
    </row>
    <row r="925">
      <c r="A925" s="14"/>
      <c r="N925" s="4"/>
    </row>
    <row r="926">
      <c r="A926" s="14"/>
      <c r="N926" s="4"/>
    </row>
    <row r="927">
      <c r="A927" s="14"/>
      <c r="N927" s="4"/>
    </row>
    <row r="928">
      <c r="A928" s="14"/>
      <c r="N928" s="4"/>
    </row>
    <row r="929">
      <c r="A929" s="14"/>
      <c r="N929" s="4"/>
    </row>
    <row r="930">
      <c r="A930" s="14"/>
      <c r="N930" s="4"/>
    </row>
    <row r="931">
      <c r="A931" s="14"/>
      <c r="N931" s="4"/>
    </row>
    <row r="932">
      <c r="A932" s="14"/>
      <c r="N932" s="4"/>
    </row>
    <row r="933">
      <c r="A933" s="14"/>
      <c r="N933" s="4"/>
    </row>
    <row r="934">
      <c r="A934" s="14"/>
      <c r="N934" s="4"/>
    </row>
    <row r="935">
      <c r="A935" s="14"/>
      <c r="N935" s="4"/>
    </row>
    <row r="936">
      <c r="A936" s="14"/>
      <c r="N936" s="4"/>
    </row>
    <row r="937">
      <c r="A937" s="14"/>
      <c r="N937" s="4"/>
    </row>
    <row r="938">
      <c r="A938" s="14"/>
      <c r="N938" s="4"/>
    </row>
    <row r="939">
      <c r="A939" s="14"/>
      <c r="N939" s="4"/>
    </row>
    <row r="940">
      <c r="A940" s="14"/>
      <c r="N940" s="4"/>
    </row>
    <row r="941">
      <c r="A941" s="14"/>
      <c r="N941" s="4"/>
    </row>
    <row r="942">
      <c r="A942" s="14"/>
      <c r="N942" s="4"/>
    </row>
    <row r="943">
      <c r="A943" s="14"/>
      <c r="N943" s="4"/>
    </row>
    <row r="944">
      <c r="A944" s="14"/>
      <c r="N944" s="4"/>
    </row>
    <row r="945">
      <c r="A945" s="14"/>
      <c r="N945" s="4"/>
    </row>
    <row r="946">
      <c r="A946" s="14"/>
      <c r="N946" s="4"/>
    </row>
  </sheetData>
  <dataValidations>
    <dataValidation type="list" allowBlank="1" showErrorMessage="1" sqref="N1:N946">
      <formula1>"Pending,Approved,No Stock"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  <hyperlink r:id="rId43" ref="Q44"/>
    <hyperlink r:id="rId44" ref="Q45"/>
    <hyperlink r:id="rId45" ref="Q46"/>
    <hyperlink r:id="rId46" ref="Q47"/>
    <hyperlink r:id="rId47" ref="Q48"/>
    <hyperlink r:id="rId48" ref="Q49"/>
    <hyperlink r:id="rId49" ref="Q50"/>
    <hyperlink r:id="rId50" ref="Q51"/>
    <hyperlink r:id="rId51" ref="Q52"/>
    <hyperlink r:id="rId52" ref="Q53"/>
    <hyperlink r:id="rId53" ref="Q54"/>
    <hyperlink r:id="rId54" ref="Q55"/>
    <hyperlink r:id="rId55" ref="Q56"/>
  </hyperlinks>
  <drawing r:id="rId56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7.13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6.5"/>
    <col customWidth="1" min="9" max="9" width="27.88"/>
    <col customWidth="1" min="10" max="10" width="6.0"/>
    <col customWidth="1" min="11" max="11" width="6.75"/>
    <col customWidth="1" min="12" max="12" width="4.5"/>
    <col customWidth="1" min="13" max="13" width="11.5"/>
    <col customWidth="1" min="14" max="14" width="12.0"/>
    <col customWidth="1" min="15" max="15" width="11.13"/>
    <col customWidth="1" min="16" max="16" width="10.38"/>
    <col customWidth="1" min="17" max="17" width="70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46029.55351383102</v>
      </c>
      <c r="B2" s="2" t="s">
        <v>29</v>
      </c>
      <c r="C2" s="5">
        <v>46029.0</v>
      </c>
      <c r="D2" s="2" t="s">
        <v>19</v>
      </c>
      <c r="E2" s="2" t="s">
        <v>798</v>
      </c>
      <c r="F2" s="2" t="s">
        <v>574</v>
      </c>
      <c r="G2" s="2">
        <v>1.0</v>
      </c>
      <c r="H2" s="2" t="s">
        <v>571</v>
      </c>
      <c r="I2" s="2" t="s">
        <v>575</v>
      </c>
      <c r="K2" s="2">
        <v>0.0</v>
      </c>
      <c r="L2" s="2">
        <v>0.0</v>
      </c>
      <c r="M2" s="2" t="s">
        <v>885</v>
      </c>
      <c r="N2" s="2" t="s">
        <v>24</v>
      </c>
      <c r="Q2" s="9" t="s">
        <v>886</v>
      </c>
    </row>
    <row r="3">
      <c r="A3" s="63">
        <v>46029.55351383102</v>
      </c>
      <c r="B3" s="2" t="s">
        <v>29</v>
      </c>
      <c r="C3" s="5">
        <v>46029.0</v>
      </c>
      <c r="D3" s="2" t="s">
        <v>19</v>
      </c>
      <c r="E3" s="2" t="s">
        <v>798</v>
      </c>
      <c r="F3" s="2" t="s">
        <v>578</v>
      </c>
      <c r="G3" s="2">
        <v>1.0</v>
      </c>
      <c r="H3" s="2" t="s">
        <v>571</v>
      </c>
      <c r="I3" s="2" t="s">
        <v>579</v>
      </c>
      <c r="K3" s="2">
        <v>0.0</v>
      </c>
      <c r="L3" s="2">
        <v>0.0</v>
      </c>
      <c r="M3" s="2" t="s">
        <v>885</v>
      </c>
      <c r="N3" s="2" t="s">
        <v>24</v>
      </c>
      <c r="Q3" s="9" t="s">
        <v>886</v>
      </c>
    </row>
    <row r="4">
      <c r="A4" s="63">
        <v>46029.55351383102</v>
      </c>
      <c r="B4" s="2" t="s">
        <v>29</v>
      </c>
      <c r="C4" s="5">
        <v>46029.0</v>
      </c>
      <c r="D4" s="2" t="s">
        <v>19</v>
      </c>
      <c r="E4" s="2" t="s">
        <v>798</v>
      </c>
      <c r="F4" s="2" t="s">
        <v>576</v>
      </c>
      <c r="G4" s="2">
        <v>1.0</v>
      </c>
      <c r="H4" s="2" t="s">
        <v>571</v>
      </c>
      <c r="I4" s="2" t="s">
        <v>577</v>
      </c>
      <c r="K4" s="2">
        <v>0.0</v>
      </c>
      <c r="L4" s="2">
        <v>0.0</v>
      </c>
      <c r="M4" s="2" t="s">
        <v>885</v>
      </c>
      <c r="N4" s="2" t="s">
        <v>24</v>
      </c>
      <c r="Q4" s="9" t="s">
        <v>886</v>
      </c>
    </row>
    <row r="5">
      <c r="A5" s="63">
        <v>46029.55351383102</v>
      </c>
      <c r="B5" s="2" t="s">
        <v>29</v>
      </c>
      <c r="C5" s="5">
        <v>46029.0</v>
      </c>
      <c r="D5" s="2" t="s">
        <v>19</v>
      </c>
      <c r="E5" s="2" t="s">
        <v>798</v>
      </c>
      <c r="F5" s="2" t="s">
        <v>590</v>
      </c>
      <c r="G5" s="2">
        <v>10.0</v>
      </c>
      <c r="H5" s="2" t="s">
        <v>66</v>
      </c>
      <c r="I5" s="2" t="s">
        <v>591</v>
      </c>
      <c r="K5" s="2">
        <v>0.0</v>
      </c>
      <c r="L5" s="2">
        <v>0.0</v>
      </c>
      <c r="M5" s="2" t="s">
        <v>885</v>
      </c>
      <c r="N5" s="2" t="s">
        <v>24</v>
      </c>
      <c r="Q5" s="9" t="s">
        <v>886</v>
      </c>
    </row>
    <row r="6">
      <c r="A6" s="63">
        <v>46029.55351383102</v>
      </c>
      <c r="B6" s="2" t="s">
        <v>29</v>
      </c>
      <c r="C6" s="5">
        <v>46029.0</v>
      </c>
      <c r="D6" s="2" t="s">
        <v>19</v>
      </c>
      <c r="E6" s="2" t="s">
        <v>798</v>
      </c>
      <c r="F6" s="2" t="s">
        <v>592</v>
      </c>
      <c r="G6" s="2">
        <v>40.0</v>
      </c>
      <c r="H6" s="2" t="s">
        <v>66</v>
      </c>
      <c r="I6" s="2" t="s">
        <v>593</v>
      </c>
      <c r="K6" s="2">
        <v>0.0</v>
      </c>
      <c r="L6" s="2">
        <v>0.0</v>
      </c>
      <c r="M6" s="2" t="s">
        <v>885</v>
      </c>
      <c r="N6" s="2" t="s">
        <v>24</v>
      </c>
      <c r="Q6" s="9" t="s">
        <v>886</v>
      </c>
    </row>
    <row r="7">
      <c r="A7" s="63">
        <v>46029.55351383102</v>
      </c>
      <c r="B7" s="2" t="s">
        <v>29</v>
      </c>
      <c r="C7" s="5">
        <v>46029.0</v>
      </c>
      <c r="D7" s="2" t="s">
        <v>19</v>
      </c>
      <c r="E7" s="2" t="s">
        <v>798</v>
      </c>
      <c r="F7" s="2" t="s">
        <v>367</v>
      </c>
      <c r="G7" s="2">
        <v>1.0</v>
      </c>
      <c r="H7" s="2" t="s">
        <v>836</v>
      </c>
      <c r="I7" s="2" t="s">
        <v>723</v>
      </c>
      <c r="K7" s="2">
        <v>0.0</v>
      </c>
      <c r="L7" s="2">
        <v>0.0</v>
      </c>
      <c r="M7" s="2" t="s">
        <v>885</v>
      </c>
      <c r="N7" s="2" t="s">
        <v>24</v>
      </c>
      <c r="Q7" s="9" t="s">
        <v>886</v>
      </c>
    </row>
    <row r="8">
      <c r="A8" s="63">
        <v>46029.55351383102</v>
      </c>
      <c r="B8" s="2" t="s">
        <v>29</v>
      </c>
      <c r="C8" s="5">
        <v>46029.0</v>
      </c>
      <c r="D8" s="2" t="s">
        <v>19</v>
      </c>
      <c r="E8" s="2" t="s">
        <v>798</v>
      </c>
      <c r="F8" s="2" t="s">
        <v>586</v>
      </c>
      <c r="G8" s="2">
        <v>10.0</v>
      </c>
      <c r="H8" s="2" t="s">
        <v>66</v>
      </c>
      <c r="I8" s="2" t="s">
        <v>587</v>
      </c>
      <c r="K8" s="2">
        <v>0.0</v>
      </c>
      <c r="L8" s="2">
        <v>0.0</v>
      </c>
      <c r="M8" s="2" t="s">
        <v>885</v>
      </c>
      <c r="N8" s="2" t="s">
        <v>24</v>
      </c>
      <c r="Q8" s="9" t="s">
        <v>886</v>
      </c>
    </row>
    <row r="9">
      <c r="A9" s="63">
        <v>46029.55351383102</v>
      </c>
      <c r="B9" s="2" t="s">
        <v>29</v>
      </c>
      <c r="C9" s="5">
        <v>46029.0</v>
      </c>
      <c r="D9" s="2" t="s">
        <v>19</v>
      </c>
      <c r="E9" s="2" t="s">
        <v>798</v>
      </c>
      <c r="F9" s="2" t="s">
        <v>622</v>
      </c>
      <c r="G9" s="2">
        <v>2.0</v>
      </c>
      <c r="H9" s="2" t="s">
        <v>66</v>
      </c>
      <c r="I9" s="2" t="s">
        <v>623</v>
      </c>
      <c r="K9" s="2">
        <v>0.0</v>
      </c>
      <c r="L9" s="2">
        <v>0.0</v>
      </c>
      <c r="M9" s="2" t="s">
        <v>885</v>
      </c>
      <c r="N9" s="2" t="s">
        <v>24</v>
      </c>
      <c r="Q9" s="9" t="s">
        <v>886</v>
      </c>
    </row>
    <row r="10">
      <c r="A10" s="63">
        <v>46029.55351383102</v>
      </c>
      <c r="B10" s="2" t="s">
        <v>29</v>
      </c>
      <c r="C10" s="5">
        <v>46029.0</v>
      </c>
      <c r="D10" s="2" t="s">
        <v>19</v>
      </c>
      <c r="E10" s="2" t="s">
        <v>798</v>
      </c>
      <c r="F10" s="2" t="s">
        <v>648</v>
      </c>
      <c r="G10" s="2">
        <v>3.0</v>
      </c>
      <c r="H10" s="2" t="s">
        <v>66</v>
      </c>
      <c r="I10" s="2" t="s">
        <v>649</v>
      </c>
      <c r="K10" s="2">
        <v>0.0</v>
      </c>
      <c r="L10" s="2">
        <v>0.0</v>
      </c>
      <c r="M10" s="2" t="s">
        <v>885</v>
      </c>
      <c r="N10" s="2" t="s">
        <v>24</v>
      </c>
      <c r="Q10" s="9" t="s">
        <v>886</v>
      </c>
    </row>
    <row r="11">
      <c r="A11" s="63">
        <v>46029.55351383102</v>
      </c>
      <c r="B11" s="2" t="s">
        <v>29</v>
      </c>
      <c r="C11" s="5">
        <v>46029.0</v>
      </c>
      <c r="D11" s="2" t="s">
        <v>19</v>
      </c>
      <c r="E11" s="2" t="s">
        <v>798</v>
      </c>
      <c r="F11" s="2" t="s">
        <v>650</v>
      </c>
      <c r="G11" s="2">
        <v>1.0</v>
      </c>
      <c r="H11" s="2" t="s">
        <v>21</v>
      </c>
      <c r="I11" s="2" t="s">
        <v>651</v>
      </c>
      <c r="K11" s="2">
        <v>0.0</v>
      </c>
      <c r="L11" s="2">
        <v>0.0</v>
      </c>
      <c r="M11" s="2" t="s">
        <v>885</v>
      </c>
      <c r="N11" s="2" t="s">
        <v>24</v>
      </c>
      <c r="Q11" s="9" t="s">
        <v>886</v>
      </c>
    </row>
    <row r="12">
      <c r="A12" s="63">
        <v>46029.55351383102</v>
      </c>
      <c r="B12" s="2" t="s">
        <v>29</v>
      </c>
      <c r="C12" s="5">
        <v>46029.0</v>
      </c>
      <c r="D12" s="2" t="s">
        <v>19</v>
      </c>
      <c r="E12" s="2" t="s">
        <v>798</v>
      </c>
      <c r="F12" s="2" t="s">
        <v>701</v>
      </c>
      <c r="G12" s="2">
        <v>1.0</v>
      </c>
      <c r="H12" s="2" t="s">
        <v>301</v>
      </c>
      <c r="I12" s="2" t="s">
        <v>702</v>
      </c>
      <c r="K12" s="2">
        <v>0.0</v>
      </c>
      <c r="L12" s="2">
        <v>0.0</v>
      </c>
      <c r="M12" s="2" t="s">
        <v>885</v>
      </c>
      <c r="N12" s="2" t="s">
        <v>24</v>
      </c>
      <c r="Q12" s="9" t="s">
        <v>886</v>
      </c>
    </row>
    <row r="13">
      <c r="A13" s="63">
        <v>46029.55351383102</v>
      </c>
      <c r="B13" s="2" t="s">
        <v>29</v>
      </c>
      <c r="C13" s="5">
        <v>46029.0</v>
      </c>
      <c r="D13" s="2" t="s">
        <v>19</v>
      </c>
      <c r="E13" s="2" t="s">
        <v>798</v>
      </c>
      <c r="F13" s="2" t="s">
        <v>606</v>
      </c>
      <c r="G13" s="2">
        <v>12.0</v>
      </c>
      <c r="H13" s="2" t="s">
        <v>66</v>
      </c>
      <c r="I13" s="2" t="s">
        <v>607</v>
      </c>
      <c r="K13" s="2">
        <v>0.0</v>
      </c>
      <c r="L13" s="2">
        <v>0.0</v>
      </c>
      <c r="M13" s="2" t="s">
        <v>885</v>
      </c>
      <c r="N13" s="2" t="s">
        <v>24</v>
      </c>
      <c r="Q13" s="9" t="s">
        <v>886</v>
      </c>
    </row>
    <row r="14">
      <c r="A14" s="63">
        <v>46029.55351383102</v>
      </c>
      <c r="B14" s="2" t="s">
        <v>29</v>
      </c>
      <c r="C14" s="5">
        <v>46029.0</v>
      </c>
      <c r="D14" s="2" t="s">
        <v>19</v>
      </c>
      <c r="E14" s="2" t="s">
        <v>798</v>
      </c>
      <c r="F14" s="2" t="s">
        <v>614</v>
      </c>
      <c r="G14" s="2">
        <v>4.0</v>
      </c>
      <c r="H14" s="2" t="s">
        <v>66</v>
      </c>
      <c r="I14" s="2" t="s">
        <v>615</v>
      </c>
      <c r="K14" s="2">
        <v>0.0</v>
      </c>
      <c r="L14" s="2">
        <v>0.0</v>
      </c>
      <c r="M14" s="2" t="s">
        <v>885</v>
      </c>
      <c r="N14" s="2" t="s">
        <v>24</v>
      </c>
      <c r="Q14" s="9" t="s">
        <v>886</v>
      </c>
    </row>
    <row r="15">
      <c r="A15" s="63">
        <v>46029.55351383102</v>
      </c>
      <c r="B15" s="2" t="s">
        <v>29</v>
      </c>
      <c r="C15" s="5">
        <v>46029.0</v>
      </c>
      <c r="D15" s="2" t="s">
        <v>19</v>
      </c>
      <c r="E15" s="2" t="s">
        <v>798</v>
      </c>
      <c r="F15" s="2" t="s">
        <v>769</v>
      </c>
      <c r="G15" s="2">
        <v>1.0</v>
      </c>
      <c r="H15" s="2" t="s">
        <v>768</v>
      </c>
      <c r="I15" s="2" t="s">
        <v>770</v>
      </c>
      <c r="K15" s="2">
        <v>0.0</v>
      </c>
      <c r="L15" s="2">
        <v>0.0</v>
      </c>
      <c r="M15" s="2" t="s">
        <v>885</v>
      </c>
      <c r="N15" s="2" t="s">
        <v>24</v>
      </c>
      <c r="Q15" s="9" t="s">
        <v>886</v>
      </c>
    </row>
    <row r="16">
      <c r="A16" s="63">
        <v>46029.55351383102</v>
      </c>
      <c r="B16" s="2" t="s">
        <v>29</v>
      </c>
      <c r="C16" s="5">
        <v>46029.0</v>
      </c>
      <c r="D16" s="2" t="s">
        <v>19</v>
      </c>
      <c r="E16" s="2" t="s">
        <v>798</v>
      </c>
      <c r="F16" s="2" t="s">
        <v>644</v>
      </c>
      <c r="G16" s="2">
        <v>3.0</v>
      </c>
      <c r="H16" s="2" t="s">
        <v>66</v>
      </c>
      <c r="I16" s="2" t="s">
        <v>645</v>
      </c>
      <c r="K16" s="2">
        <v>0.0</v>
      </c>
      <c r="L16" s="2">
        <v>0.0</v>
      </c>
      <c r="M16" s="2" t="s">
        <v>885</v>
      </c>
      <c r="N16" s="2" t="s">
        <v>24</v>
      </c>
      <c r="Q16" s="9" t="s">
        <v>886</v>
      </c>
    </row>
    <row r="17">
      <c r="A17" s="63">
        <v>46029.55351383102</v>
      </c>
      <c r="B17" s="2" t="s">
        <v>29</v>
      </c>
      <c r="C17" s="5">
        <v>46029.0</v>
      </c>
      <c r="D17" s="2" t="s">
        <v>19</v>
      </c>
      <c r="E17" s="2" t="s">
        <v>798</v>
      </c>
      <c r="F17" s="2" t="s">
        <v>704</v>
      </c>
      <c r="G17" s="2">
        <v>1.0</v>
      </c>
      <c r="H17" s="2" t="s">
        <v>703</v>
      </c>
      <c r="I17" s="2" t="s">
        <v>705</v>
      </c>
      <c r="K17" s="2">
        <v>0.0</v>
      </c>
      <c r="L17" s="2">
        <v>0.0</v>
      </c>
      <c r="M17" s="2" t="s">
        <v>885</v>
      </c>
      <c r="N17" s="2" t="s">
        <v>24</v>
      </c>
      <c r="Q17" s="9" t="s">
        <v>886</v>
      </c>
    </row>
    <row r="18">
      <c r="A18" s="63">
        <v>46029.55351383102</v>
      </c>
      <c r="B18" s="2" t="s">
        <v>29</v>
      </c>
      <c r="C18" s="5">
        <v>46029.0</v>
      </c>
      <c r="D18" s="2" t="s">
        <v>19</v>
      </c>
      <c r="E18" s="2" t="s">
        <v>798</v>
      </c>
      <c r="F18" s="2" t="s">
        <v>678</v>
      </c>
      <c r="G18" s="2">
        <v>6.0</v>
      </c>
      <c r="H18" s="2" t="s">
        <v>66</v>
      </c>
      <c r="I18" s="2" t="s">
        <v>679</v>
      </c>
      <c r="K18" s="2">
        <v>0.0</v>
      </c>
      <c r="L18" s="2">
        <v>0.0</v>
      </c>
      <c r="M18" s="2" t="s">
        <v>885</v>
      </c>
      <c r="N18" s="2" t="s">
        <v>24</v>
      </c>
      <c r="Q18" s="9" t="s">
        <v>886</v>
      </c>
    </row>
    <row r="19">
      <c r="A19" s="63">
        <v>46029.55351383102</v>
      </c>
      <c r="B19" s="2" t="s">
        <v>29</v>
      </c>
      <c r="C19" s="5">
        <v>46029.0</v>
      </c>
      <c r="D19" s="2" t="s">
        <v>19</v>
      </c>
      <c r="E19" s="2" t="s">
        <v>798</v>
      </c>
      <c r="F19" s="2" t="s">
        <v>750</v>
      </c>
      <c r="G19" s="2">
        <v>1.0</v>
      </c>
      <c r="H19" s="2" t="s">
        <v>841</v>
      </c>
      <c r="I19" s="2" t="s">
        <v>751</v>
      </c>
      <c r="K19" s="2">
        <v>0.0</v>
      </c>
      <c r="L19" s="2">
        <v>0.0</v>
      </c>
      <c r="M19" s="2" t="s">
        <v>885</v>
      </c>
      <c r="N19" s="2" t="s">
        <v>24</v>
      </c>
      <c r="Q19" s="9" t="s">
        <v>886</v>
      </c>
    </row>
    <row r="20">
      <c r="A20" s="63">
        <v>46029.55351383102</v>
      </c>
      <c r="B20" s="2" t="s">
        <v>29</v>
      </c>
      <c r="C20" s="5">
        <v>46029.0</v>
      </c>
      <c r="D20" s="2" t="s">
        <v>19</v>
      </c>
      <c r="E20" s="2" t="s">
        <v>798</v>
      </c>
      <c r="F20" s="2" t="s">
        <v>720</v>
      </c>
      <c r="G20" s="2">
        <v>1.0</v>
      </c>
      <c r="H20" s="2" t="s">
        <v>722</v>
      </c>
      <c r="I20" s="2" t="s">
        <v>721</v>
      </c>
      <c r="K20" s="2">
        <v>0.0</v>
      </c>
      <c r="L20" s="2">
        <v>0.0</v>
      </c>
      <c r="M20" s="2" t="s">
        <v>885</v>
      </c>
      <c r="N20" s="2" t="s">
        <v>24</v>
      </c>
      <c r="Q20" s="9" t="s">
        <v>886</v>
      </c>
    </row>
    <row r="21">
      <c r="A21" s="63">
        <v>46029.55351383102</v>
      </c>
      <c r="B21" s="2" t="s">
        <v>29</v>
      </c>
      <c r="C21" s="5">
        <v>46029.0</v>
      </c>
      <c r="D21" s="2" t="s">
        <v>19</v>
      </c>
      <c r="E21" s="2" t="s">
        <v>798</v>
      </c>
      <c r="F21" s="2" t="s">
        <v>640</v>
      </c>
      <c r="G21" s="2">
        <v>3.0</v>
      </c>
      <c r="H21" s="2" t="s">
        <v>66</v>
      </c>
      <c r="I21" s="2" t="s">
        <v>641</v>
      </c>
      <c r="K21" s="2">
        <v>0.0</v>
      </c>
      <c r="L21" s="2">
        <v>0.0</v>
      </c>
      <c r="M21" s="2" t="s">
        <v>885</v>
      </c>
      <c r="N21" s="2" t="s">
        <v>24</v>
      </c>
      <c r="Q21" s="9" t="s">
        <v>886</v>
      </c>
    </row>
    <row r="22">
      <c r="A22" s="63">
        <v>46029.55351383102</v>
      </c>
      <c r="B22" s="2" t="s">
        <v>29</v>
      </c>
      <c r="C22" s="5">
        <v>46029.0</v>
      </c>
      <c r="D22" s="2" t="s">
        <v>19</v>
      </c>
      <c r="E22" s="2" t="s">
        <v>798</v>
      </c>
      <c r="F22" s="2" t="s">
        <v>716</v>
      </c>
      <c r="G22" s="2">
        <v>1.0</v>
      </c>
      <c r="H22" s="2" t="s">
        <v>703</v>
      </c>
      <c r="I22" s="2" t="s">
        <v>717</v>
      </c>
      <c r="K22" s="2">
        <v>0.0</v>
      </c>
      <c r="L22" s="2">
        <v>0.0</v>
      </c>
      <c r="M22" s="2" t="s">
        <v>885</v>
      </c>
      <c r="N22" s="2" t="s">
        <v>24</v>
      </c>
      <c r="Q22" s="9" t="s">
        <v>886</v>
      </c>
    </row>
    <row r="23">
      <c r="A23" s="63">
        <v>46029.55351383102</v>
      </c>
      <c r="B23" s="2" t="s">
        <v>29</v>
      </c>
      <c r="C23" s="5">
        <v>46029.0</v>
      </c>
      <c r="D23" s="2" t="s">
        <v>19</v>
      </c>
      <c r="E23" s="2" t="s">
        <v>798</v>
      </c>
      <c r="F23" s="2" t="s">
        <v>694</v>
      </c>
      <c r="G23" s="2">
        <v>2.0</v>
      </c>
      <c r="H23" s="2" t="s">
        <v>821</v>
      </c>
      <c r="I23" s="2" t="s">
        <v>695</v>
      </c>
      <c r="K23" s="2">
        <v>0.0</v>
      </c>
      <c r="L23" s="2">
        <v>0.0</v>
      </c>
      <c r="M23" s="2" t="s">
        <v>885</v>
      </c>
      <c r="N23" s="2" t="s">
        <v>24</v>
      </c>
      <c r="Q23" s="9" t="s">
        <v>886</v>
      </c>
    </row>
    <row r="24">
      <c r="A24" s="63">
        <v>46029.55351383102</v>
      </c>
      <c r="B24" s="2" t="s">
        <v>29</v>
      </c>
      <c r="C24" s="5">
        <v>46029.0</v>
      </c>
      <c r="D24" s="2" t="s">
        <v>19</v>
      </c>
      <c r="E24" s="2" t="s">
        <v>798</v>
      </c>
      <c r="F24" s="2" t="s">
        <v>760</v>
      </c>
      <c r="G24" s="2">
        <v>1.0</v>
      </c>
      <c r="H24" s="2" t="s">
        <v>822</v>
      </c>
      <c r="I24" s="2" t="s">
        <v>761</v>
      </c>
      <c r="K24" s="2">
        <v>0.0</v>
      </c>
      <c r="L24" s="2">
        <v>0.0</v>
      </c>
      <c r="M24" s="2" t="s">
        <v>885</v>
      </c>
      <c r="N24" s="2" t="s">
        <v>24</v>
      </c>
      <c r="Q24" s="9" t="s">
        <v>886</v>
      </c>
    </row>
    <row r="25">
      <c r="A25" s="63">
        <v>46029.55351383102</v>
      </c>
      <c r="B25" s="2" t="s">
        <v>29</v>
      </c>
      <c r="C25" s="5">
        <v>46029.0</v>
      </c>
      <c r="D25" s="2" t="s">
        <v>19</v>
      </c>
      <c r="E25" s="2" t="s">
        <v>798</v>
      </c>
      <c r="F25" s="2" t="s">
        <v>580</v>
      </c>
      <c r="G25" s="2">
        <v>40.0</v>
      </c>
      <c r="H25" s="2" t="s">
        <v>66</v>
      </c>
      <c r="I25" s="2" t="s">
        <v>581</v>
      </c>
      <c r="K25" s="2">
        <v>0.0</v>
      </c>
      <c r="L25" s="2">
        <v>0.0</v>
      </c>
      <c r="M25" s="2" t="s">
        <v>885</v>
      </c>
      <c r="N25" s="2" t="s">
        <v>24</v>
      </c>
      <c r="Q25" s="9" t="s">
        <v>886</v>
      </c>
    </row>
    <row r="26">
      <c r="A26" s="63">
        <v>46029.55351383102</v>
      </c>
      <c r="B26" s="2" t="s">
        <v>29</v>
      </c>
      <c r="C26" s="5">
        <v>46029.0</v>
      </c>
      <c r="D26" s="2" t="s">
        <v>19</v>
      </c>
      <c r="E26" s="2" t="s">
        <v>798</v>
      </c>
      <c r="F26" s="2" t="s">
        <v>742</v>
      </c>
      <c r="G26" s="2">
        <v>1.0</v>
      </c>
      <c r="H26" s="2" t="s">
        <v>48</v>
      </c>
      <c r="I26" s="2" t="s">
        <v>743</v>
      </c>
      <c r="K26" s="2">
        <v>0.0</v>
      </c>
      <c r="L26" s="2">
        <v>0.0</v>
      </c>
      <c r="M26" s="2" t="s">
        <v>885</v>
      </c>
      <c r="N26" s="2" t="s">
        <v>24</v>
      </c>
      <c r="Q26" s="9" t="s">
        <v>886</v>
      </c>
    </row>
    <row r="27">
      <c r="A27" s="63">
        <v>46030.46969471065</v>
      </c>
      <c r="B27" s="2" t="s">
        <v>29</v>
      </c>
      <c r="C27" s="5">
        <v>46030.0</v>
      </c>
      <c r="D27" s="2" t="s">
        <v>19</v>
      </c>
      <c r="E27" s="2" t="s">
        <v>798</v>
      </c>
      <c r="F27" s="2" t="s">
        <v>769</v>
      </c>
      <c r="G27" s="2">
        <v>1.0</v>
      </c>
      <c r="H27" s="2" t="s">
        <v>768</v>
      </c>
      <c r="I27" s="2" t="s">
        <v>770</v>
      </c>
      <c r="K27" s="2">
        <v>0.0</v>
      </c>
      <c r="L27" s="2">
        <v>0.0</v>
      </c>
      <c r="M27" s="2" t="s">
        <v>885</v>
      </c>
      <c r="N27" s="2" t="s">
        <v>24</v>
      </c>
      <c r="Q27" s="9" t="s">
        <v>887</v>
      </c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  <row r="972">
      <c r="N972" s="4"/>
    </row>
    <row r="973">
      <c r="N973" s="4"/>
    </row>
    <row r="974">
      <c r="N974" s="4"/>
    </row>
    <row r="975">
      <c r="N975" s="4"/>
    </row>
    <row r="976">
      <c r="N976" s="4"/>
    </row>
    <row r="977">
      <c r="N977" s="4"/>
    </row>
    <row r="978">
      <c r="N978" s="4"/>
    </row>
    <row r="979">
      <c r="N979" s="4"/>
    </row>
    <row r="980">
      <c r="N980" s="4"/>
    </row>
    <row r="981">
      <c r="N981" s="4"/>
    </row>
    <row r="982">
      <c r="N982" s="4"/>
    </row>
    <row r="983">
      <c r="N983" s="4"/>
    </row>
    <row r="984">
      <c r="N984" s="4"/>
    </row>
    <row r="985">
      <c r="N985" s="4"/>
    </row>
  </sheetData>
  <dataValidations>
    <dataValidation type="list" allowBlank="1" showErrorMessage="1" sqref="N1:N985">
      <formula1>"Approved,Pending,No Stock"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</hyperlinks>
  <drawing r:id="rId27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7.88"/>
    <col customWidth="1" min="3" max="3" width="9.5"/>
    <col customWidth="1" min="4" max="4" width="18.63"/>
    <col customWidth="1" min="5" max="5" width="15.75"/>
    <col customWidth="1" min="6" max="6" width="7.63"/>
    <col customWidth="1" min="7" max="7" width="3.63"/>
    <col customWidth="1" min="8" max="8" width="5.88"/>
    <col customWidth="1" min="9" max="9" width="27.88"/>
    <col customWidth="1" min="10" max="10" width="6.0"/>
    <col customWidth="1" min="11" max="11" width="6.75"/>
    <col customWidth="1" min="12" max="12" width="4.5"/>
    <col customWidth="1" min="13" max="13" width="15.38"/>
    <col customWidth="1" min="14" max="14" width="13.0"/>
    <col customWidth="1" min="15" max="15" width="11.13"/>
    <col customWidth="1" min="16" max="16" width="10.38"/>
    <col customWidth="1" min="17" max="17" width="67.38"/>
    <col customWidth="1" min="18" max="26" width="16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46030.42841800926</v>
      </c>
      <c r="B2" s="2" t="s">
        <v>149</v>
      </c>
      <c r="C2" s="5">
        <v>46030.0</v>
      </c>
      <c r="D2" s="2" t="s">
        <v>19</v>
      </c>
      <c r="E2" s="2" t="s">
        <v>798</v>
      </c>
      <c r="F2" s="2" t="s">
        <v>638</v>
      </c>
      <c r="G2" s="2">
        <v>1.0</v>
      </c>
      <c r="H2" s="2" t="s">
        <v>21</v>
      </c>
      <c r="I2" s="2" t="s">
        <v>639</v>
      </c>
      <c r="K2" s="2">
        <v>0.0</v>
      </c>
      <c r="L2" s="2">
        <v>0.0</v>
      </c>
      <c r="M2" s="2" t="s">
        <v>888</v>
      </c>
      <c r="N2" s="2" t="s">
        <v>24</v>
      </c>
      <c r="Q2" s="9" t="s">
        <v>889</v>
      </c>
    </row>
    <row r="3">
      <c r="A3" s="63">
        <v>46030.42841800926</v>
      </c>
      <c r="B3" s="2" t="s">
        <v>149</v>
      </c>
      <c r="C3" s="5">
        <v>46030.0</v>
      </c>
      <c r="D3" s="2" t="s">
        <v>19</v>
      </c>
      <c r="E3" s="2" t="s">
        <v>798</v>
      </c>
      <c r="F3" s="2" t="s">
        <v>580</v>
      </c>
      <c r="G3" s="2">
        <v>30.0</v>
      </c>
      <c r="H3" s="2" t="s">
        <v>66</v>
      </c>
      <c r="I3" s="2" t="s">
        <v>581</v>
      </c>
      <c r="K3" s="2">
        <v>0.0</v>
      </c>
      <c r="L3" s="2">
        <v>0.0</v>
      </c>
      <c r="M3" s="2" t="s">
        <v>888</v>
      </c>
      <c r="N3" s="2" t="s">
        <v>24</v>
      </c>
      <c r="Q3" s="9" t="s">
        <v>889</v>
      </c>
    </row>
    <row r="4">
      <c r="A4" s="63">
        <v>46034.63908469907</v>
      </c>
      <c r="B4" s="2" t="s">
        <v>149</v>
      </c>
      <c r="C4" s="5">
        <v>46034.0</v>
      </c>
      <c r="D4" s="2" t="s">
        <v>19</v>
      </c>
      <c r="E4" s="2" t="s">
        <v>798</v>
      </c>
      <c r="F4" s="2" t="s">
        <v>622</v>
      </c>
      <c r="G4" s="2">
        <v>2.0</v>
      </c>
      <c r="H4" s="2" t="s">
        <v>66</v>
      </c>
      <c r="I4" s="2" t="s">
        <v>623</v>
      </c>
      <c r="K4" s="2">
        <v>0.0</v>
      </c>
      <c r="L4" s="2">
        <v>0.0</v>
      </c>
      <c r="M4" s="2" t="s">
        <v>258</v>
      </c>
      <c r="N4" s="2" t="s">
        <v>24</v>
      </c>
      <c r="Q4" s="9" t="s">
        <v>890</v>
      </c>
    </row>
    <row r="5">
      <c r="A5" s="63">
        <v>46034.63908469907</v>
      </c>
      <c r="B5" s="2" t="s">
        <v>149</v>
      </c>
      <c r="C5" s="5">
        <v>46034.0</v>
      </c>
      <c r="D5" s="2" t="s">
        <v>19</v>
      </c>
      <c r="E5" s="2" t="s">
        <v>798</v>
      </c>
      <c r="F5" s="2" t="s">
        <v>781</v>
      </c>
      <c r="G5" s="2">
        <v>1.0</v>
      </c>
      <c r="H5" s="2" t="s">
        <v>66</v>
      </c>
      <c r="I5" s="2" t="s">
        <v>126</v>
      </c>
      <c r="K5" s="2">
        <v>0.0</v>
      </c>
      <c r="L5" s="2">
        <v>0.0</v>
      </c>
      <c r="M5" s="2" t="s">
        <v>258</v>
      </c>
      <c r="N5" s="2" t="s">
        <v>24</v>
      </c>
      <c r="Q5" s="9" t="s">
        <v>890</v>
      </c>
    </row>
    <row r="6">
      <c r="A6" s="63">
        <v>46034.63908469907</v>
      </c>
      <c r="B6" s="2" t="s">
        <v>149</v>
      </c>
      <c r="C6" s="5">
        <v>46034.0</v>
      </c>
      <c r="D6" s="2" t="s">
        <v>19</v>
      </c>
      <c r="E6" s="2" t="s">
        <v>798</v>
      </c>
      <c r="F6" s="2" t="s">
        <v>690</v>
      </c>
      <c r="G6" s="2">
        <v>3.0</v>
      </c>
      <c r="H6" s="2" t="s">
        <v>66</v>
      </c>
      <c r="I6" s="2" t="s">
        <v>691</v>
      </c>
      <c r="K6" s="2">
        <v>0.0</v>
      </c>
      <c r="L6" s="2">
        <v>0.0</v>
      </c>
      <c r="M6" s="2" t="s">
        <v>258</v>
      </c>
      <c r="N6" s="2" t="s">
        <v>24</v>
      </c>
      <c r="Q6" s="9" t="s">
        <v>890</v>
      </c>
    </row>
    <row r="7">
      <c r="A7" s="63">
        <v>46034.63908469907</v>
      </c>
      <c r="B7" s="2" t="s">
        <v>149</v>
      </c>
      <c r="C7" s="5">
        <v>46034.0</v>
      </c>
      <c r="D7" s="2" t="s">
        <v>19</v>
      </c>
      <c r="E7" s="2" t="s">
        <v>798</v>
      </c>
      <c r="F7" s="2" t="s">
        <v>584</v>
      </c>
      <c r="G7" s="2">
        <v>1.0</v>
      </c>
      <c r="H7" s="2" t="s">
        <v>66</v>
      </c>
      <c r="I7" s="2" t="s">
        <v>585</v>
      </c>
      <c r="K7" s="2">
        <v>0.0</v>
      </c>
      <c r="L7" s="2">
        <v>0.0</v>
      </c>
      <c r="M7" s="2" t="s">
        <v>258</v>
      </c>
      <c r="N7" s="2" t="s">
        <v>24</v>
      </c>
      <c r="Q7" s="9" t="s">
        <v>890</v>
      </c>
    </row>
    <row r="8">
      <c r="A8" s="63">
        <v>46034.63908469907</v>
      </c>
      <c r="B8" s="2" t="s">
        <v>149</v>
      </c>
      <c r="C8" s="5">
        <v>46034.0</v>
      </c>
      <c r="D8" s="2" t="s">
        <v>19</v>
      </c>
      <c r="E8" s="2" t="s">
        <v>798</v>
      </c>
      <c r="F8" s="2" t="s">
        <v>694</v>
      </c>
      <c r="G8" s="2">
        <v>2.0</v>
      </c>
      <c r="H8" s="2" t="s">
        <v>821</v>
      </c>
      <c r="I8" s="2" t="s">
        <v>695</v>
      </c>
      <c r="K8" s="2">
        <v>0.0</v>
      </c>
      <c r="L8" s="2">
        <v>0.0</v>
      </c>
      <c r="M8" s="2" t="s">
        <v>258</v>
      </c>
      <c r="N8" s="2" t="s">
        <v>24</v>
      </c>
      <c r="Q8" s="9" t="s">
        <v>890</v>
      </c>
    </row>
    <row r="9">
      <c r="A9" s="63">
        <v>46034.63908469907</v>
      </c>
      <c r="B9" s="2" t="s">
        <v>149</v>
      </c>
      <c r="C9" s="5">
        <v>46034.0</v>
      </c>
      <c r="D9" s="2" t="s">
        <v>19</v>
      </c>
      <c r="E9" s="2" t="s">
        <v>798</v>
      </c>
      <c r="F9" s="2" t="s">
        <v>762</v>
      </c>
      <c r="G9" s="2">
        <v>1.0</v>
      </c>
      <c r="H9" s="2" t="s">
        <v>755</v>
      </c>
      <c r="I9" s="2" t="s">
        <v>763</v>
      </c>
      <c r="K9" s="2">
        <v>0.0</v>
      </c>
      <c r="L9" s="2">
        <v>0.0</v>
      </c>
      <c r="M9" s="2" t="s">
        <v>258</v>
      </c>
      <c r="N9" s="2" t="s">
        <v>24</v>
      </c>
      <c r="Q9" s="9" t="s">
        <v>890</v>
      </c>
    </row>
    <row r="10">
      <c r="A10" s="63">
        <v>46034.63908469907</v>
      </c>
      <c r="B10" s="2" t="s">
        <v>149</v>
      </c>
      <c r="C10" s="5">
        <v>46034.0</v>
      </c>
      <c r="D10" s="2" t="s">
        <v>19</v>
      </c>
      <c r="E10" s="2" t="s">
        <v>798</v>
      </c>
      <c r="F10" s="2" t="s">
        <v>742</v>
      </c>
      <c r="G10" s="2">
        <v>1.0</v>
      </c>
      <c r="H10" s="2" t="s">
        <v>48</v>
      </c>
      <c r="I10" s="2" t="s">
        <v>743</v>
      </c>
      <c r="K10" s="2">
        <v>0.0</v>
      </c>
      <c r="L10" s="2">
        <v>0.0</v>
      </c>
      <c r="M10" s="2" t="s">
        <v>258</v>
      </c>
      <c r="N10" s="2" t="s">
        <v>24</v>
      </c>
      <c r="Q10" s="9" t="s">
        <v>890</v>
      </c>
    </row>
    <row r="11">
      <c r="A11" s="63">
        <v>46034.63908469907</v>
      </c>
      <c r="B11" s="2" t="s">
        <v>149</v>
      </c>
      <c r="C11" s="5">
        <v>46034.0</v>
      </c>
      <c r="D11" s="2" t="s">
        <v>19</v>
      </c>
      <c r="E11" s="2" t="s">
        <v>798</v>
      </c>
      <c r="F11" s="2" t="s">
        <v>678</v>
      </c>
      <c r="G11" s="2">
        <v>6.0</v>
      </c>
      <c r="H11" s="2" t="s">
        <v>66</v>
      </c>
      <c r="I11" s="2" t="s">
        <v>679</v>
      </c>
      <c r="K11" s="2">
        <v>0.0</v>
      </c>
      <c r="L11" s="2">
        <v>0.0</v>
      </c>
      <c r="M11" s="2" t="s">
        <v>258</v>
      </c>
      <c r="N11" s="2" t="s">
        <v>24</v>
      </c>
      <c r="Q11" s="9" t="s">
        <v>890</v>
      </c>
    </row>
    <row r="12">
      <c r="N12" s="4"/>
    </row>
    <row r="13">
      <c r="N13" s="4"/>
    </row>
    <row r="14">
      <c r="N14" s="4"/>
    </row>
    <row r="15">
      <c r="N15" s="4"/>
    </row>
    <row r="16">
      <c r="N16" s="4"/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  <row r="972">
      <c r="N972" s="4"/>
    </row>
  </sheetData>
  <dataValidations>
    <dataValidation type="list" allowBlank="1" showErrorMessage="1" sqref="N1:N972">
      <formula1>"Approved,Pending"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</hyperlinks>
  <drawing r:id="rId1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6.25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6.5"/>
    <col customWidth="1" min="9" max="9" width="27.88"/>
    <col customWidth="1" min="10" max="10" width="6.0"/>
    <col customWidth="1" min="11" max="11" width="6.75"/>
    <col customWidth="1" min="12" max="12" width="4.5"/>
    <col customWidth="1" min="13" max="13" width="11.5"/>
    <col customWidth="1" min="14" max="14" width="14.38"/>
    <col customWidth="1" min="15" max="15" width="11.13"/>
    <col customWidth="1" min="16" max="16" width="10.38"/>
    <col customWidth="1" min="17" max="17" width="71.25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46022.54857717593</v>
      </c>
      <c r="B2" s="2" t="s">
        <v>174</v>
      </c>
      <c r="C2" s="5">
        <v>46022.0</v>
      </c>
      <c r="D2" s="2" t="s">
        <v>19</v>
      </c>
      <c r="E2" s="2" t="s">
        <v>798</v>
      </c>
      <c r="F2" s="2" t="s">
        <v>740</v>
      </c>
      <c r="G2" s="2">
        <v>1.0</v>
      </c>
      <c r="H2" s="2" t="s">
        <v>21</v>
      </c>
      <c r="I2" s="2" t="s">
        <v>741</v>
      </c>
      <c r="K2" s="2">
        <v>0.0</v>
      </c>
      <c r="L2" s="2">
        <v>0.0</v>
      </c>
      <c r="M2" s="2" t="s">
        <v>174</v>
      </c>
      <c r="N2" s="2" t="s">
        <v>24</v>
      </c>
      <c r="Q2" s="9" t="s">
        <v>891</v>
      </c>
    </row>
    <row r="3">
      <c r="A3" s="63">
        <v>46022.54857717593</v>
      </c>
      <c r="B3" s="2" t="s">
        <v>174</v>
      </c>
      <c r="C3" s="5">
        <v>46022.0</v>
      </c>
      <c r="D3" s="2" t="s">
        <v>19</v>
      </c>
      <c r="E3" s="2" t="s">
        <v>798</v>
      </c>
      <c r="F3" s="2" t="s">
        <v>572</v>
      </c>
      <c r="G3" s="2">
        <v>1.0</v>
      </c>
      <c r="H3" s="2" t="s">
        <v>571</v>
      </c>
      <c r="I3" s="2" t="s">
        <v>573</v>
      </c>
      <c r="K3" s="2">
        <v>0.0</v>
      </c>
      <c r="L3" s="2">
        <v>0.0</v>
      </c>
      <c r="M3" s="2" t="s">
        <v>174</v>
      </c>
      <c r="N3" s="2" t="s">
        <v>24</v>
      </c>
      <c r="Q3" s="9" t="s">
        <v>891</v>
      </c>
    </row>
    <row r="4">
      <c r="A4" s="63">
        <v>46022.54857717593</v>
      </c>
      <c r="B4" s="2" t="s">
        <v>174</v>
      </c>
      <c r="C4" s="5">
        <v>46022.0</v>
      </c>
      <c r="D4" s="2" t="s">
        <v>19</v>
      </c>
      <c r="E4" s="2" t="s">
        <v>798</v>
      </c>
      <c r="F4" s="2" t="s">
        <v>592</v>
      </c>
      <c r="G4" s="2">
        <v>30.0</v>
      </c>
      <c r="H4" s="2" t="s">
        <v>66</v>
      </c>
      <c r="I4" s="2" t="s">
        <v>593</v>
      </c>
      <c r="K4" s="2">
        <v>0.0</v>
      </c>
      <c r="L4" s="2">
        <v>0.0</v>
      </c>
      <c r="M4" s="2" t="s">
        <v>174</v>
      </c>
      <c r="N4" s="2" t="s">
        <v>24</v>
      </c>
      <c r="Q4" s="9" t="s">
        <v>891</v>
      </c>
    </row>
    <row r="5">
      <c r="A5" s="63">
        <v>46022.54857717593</v>
      </c>
      <c r="B5" s="2" t="s">
        <v>174</v>
      </c>
      <c r="C5" s="5">
        <v>46022.0</v>
      </c>
      <c r="D5" s="2" t="s">
        <v>19</v>
      </c>
      <c r="E5" s="2" t="s">
        <v>798</v>
      </c>
      <c r="F5" s="2" t="s">
        <v>586</v>
      </c>
      <c r="G5" s="2">
        <v>10.0</v>
      </c>
      <c r="H5" s="2" t="s">
        <v>66</v>
      </c>
      <c r="I5" s="2" t="s">
        <v>587</v>
      </c>
      <c r="K5" s="2">
        <v>0.0</v>
      </c>
      <c r="L5" s="2">
        <v>0.0</v>
      </c>
      <c r="M5" s="2" t="s">
        <v>174</v>
      </c>
      <c r="N5" s="2" t="s">
        <v>24</v>
      </c>
      <c r="Q5" s="9" t="s">
        <v>891</v>
      </c>
    </row>
    <row r="6">
      <c r="A6" s="63">
        <v>46022.54857717593</v>
      </c>
      <c r="B6" s="2" t="s">
        <v>174</v>
      </c>
      <c r="C6" s="5">
        <v>46022.0</v>
      </c>
      <c r="D6" s="2" t="s">
        <v>19</v>
      </c>
      <c r="E6" s="2" t="s">
        <v>798</v>
      </c>
      <c r="F6" s="2" t="s">
        <v>622</v>
      </c>
      <c r="G6" s="2">
        <v>2.0</v>
      </c>
      <c r="H6" s="2" t="s">
        <v>66</v>
      </c>
      <c r="I6" s="2" t="s">
        <v>623</v>
      </c>
      <c r="K6" s="2">
        <v>0.0</v>
      </c>
      <c r="L6" s="2">
        <v>0.0</v>
      </c>
      <c r="M6" s="2" t="s">
        <v>174</v>
      </c>
      <c r="N6" s="2" t="s">
        <v>24</v>
      </c>
      <c r="Q6" s="9" t="s">
        <v>891</v>
      </c>
    </row>
    <row r="7">
      <c r="A7" s="63">
        <v>46022.54857717593</v>
      </c>
      <c r="B7" s="2" t="s">
        <v>174</v>
      </c>
      <c r="C7" s="5">
        <v>46022.0</v>
      </c>
      <c r="D7" s="2" t="s">
        <v>19</v>
      </c>
      <c r="E7" s="2" t="s">
        <v>798</v>
      </c>
      <c r="F7" s="2" t="s">
        <v>606</v>
      </c>
      <c r="G7" s="2">
        <v>12.0</v>
      </c>
      <c r="H7" s="2" t="s">
        <v>66</v>
      </c>
      <c r="I7" s="2" t="s">
        <v>607</v>
      </c>
      <c r="K7" s="2">
        <v>0.0</v>
      </c>
      <c r="L7" s="2">
        <v>0.0</v>
      </c>
      <c r="M7" s="2" t="s">
        <v>174</v>
      </c>
      <c r="N7" s="2" t="s">
        <v>24</v>
      </c>
      <c r="Q7" s="9" t="s">
        <v>891</v>
      </c>
    </row>
    <row r="8">
      <c r="A8" s="63">
        <v>46022.54857717593</v>
      </c>
      <c r="B8" s="2" t="s">
        <v>174</v>
      </c>
      <c r="C8" s="5">
        <v>46022.0</v>
      </c>
      <c r="D8" s="2" t="s">
        <v>19</v>
      </c>
      <c r="E8" s="2" t="s">
        <v>798</v>
      </c>
      <c r="F8" s="2" t="s">
        <v>614</v>
      </c>
      <c r="G8" s="2">
        <v>2.0</v>
      </c>
      <c r="H8" s="2" t="s">
        <v>66</v>
      </c>
      <c r="I8" s="2" t="s">
        <v>615</v>
      </c>
      <c r="K8" s="2">
        <v>0.0</v>
      </c>
      <c r="L8" s="2">
        <v>0.0</v>
      </c>
      <c r="M8" s="2" t="s">
        <v>174</v>
      </c>
      <c r="N8" s="2" t="s">
        <v>24</v>
      </c>
      <c r="Q8" s="9" t="s">
        <v>891</v>
      </c>
    </row>
    <row r="9">
      <c r="A9" s="63">
        <v>46022.54857717593</v>
      </c>
      <c r="B9" s="2" t="s">
        <v>174</v>
      </c>
      <c r="C9" s="5">
        <v>46022.0</v>
      </c>
      <c r="D9" s="2" t="s">
        <v>19</v>
      </c>
      <c r="E9" s="2" t="s">
        <v>798</v>
      </c>
      <c r="F9" s="2" t="s">
        <v>678</v>
      </c>
      <c r="G9" s="2">
        <v>6.0</v>
      </c>
      <c r="H9" s="2" t="s">
        <v>66</v>
      </c>
      <c r="I9" s="2" t="s">
        <v>679</v>
      </c>
      <c r="K9" s="2">
        <v>0.0</v>
      </c>
      <c r="L9" s="2">
        <v>0.0</v>
      </c>
      <c r="M9" s="2" t="s">
        <v>174</v>
      </c>
      <c r="N9" s="2" t="s">
        <v>24</v>
      </c>
      <c r="Q9" s="9" t="s">
        <v>891</v>
      </c>
    </row>
    <row r="10">
      <c r="A10" s="63">
        <v>46022.54857717593</v>
      </c>
      <c r="B10" s="2" t="s">
        <v>174</v>
      </c>
      <c r="C10" s="5">
        <v>46022.0</v>
      </c>
      <c r="D10" s="2" t="s">
        <v>19</v>
      </c>
      <c r="E10" s="2" t="s">
        <v>798</v>
      </c>
      <c r="F10" s="2" t="s">
        <v>692</v>
      </c>
      <c r="G10" s="2">
        <v>1.0</v>
      </c>
      <c r="H10" s="2" t="s">
        <v>66</v>
      </c>
      <c r="I10" s="2" t="s">
        <v>693</v>
      </c>
      <c r="K10" s="2">
        <v>0.0</v>
      </c>
      <c r="L10" s="2">
        <v>0.0</v>
      </c>
      <c r="M10" s="2" t="s">
        <v>174</v>
      </c>
      <c r="N10" s="2" t="s">
        <v>24</v>
      </c>
      <c r="Q10" s="9" t="s">
        <v>891</v>
      </c>
    </row>
    <row r="11">
      <c r="A11" s="63">
        <v>46022.54857717593</v>
      </c>
      <c r="B11" s="2" t="s">
        <v>174</v>
      </c>
      <c r="C11" s="5">
        <v>46022.0</v>
      </c>
      <c r="D11" s="2" t="s">
        <v>19</v>
      </c>
      <c r="E11" s="2" t="s">
        <v>798</v>
      </c>
      <c r="F11" s="2" t="s">
        <v>640</v>
      </c>
      <c r="G11" s="2">
        <v>2.0</v>
      </c>
      <c r="H11" s="2" t="s">
        <v>66</v>
      </c>
      <c r="I11" s="2" t="s">
        <v>641</v>
      </c>
      <c r="K11" s="2">
        <v>0.0</v>
      </c>
      <c r="L11" s="2">
        <v>0.0</v>
      </c>
      <c r="M11" s="2" t="s">
        <v>174</v>
      </c>
      <c r="N11" s="2" t="s">
        <v>24</v>
      </c>
      <c r="Q11" s="9" t="s">
        <v>891</v>
      </c>
    </row>
    <row r="12">
      <c r="A12" s="63">
        <v>46022.54857717593</v>
      </c>
      <c r="B12" s="2" t="s">
        <v>174</v>
      </c>
      <c r="C12" s="5">
        <v>46022.0</v>
      </c>
      <c r="D12" s="2" t="s">
        <v>19</v>
      </c>
      <c r="E12" s="2" t="s">
        <v>798</v>
      </c>
      <c r="F12" s="2" t="s">
        <v>694</v>
      </c>
      <c r="G12" s="2">
        <v>2.0</v>
      </c>
      <c r="H12" s="2" t="s">
        <v>821</v>
      </c>
      <c r="I12" s="2" t="s">
        <v>695</v>
      </c>
      <c r="K12" s="2">
        <v>0.0</v>
      </c>
      <c r="L12" s="2">
        <v>0.0</v>
      </c>
      <c r="M12" s="2" t="s">
        <v>174</v>
      </c>
      <c r="N12" s="2" t="s">
        <v>24</v>
      </c>
      <c r="Q12" s="9" t="s">
        <v>891</v>
      </c>
    </row>
    <row r="13">
      <c r="A13" s="63">
        <v>46022.54857717593</v>
      </c>
      <c r="B13" s="2" t="s">
        <v>174</v>
      </c>
      <c r="C13" s="5">
        <v>46022.0</v>
      </c>
      <c r="D13" s="2" t="s">
        <v>19</v>
      </c>
      <c r="E13" s="2" t="s">
        <v>798</v>
      </c>
      <c r="F13" s="2" t="s">
        <v>764</v>
      </c>
      <c r="G13" s="2">
        <v>2.0</v>
      </c>
      <c r="H13" s="2" t="s">
        <v>822</v>
      </c>
      <c r="I13" s="2" t="s">
        <v>765</v>
      </c>
      <c r="K13" s="2">
        <v>0.0</v>
      </c>
      <c r="L13" s="2">
        <v>0.0</v>
      </c>
      <c r="M13" s="2" t="s">
        <v>174</v>
      </c>
      <c r="N13" s="2" t="s">
        <v>892</v>
      </c>
      <c r="Q13" s="9" t="s">
        <v>891</v>
      </c>
    </row>
    <row r="14">
      <c r="A14" s="63">
        <v>46022.54857717593</v>
      </c>
      <c r="B14" s="2" t="s">
        <v>174</v>
      </c>
      <c r="C14" s="5">
        <v>46022.0</v>
      </c>
      <c r="D14" s="2" t="s">
        <v>19</v>
      </c>
      <c r="E14" s="2" t="s">
        <v>798</v>
      </c>
      <c r="F14" s="2" t="s">
        <v>756</v>
      </c>
      <c r="G14" s="2">
        <v>1.0</v>
      </c>
      <c r="H14" s="2" t="s">
        <v>755</v>
      </c>
      <c r="I14" s="2" t="s">
        <v>757</v>
      </c>
      <c r="K14" s="2">
        <v>0.0</v>
      </c>
      <c r="L14" s="2">
        <v>0.0</v>
      </c>
      <c r="M14" s="2" t="s">
        <v>174</v>
      </c>
      <c r="N14" s="2" t="s">
        <v>24</v>
      </c>
      <c r="Q14" s="9" t="s">
        <v>891</v>
      </c>
    </row>
    <row r="15">
      <c r="A15" s="63">
        <v>46022.54857717593</v>
      </c>
      <c r="B15" s="2" t="s">
        <v>174</v>
      </c>
      <c r="C15" s="5">
        <v>46022.0</v>
      </c>
      <c r="D15" s="2" t="s">
        <v>19</v>
      </c>
      <c r="E15" s="2" t="s">
        <v>798</v>
      </c>
      <c r="F15" s="2" t="s">
        <v>580</v>
      </c>
      <c r="G15" s="2">
        <v>20.0</v>
      </c>
      <c r="H15" s="2" t="s">
        <v>66</v>
      </c>
      <c r="I15" s="2" t="s">
        <v>581</v>
      </c>
      <c r="K15" s="2">
        <v>0.0</v>
      </c>
      <c r="L15" s="2">
        <v>0.0</v>
      </c>
      <c r="M15" s="2" t="s">
        <v>174</v>
      </c>
      <c r="N15" s="2" t="s">
        <v>24</v>
      </c>
      <c r="Q15" s="9" t="s">
        <v>891</v>
      </c>
    </row>
    <row r="16">
      <c r="A16" s="63">
        <v>46036.65717258102</v>
      </c>
      <c r="B16" s="2" t="s">
        <v>174</v>
      </c>
      <c r="C16" s="5">
        <v>46036.0</v>
      </c>
      <c r="D16" s="2" t="s">
        <v>19</v>
      </c>
      <c r="E16" s="2" t="s">
        <v>798</v>
      </c>
      <c r="F16" s="2" t="s">
        <v>716</v>
      </c>
      <c r="G16" s="2">
        <v>1.0</v>
      </c>
      <c r="H16" s="2" t="s">
        <v>703</v>
      </c>
      <c r="I16" s="2" t="s">
        <v>717</v>
      </c>
      <c r="K16" s="2">
        <v>0.0</v>
      </c>
      <c r="L16" s="2">
        <v>0.0</v>
      </c>
      <c r="M16" s="2" t="s">
        <v>174</v>
      </c>
      <c r="N16" s="2" t="s">
        <v>24</v>
      </c>
      <c r="Q16" s="9" t="s">
        <v>893</v>
      </c>
    </row>
    <row r="17">
      <c r="A17" s="63">
        <v>46036.65717258102</v>
      </c>
      <c r="B17" s="2" t="s">
        <v>174</v>
      </c>
      <c r="C17" s="5">
        <v>46036.0</v>
      </c>
      <c r="D17" s="2" t="s">
        <v>19</v>
      </c>
      <c r="E17" s="2" t="s">
        <v>798</v>
      </c>
      <c r="F17" s="2" t="s">
        <v>610</v>
      </c>
      <c r="G17" s="2">
        <v>1.0</v>
      </c>
      <c r="H17" s="2" t="s">
        <v>21</v>
      </c>
      <c r="I17" s="2" t="s">
        <v>611</v>
      </c>
      <c r="K17" s="2">
        <v>0.0</v>
      </c>
      <c r="L17" s="2">
        <v>0.0</v>
      </c>
      <c r="M17" s="2" t="s">
        <v>174</v>
      </c>
      <c r="N17" s="2" t="s">
        <v>24</v>
      </c>
      <c r="Q17" s="9" t="s">
        <v>893</v>
      </c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</sheetData>
  <dataValidations>
    <dataValidation type="list" allowBlank="1" showErrorMessage="1" sqref="N1:N966">
      <formula1>"Pending,Approved,for y3s only"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</hyperlinks>
  <drawing r:id="rId17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8.25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5.88"/>
    <col customWidth="1" min="9" max="9" width="27.88"/>
    <col customWidth="1" min="10" max="10" width="10.38"/>
    <col customWidth="1" min="11" max="11" width="6.75"/>
    <col customWidth="1" min="12" max="12" width="4.5"/>
    <col customWidth="1" min="13" max="13" width="16.25"/>
    <col customWidth="1" min="14" max="14" width="13.0"/>
    <col customWidth="1" min="15" max="15" width="11.13"/>
    <col customWidth="1" min="16" max="16" width="10.38"/>
    <col customWidth="1" min="17" max="17" width="70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46029.37484942129</v>
      </c>
      <c r="B2" s="2" t="s">
        <v>75</v>
      </c>
      <c r="C2" s="5">
        <v>46029.0</v>
      </c>
      <c r="D2" s="2" t="s">
        <v>19</v>
      </c>
      <c r="E2" s="2" t="s">
        <v>798</v>
      </c>
      <c r="F2" s="2" t="s">
        <v>569</v>
      </c>
      <c r="G2" s="2">
        <v>1.0</v>
      </c>
      <c r="H2" s="2" t="s">
        <v>571</v>
      </c>
      <c r="I2" s="2" t="s">
        <v>570</v>
      </c>
      <c r="K2" s="2">
        <v>0.0</v>
      </c>
      <c r="L2" s="2">
        <v>0.0</v>
      </c>
      <c r="M2" s="2" t="s">
        <v>242</v>
      </c>
      <c r="N2" s="2" t="s">
        <v>24</v>
      </c>
      <c r="Q2" s="9" t="s">
        <v>894</v>
      </c>
    </row>
    <row r="3">
      <c r="A3" s="63">
        <v>46029.37484942129</v>
      </c>
      <c r="B3" s="2" t="s">
        <v>75</v>
      </c>
      <c r="C3" s="5">
        <v>46029.0</v>
      </c>
      <c r="D3" s="2" t="s">
        <v>19</v>
      </c>
      <c r="E3" s="2" t="s">
        <v>798</v>
      </c>
      <c r="F3" s="2" t="s">
        <v>572</v>
      </c>
      <c r="G3" s="2">
        <v>1.0</v>
      </c>
      <c r="H3" s="2" t="s">
        <v>571</v>
      </c>
      <c r="I3" s="2" t="s">
        <v>573</v>
      </c>
      <c r="K3" s="2">
        <v>0.0</v>
      </c>
      <c r="L3" s="2">
        <v>0.0</v>
      </c>
      <c r="M3" s="2" t="s">
        <v>242</v>
      </c>
      <c r="N3" s="2" t="s">
        <v>24</v>
      </c>
      <c r="Q3" s="9" t="s">
        <v>894</v>
      </c>
    </row>
    <row r="4">
      <c r="A4" s="63">
        <v>46029.37484942129</v>
      </c>
      <c r="B4" s="2" t="s">
        <v>75</v>
      </c>
      <c r="C4" s="5">
        <v>46029.0</v>
      </c>
      <c r="D4" s="2" t="s">
        <v>19</v>
      </c>
      <c r="E4" s="2" t="s">
        <v>798</v>
      </c>
      <c r="F4" s="2" t="s">
        <v>592</v>
      </c>
      <c r="G4" s="2">
        <v>30.0</v>
      </c>
      <c r="H4" s="2" t="s">
        <v>66</v>
      </c>
      <c r="I4" s="2" t="s">
        <v>593</v>
      </c>
      <c r="K4" s="2">
        <v>0.0</v>
      </c>
      <c r="L4" s="2">
        <v>0.0</v>
      </c>
      <c r="M4" s="2" t="s">
        <v>242</v>
      </c>
      <c r="N4" s="2" t="s">
        <v>24</v>
      </c>
      <c r="Q4" s="9" t="s">
        <v>894</v>
      </c>
    </row>
    <row r="5">
      <c r="A5" s="63">
        <v>46029.37484942129</v>
      </c>
      <c r="B5" s="2" t="s">
        <v>75</v>
      </c>
      <c r="C5" s="5">
        <v>46029.0</v>
      </c>
      <c r="D5" s="2" t="s">
        <v>19</v>
      </c>
      <c r="E5" s="2" t="s">
        <v>798</v>
      </c>
      <c r="F5" s="2" t="s">
        <v>367</v>
      </c>
      <c r="G5" s="2">
        <v>1.0</v>
      </c>
      <c r="H5" s="2" t="s">
        <v>836</v>
      </c>
      <c r="I5" s="2" t="s">
        <v>723</v>
      </c>
      <c r="K5" s="2">
        <v>0.0</v>
      </c>
      <c r="L5" s="2">
        <v>0.0</v>
      </c>
      <c r="M5" s="2" t="s">
        <v>242</v>
      </c>
      <c r="N5" s="2" t="s">
        <v>837</v>
      </c>
      <c r="Q5" s="9" t="s">
        <v>894</v>
      </c>
    </row>
    <row r="6">
      <c r="A6" s="63">
        <v>46029.37484942129</v>
      </c>
      <c r="B6" s="2" t="s">
        <v>75</v>
      </c>
      <c r="C6" s="5">
        <v>46029.0</v>
      </c>
      <c r="D6" s="2" t="s">
        <v>19</v>
      </c>
      <c r="E6" s="2" t="s">
        <v>798</v>
      </c>
      <c r="F6" s="2" t="s">
        <v>650</v>
      </c>
      <c r="G6" s="2">
        <v>2.0</v>
      </c>
      <c r="H6" s="2" t="s">
        <v>66</v>
      </c>
      <c r="I6" s="2" t="s">
        <v>651</v>
      </c>
      <c r="K6" s="2">
        <v>0.0</v>
      </c>
      <c r="L6" s="2">
        <v>0.0</v>
      </c>
      <c r="M6" s="2" t="s">
        <v>242</v>
      </c>
      <c r="N6" s="2" t="s">
        <v>24</v>
      </c>
      <c r="Q6" s="9" t="s">
        <v>894</v>
      </c>
    </row>
    <row r="7">
      <c r="A7" s="63">
        <v>46029.37484942129</v>
      </c>
      <c r="B7" s="2" t="s">
        <v>75</v>
      </c>
      <c r="C7" s="5">
        <v>46029.0</v>
      </c>
      <c r="D7" s="2" t="s">
        <v>19</v>
      </c>
      <c r="E7" s="2" t="s">
        <v>798</v>
      </c>
      <c r="F7" s="2" t="s">
        <v>606</v>
      </c>
      <c r="G7" s="2">
        <v>20.0</v>
      </c>
      <c r="H7" s="2" t="s">
        <v>66</v>
      </c>
      <c r="I7" s="2" t="s">
        <v>607</v>
      </c>
      <c r="K7" s="2">
        <v>0.0</v>
      </c>
      <c r="L7" s="2">
        <v>0.0</v>
      </c>
      <c r="M7" s="2" t="s">
        <v>242</v>
      </c>
      <c r="N7" s="2" t="s">
        <v>24</v>
      </c>
      <c r="Q7" s="9" t="s">
        <v>894</v>
      </c>
    </row>
    <row r="8">
      <c r="A8" s="63">
        <v>46029.37484942129</v>
      </c>
      <c r="B8" s="2" t="s">
        <v>75</v>
      </c>
      <c r="C8" s="5">
        <v>46029.0</v>
      </c>
      <c r="D8" s="2" t="s">
        <v>19</v>
      </c>
      <c r="E8" s="2" t="s">
        <v>798</v>
      </c>
      <c r="F8" s="2" t="s">
        <v>580</v>
      </c>
      <c r="G8" s="2">
        <v>30.0</v>
      </c>
      <c r="H8" s="2" t="s">
        <v>66</v>
      </c>
      <c r="I8" s="2" t="s">
        <v>581</v>
      </c>
      <c r="K8" s="2">
        <v>0.0</v>
      </c>
      <c r="L8" s="2">
        <v>0.0</v>
      </c>
      <c r="M8" s="2" t="s">
        <v>242</v>
      </c>
      <c r="N8" s="2" t="s">
        <v>24</v>
      </c>
      <c r="Q8" s="9" t="s">
        <v>894</v>
      </c>
    </row>
    <row r="9">
      <c r="A9" s="63">
        <v>46029.37484942129</v>
      </c>
      <c r="B9" s="2" t="s">
        <v>75</v>
      </c>
      <c r="C9" s="5">
        <v>46029.0</v>
      </c>
      <c r="D9" s="2" t="s">
        <v>19</v>
      </c>
      <c r="E9" s="2" t="s">
        <v>798</v>
      </c>
      <c r="F9" s="2" t="s">
        <v>744</v>
      </c>
      <c r="G9" s="2">
        <v>1.0</v>
      </c>
      <c r="H9" s="2" t="s">
        <v>48</v>
      </c>
      <c r="I9" s="2" t="s">
        <v>745</v>
      </c>
      <c r="K9" s="2">
        <v>0.0</v>
      </c>
      <c r="L9" s="2">
        <v>0.0</v>
      </c>
      <c r="M9" s="2" t="s">
        <v>242</v>
      </c>
      <c r="N9" s="2" t="s">
        <v>24</v>
      </c>
      <c r="Q9" s="9" t="s">
        <v>894</v>
      </c>
    </row>
    <row r="10">
      <c r="A10" s="63">
        <v>46029.37484942129</v>
      </c>
      <c r="B10" s="2" t="s">
        <v>75</v>
      </c>
      <c r="C10" s="5">
        <v>46029.0</v>
      </c>
      <c r="D10" s="2" t="s">
        <v>19</v>
      </c>
      <c r="E10" s="2" t="s">
        <v>798</v>
      </c>
      <c r="F10" s="2" t="s">
        <v>742</v>
      </c>
      <c r="G10" s="2">
        <v>1.0</v>
      </c>
      <c r="H10" s="2" t="s">
        <v>48</v>
      </c>
      <c r="I10" s="2" t="s">
        <v>743</v>
      </c>
      <c r="K10" s="2">
        <v>0.0</v>
      </c>
      <c r="L10" s="2">
        <v>0.0</v>
      </c>
      <c r="M10" s="2" t="s">
        <v>242</v>
      </c>
      <c r="N10" s="2" t="s">
        <v>24</v>
      </c>
      <c r="Q10" s="9" t="s">
        <v>894</v>
      </c>
    </row>
    <row r="11">
      <c r="A11" s="63">
        <v>46029.37484942129</v>
      </c>
      <c r="B11" s="2" t="s">
        <v>75</v>
      </c>
      <c r="C11" s="5">
        <v>46029.0</v>
      </c>
      <c r="D11" s="2" t="s">
        <v>19</v>
      </c>
      <c r="E11" s="2" t="s">
        <v>798</v>
      </c>
      <c r="F11" s="2" t="s">
        <v>622</v>
      </c>
      <c r="G11" s="2">
        <v>3.0</v>
      </c>
      <c r="H11" s="2" t="s">
        <v>66</v>
      </c>
      <c r="I11" s="2" t="s">
        <v>623</v>
      </c>
      <c r="K11" s="2">
        <v>0.0</v>
      </c>
      <c r="L11" s="2">
        <v>0.0</v>
      </c>
      <c r="M11" s="2" t="s">
        <v>242</v>
      </c>
      <c r="N11" s="2" t="s">
        <v>24</v>
      </c>
      <c r="Q11" s="9" t="s">
        <v>894</v>
      </c>
    </row>
    <row r="12">
      <c r="A12" s="63">
        <v>46029.37484942129</v>
      </c>
      <c r="B12" s="2" t="s">
        <v>75</v>
      </c>
      <c r="C12" s="5">
        <v>46029.0</v>
      </c>
      <c r="D12" s="2" t="s">
        <v>19</v>
      </c>
      <c r="E12" s="2" t="s">
        <v>798</v>
      </c>
      <c r="F12" s="2" t="s">
        <v>701</v>
      </c>
      <c r="G12" s="2">
        <v>1.0</v>
      </c>
      <c r="H12" s="2" t="s">
        <v>703</v>
      </c>
      <c r="I12" s="2" t="s">
        <v>702</v>
      </c>
      <c r="K12" s="2">
        <v>0.0</v>
      </c>
      <c r="L12" s="2">
        <v>0.0</v>
      </c>
      <c r="M12" s="2" t="s">
        <v>242</v>
      </c>
      <c r="N12" s="2" t="s">
        <v>24</v>
      </c>
      <c r="Q12" s="9" t="s">
        <v>894</v>
      </c>
    </row>
    <row r="13">
      <c r="A13" s="63">
        <v>46029.37484942129</v>
      </c>
      <c r="B13" s="2" t="s">
        <v>75</v>
      </c>
      <c r="C13" s="5">
        <v>46029.0</v>
      </c>
      <c r="D13" s="2" t="s">
        <v>19</v>
      </c>
      <c r="E13" s="2" t="s">
        <v>798</v>
      </c>
      <c r="F13" s="2" t="s">
        <v>614</v>
      </c>
      <c r="G13" s="2">
        <v>4.0</v>
      </c>
      <c r="H13" s="2" t="s">
        <v>66</v>
      </c>
      <c r="I13" s="2" t="s">
        <v>615</v>
      </c>
      <c r="K13" s="2">
        <v>0.0</v>
      </c>
      <c r="L13" s="2">
        <v>0.0</v>
      </c>
      <c r="M13" s="2" t="s">
        <v>242</v>
      </c>
      <c r="N13" s="2" t="s">
        <v>24</v>
      </c>
      <c r="Q13" s="9" t="s">
        <v>894</v>
      </c>
    </row>
    <row r="14">
      <c r="A14" s="63">
        <v>46029.37484942129</v>
      </c>
      <c r="B14" s="2" t="s">
        <v>75</v>
      </c>
      <c r="C14" s="5">
        <v>46029.0</v>
      </c>
      <c r="D14" s="2" t="s">
        <v>19</v>
      </c>
      <c r="E14" s="2" t="s">
        <v>798</v>
      </c>
      <c r="F14" s="2" t="s">
        <v>694</v>
      </c>
      <c r="G14" s="2">
        <v>3.0</v>
      </c>
      <c r="H14" s="2" t="s">
        <v>821</v>
      </c>
      <c r="I14" s="2" t="s">
        <v>695</v>
      </c>
      <c r="K14" s="2">
        <v>0.0</v>
      </c>
      <c r="L14" s="2">
        <v>0.0</v>
      </c>
      <c r="M14" s="2" t="s">
        <v>242</v>
      </c>
      <c r="N14" s="2" t="s">
        <v>24</v>
      </c>
      <c r="Q14" s="9" t="s">
        <v>894</v>
      </c>
    </row>
    <row r="15">
      <c r="A15" s="63">
        <v>46029.37484942129</v>
      </c>
      <c r="B15" s="2" t="s">
        <v>75</v>
      </c>
      <c r="C15" s="5">
        <v>46029.0</v>
      </c>
      <c r="D15" s="2" t="s">
        <v>19</v>
      </c>
      <c r="E15" s="2" t="s">
        <v>798</v>
      </c>
      <c r="F15" s="2" t="s">
        <v>758</v>
      </c>
      <c r="G15" s="2">
        <v>1.0</v>
      </c>
      <c r="H15" s="2" t="s">
        <v>755</v>
      </c>
      <c r="I15" s="2" t="s">
        <v>759</v>
      </c>
      <c r="K15" s="2">
        <v>0.0</v>
      </c>
      <c r="L15" s="2">
        <v>0.0</v>
      </c>
      <c r="M15" s="2" t="s">
        <v>242</v>
      </c>
      <c r="N15" s="2" t="s">
        <v>24</v>
      </c>
      <c r="Q15" s="9" t="s">
        <v>894</v>
      </c>
    </row>
    <row r="16">
      <c r="A16" s="63">
        <v>46029.37484942129</v>
      </c>
      <c r="B16" s="2" t="s">
        <v>75</v>
      </c>
      <c r="C16" s="5">
        <v>46029.0</v>
      </c>
      <c r="D16" s="2" t="s">
        <v>19</v>
      </c>
      <c r="E16" s="2" t="s">
        <v>798</v>
      </c>
      <c r="F16" s="2" t="s">
        <v>760</v>
      </c>
      <c r="G16" s="2">
        <v>1.0</v>
      </c>
      <c r="H16" s="2" t="s">
        <v>755</v>
      </c>
      <c r="I16" s="2" t="s">
        <v>761</v>
      </c>
      <c r="K16" s="2">
        <v>0.0</v>
      </c>
      <c r="L16" s="2">
        <v>0.0</v>
      </c>
      <c r="M16" s="2" t="s">
        <v>242</v>
      </c>
      <c r="N16" s="2" t="s">
        <v>24</v>
      </c>
      <c r="Q16" s="9" t="s">
        <v>894</v>
      </c>
    </row>
    <row r="17">
      <c r="A17" s="63">
        <v>46029.37484942129</v>
      </c>
      <c r="B17" s="2" t="s">
        <v>75</v>
      </c>
      <c r="C17" s="5">
        <v>46029.0</v>
      </c>
      <c r="D17" s="2" t="s">
        <v>19</v>
      </c>
      <c r="E17" s="2" t="s">
        <v>798</v>
      </c>
      <c r="F17" s="2" t="s">
        <v>610</v>
      </c>
      <c r="G17" s="2">
        <v>1.0</v>
      </c>
      <c r="H17" s="2" t="s">
        <v>21</v>
      </c>
      <c r="I17" s="2" t="s">
        <v>611</v>
      </c>
      <c r="K17" s="2">
        <v>0.0</v>
      </c>
      <c r="L17" s="2">
        <v>0.0</v>
      </c>
      <c r="M17" s="2" t="s">
        <v>242</v>
      </c>
      <c r="N17" s="2" t="s">
        <v>24</v>
      </c>
      <c r="Q17" s="9" t="s">
        <v>894</v>
      </c>
    </row>
    <row r="18">
      <c r="A18" s="63">
        <v>46029.37484942129</v>
      </c>
      <c r="B18" s="2" t="s">
        <v>75</v>
      </c>
      <c r="C18" s="5">
        <v>46029.0</v>
      </c>
      <c r="D18" s="2" t="s">
        <v>19</v>
      </c>
      <c r="E18" s="2" t="s">
        <v>798</v>
      </c>
      <c r="F18" s="2" t="s">
        <v>337</v>
      </c>
      <c r="G18" s="2">
        <v>1.0</v>
      </c>
      <c r="H18" s="2" t="s">
        <v>48</v>
      </c>
      <c r="I18" s="2" t="s">
        <v>338</v>
      </c>
      <c r="K18" s="2">
        <v>0.0</v>
      </c>
      <c r="L18" s="2">
        <v>0.0</v>
      </c>
      <c r="M18" s="2" t="s">
        <v>242</v>
      </c>
      <c r="N18" s="2" t="s">
        <v>837</v>
      </c>
      <c r="Q18" s="9" t="s">
        <v>894</v>
      </c>
    </row>
    <row r="19">
      <c r="A19" s="63">
        <v>46031.64422585648</v>
      </c>
      <c r="B19" s="2" t="s">
        <v>75</v>
      </c>
      <c r="C19" s="5">
        <v>46031.0</v>
      </c>
      <c r="D19" s="2" t="s">
        <v>19</v>
      </c>
      <c r="E19" s="2" t="s">
        <v>798</v>
      </c>
      <c r="F19" s="2" t="s">
        <v>781</v>
      </c>
      <c r="G19" s="2">
        <v>1.0</v>
      </c>
      <c r="H19" s="2" t="s">
        <v>21</v>
      </c>
      <c r="I19" s="2" t="s">
        <v>126</v>
      </c>
      <c r="K19" s="2">
        <v>0.0</v>
      </c>
      <c r="L19" s="2">
        <v>0.0</v>
      </c>
      <c r="M19" s="2" t="s">
        <v>242</v>
      </c>
      <c r="N19" s="2" t="s">
        <v>24</v>
      </c>
      <c r="Q19" s="9" t="s">
        <v>895</v>
      </c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</sheetData>
  <dataValidations>
    <dataValidation type="list" allowBlank="1" showErrorMessage="1" sqref="N1:N966">
      <formula1>"Approved,Pending,No Stock"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</hyperlinks>
  <drawing r:id="rId19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8.63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6.88"/>
    <col customWidth="1" min="9" max="9" width="27.88"/>
    <col customWidth="1" min="10" max="10" width="6.0"/>
    <col customWidth="1" min="11" max="11" width="6.75"/>
    <col customWidth="1" min="12" max="12" width="4.5"/>
    <col customWidth="1" min="13" max="13" width="11.5"/>
    <col customWidth="1" min="14" max="14" width="15.38"/>
    <col customWidth="1" min="15" max="15" width="11.13"/>
    <col customWidth="1" min="16" max="16" width="10.38"/>
    <col customWidth="1" min="17" max="17" width="70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4">
        <v>46034.454439085646</v>
      </c>
      <c r="B2" s="2" t="s">
        <v>26</v>
      </c>
      <c r="C2" s="5">
        <v>46034.0</v>
      </c>
      <c r="D2" s="2" t="s">
        <v>19</v>
      </c>
      <c r="E2" s="2" t="s">
        <v>798</v>
      </c>
      <c r="F2" s="2" t="s">
        <v>572</v>
      </c>
      <c r="G2" s="2">
        <v>1.0</v>
      </c>
      <c r="H2" s="2" t="s">
        <v>884</v>
      </c>
      <c r="I2" s="2" t="s">
        <v>573</v>
      </c>
      <c r="K2" s="2">
        <v>0.0</v>
      </c>
      <c r="L2" s="2">
        <v>0.0</v>
      </c>
      <c r="M2" s="2" t="s">
        <v>193</v>
      </c>
      <c r="N2" s="2" t="s">
        <v>24</v>
      </c>
      <c r="Q2" s="9" t="s">
        <v>896</v>
      </c>
    </row>
    <row r="3">
      <c r="A3" s="64">
        <v>46034.454439085646</v>
      </c>
      <c r="B3" s="2" t="s">
        <v>26</v>
      </c>
      <c r="C3" s="5">
        <v>46034.0</v>
      </c>
      <c r="D3" s="2" t="s">
        <v>19</v>
      </c>
      <c r="E3" s="2" t="s">
        <v>798</v>
      </c>
      <c r="F3" s="2" t="s">
        <v>588</v>
      </c>
      <c r="G3" s="2">
        <v>30.0</v>
      </c>
      <c r="H3" s="2" t="s">
        <v>66</v>
      </c>
      <c r="I3" s="2" t="s">
        <v>589</v>
      </c>
      <c r="K3" s="2">
        <v>0.0</v>
      </c>
      <c r="L3" s="2">
        <v>0.0</v>
      </c>
      <c r="M3" s="2" t="s">
        <v>193</v>
      </c>
      <c r="N3" s="2" t="s">
        <v>24</v>
      </c>
      <c r="Q3" s="9" t="s">
        <v>896</v>
      </c>
    </row>
    <row r="4">
      <c r="A4" s="64">
        <v>46034.454439085646</v>
      </c>
      <c r="B4" s="2" t="s">
        <v>26</v>
      </c>
      <c r="C4" s="5">
        <v>46034.0</v>
      </c>
      <c r="D4" s="2" t="s">
        <v>19</v>
      </c>
      <c r="E4" s="2" t="s">
        <v>798</v>
      </c>
      <c r="F4" s="2" t="s">
        <v>592</v>
      </c>
      <c r="G4" s="2">
        <v>30.0</v>
      </c>
      <c r="H4" s="2" t="s">
        <v>66</v>
      </c>
      <c r="I4" s="2" t="s">
        <v>593</v>
      </c>
      <c r="K4" s="2">
        <v>0.0</v>
      </c>
      <c r="L4" s="2">
        <v>0.0</v>
      </c>
      <c r="M4" s="2" t="s">
        <v>193</v>
      </c>
      <c r="N4" s="2" t="s">
        <v>24</v>
      </c>
      <c r="Q4" s="9" t="s">
        <v>896</v>
      </c>
    </row>
    <row r="5">
      <c r="A5" s="63">
        <v>46034.454439085646</v>
      </c>
      <c r="B5" s="2" t="s">
        <v>26</v>
      </c>
      <c r="C5" s="5">
        <v>46034.0</v>
      </c>
      <c r="D5" s="2" t="s">
        <v>19</v>
      </c>
      <c r="E5" s="2" t="s">
        <v>798</v>
      </c>
      <c r="F5" s="2" t="s">
        <v>586</v>
      </c>
      <c r="G5" s="2">
        <v>10.0</v>
      </c>
      <c r="H5" s="2" t="s">
        <v>66</v>
      </c>
      <c r="I5" s="2" t="s">
        <v>587</v>
      </c>
      <c r="K5" s="2">
        <v>0.0</v>
      </c>
      <c r="L5" s="2">
        <v>0.0</v>
      </c>
      <c r="M5" s="2" t="s">
        <v>193</v>
      </c>
      <c r="N5" s="2" t="s">
        <v>24</v>
      </c>
      <c r="Q5" s="9" t="s">
        <v>896</v>
      </c>
    </row>
    <row r="6">
      <c r="A6" s="63">
        <v>46034.454439085646</v>
      </c>
      <c r="B6" s="2" t="s">
        <v>26</v>
      </c>
      <c r="C6" s="5">
        <v>46034.0</v>
      </c>
      <c r="D6" s="2" t="s">
        <v>19</v>
      </c>
      <c r="E6" s="2" t="s">
        <v>798</v>
      </c>
      <c r="F6" s="2" t="s">
        <v>622</v>
      </c>
      <c r="G6" s="2">
        <v>3.0</v>
      </c>
      <c r="H6" s="2" t="s">
        <v>66</v>
      </c>
      <c r="I6" s="2" t="s">
        <v>623</v>
      </c>
      <c r="K6" s="2">
        <v>0.0</v>
      </c>
      <c r="L6" s="2">
        <v>0.0</v>
      </c>
      <c r="M6" s="2" t="s">
        <v>193</v>
      </c>
      <c r="N6" s="2" t="s">
        <v>24</v>
      </c>
      <c r="Q6" s="9" t="s">
        <v>896</v>
      </c>
    </row>
    <row r="7">
      <c r="A7" s="63">
        <v>46034.454439085646</v>
      </c>
      <c r="B7" s="2" t="s">
        <v>26</v>
      </c>
      <c r="C7" s="5">
        <v>46034.0</v>
      </c>
      <c r="D7" s="2" t="s">
        <v>19</v>
      </c>
      <c r="E7" s="2" t="s">
        <v>798</v>
      </c>
      <c r="F7" s="2" t="s">
        <v>781</v>
      </c>
      <c r="G7" s="2">
        <v>1.0</v>
      </c>
      <c r="H7" s="2" t="s">
        <v>21</v>
      </c>
      <c r="I7" s="2" t="s">
        <v>126</v>
      </c>
      <c r="K7" s="2">
        <v>0.0</v>
      </c>
      <c r="L7" s="2">
        <v>0.0</v>
      </c>
      <c r="M7" s="2" t="s">
        <v>193</v>
      </c>
      <c r="N7" s="2" t="s">
        <v>24</v>
      </c>
      <c r="Q7" s="9" t="s">
        <v>896</v>
      </c>
    </row>
    <row r="8">
      <c r="A8" s="63">
        <v>46034.454439085646</v>
      </c>
      <c r="B8" s="2" t="s">
        <v>26</v>
      </c>
      <c r="C8" s="5">
        <v>46034.0</v>
      </c>
      <c r="D8" s="2" t="s">
        <v>19</v>
      </c>
      <c r="E8" s="2" t="s">
        <v>798</v>
      </c>
      <c r="F8" s="2" t="s">
        <v>690</v>
      </c>
      <c r="G8" s="2">
        <v>3.0</v>
      </c>
      <c r="H8" s="2" t="s">
        <v>66</v>
      </c>
      <c r="I8" s="2" t="s">
        <v>691</v>
      </c>
      <c r="K8" s="2">
        <v>0.0</v>
      </c>
      <c r="L8" s="2">
        <v>0.0</v>
      </c>
      <c r="M8" s="2" t="s">
        <v>193</v>
      </c>
      <c r="N8" s="2" t="s">
        <v>24</v>
      </c>
      <c r="Q8" s="9" t="s">
        <v>896</v>
      </c>
    </row>
    <row r="9">
      <c r="A9" s="63">
        <v>46034.454439085646</v>
      </c>
      <c r="B9" s="2" t="s">
        <v>26</v>
      </c>
      <c r="C9" s="5">
        <v>46034.0</v>
      </c>
      <c r="D9" s="2" t="s">
        <v>19</v>
      </c>
      <c r="E9" s="2" t="s">
        <v>798</v>
      </c>
      <c r="F9" s="2" t="s">
        <v>701</v>
      </c>
      <c r="G9" s="2">
        <v>1.0</v>
      </c>
      <c r="H9" s="2" t="s">
        <v>703</v>
      </c>
      <c r="I9" s="2" t="s">
        <v>702</v>
      </c>
      <c r="K9" s="2">
        <v>0.0</v>
      </c>
      <c r="L9" s="2">
        <v>0.0</v>
      </c>
      <c r="M9" s="2" t="s">
        <v>193</v>
      </c>
      <c r="N9" s="2" t="s">
        <v>24</v>
      </c>
      <c r="Q9" s="9" t="s">
        <v>896</v>
      </c>
    </row>
    <row r="10">
      <c r="A10" s="63">
        <v>46034.454439085646</v>
      </c>
      <c r="B10" s="2" t="s">
        <v>26</v>
      </c>
      <c r="C10" s="5">
        <v>46034.0</v>
      </c>
      <c r="D10" s="2" t="s">
        <v>19</v>
      </c>
      <c r="E10" s="2" t="s">
        <v>798</v>
      </c>
      <c r="F10" s="2" t="s">
        <v>606</v>
      </c>
      <c r="G10" s="2">
        <v>12.0</v>
      </c>
      <c r="H10" s="2" t="s">
        <v>66</v>
      </c>
      <c r="I10" s="2" t="s">
        <v>607</v>
      </c>
      <c r="K10" s="2">
        <v>0.0</v>
      </c>
      <c r="L10" s="2">
        <v>0.0</v>
      </c>
      <c r="M10" s="2" t="s">
        <v>193</v>
      </c>
      <c r="N10" s="2" t="s">
        <v>24</v>
      </c>
      <c r="Q10" s="9" t="s">
        <v>896</v>
      </c>
    </row>
    <row r="11">
      <c r="A11" s="63">
        <v>46034.454439085646</v>
      </c>
      <c r="B11" s="2" t="s">
        <v>26</v>
      </c>
      <c r="C11" s="5">
        <v>46034.0</v>
      </c>
      <c r="D11" s="2" t="s">
        <v>19</v>
      </c>
      <c r="E11" s="2" t="s">
        <v>798</v>
      </c>
      <c r="F11" s="2" t="s">
        <v>688</v>
      </c>
      <c r="G11" s="2">
        <v>6.0</v>
      </c>
      <c r="H11" s="2" t="s">
        <v>66</v>
      </c>
      <c r="I11" s="2" t="s">
        <v>689</v>
      </c>
      <c r="K11" s="2">
        <v>0.0</v>
      </c>
      <c r="L11" s="2">
        <v>0.0</v>
      </c>
      <c r="M11" s="2" t="s">
        <v>193</v>
      </c>
      <c r="N11" s="2" t="s">
        <v>24</v>
      </c>
      <c r="Q11" s="9" t="s">
        <v>896</v>
      </c>
    </row>
    <row r="12">
      <c r="A12" s="63">
        <v>46034.454439085646</v>
      </c>
      <c r="B12" s="2" t="s">
        <v>26</v>
      </c>
      <c r="C12" s="5">
        <v>46034.0</v>
      </c>
      <c r="D12" s="2" t="s">
        <v>19</v>
      </c>
      <c r="E12" s="2" t="s">
        <v>798</v>
      </c>
      <c r="F12" s="2" t="s">
        <v>644</v>
      </c>
      <c r="G12" s="2">
        <v>3.0</v>
      </c>
      <c r="H12" s="2" t="s">
        <v>66</v>
      </c>
      <c r="I12" s="2" t="s">
        <v>645</v>
      </c>
      <c r="K12" s="2">
        <v>0.0</v>
      </c>
      <c r="L12" s="2">
        <v>0.0</v>
      </c>
      <c r="M12" s="2" t="s">
        <v>193</v>
      </c>
      <c r="N12" s="2" t="s">
        <v>24</v>
      </c>
      <c r="Q12" s="9" t="s">
        <v>896</v>
      </c>
    </row>
    <row r="13">
      <c r="A13" s="63">
        <v>46034.454439085646</v>
      </c>
      <c r="B13" s="2" t="s">
        <v>26</v>
      </c>
      <c r="C13" s="5">
        <v>46034.0</v>
      </c>
      <c r="D13" s="2" t="s">
        <v>19</v>
      </c>
      <c r="E13" s="2" t="s">
        <v>798</v>
      </c>
      <c r="F13" s="2" t="s">
        <v>584</v>
      </c>
      <c r="G13" s="2">
        <v>1.0</v>
      </c>
      <c r="H13" s="2" t="s">
        <v>21</v>
      </c>
      <c r="I13" s="2" t="s">
        <v>585</v>
      </c>
      <c r="K13" s="2">
        <v>0.0</v>
      </c>
      <c r="L13" s="2">
        <v>0.0</v>
      </c>
      <c r="M13" s="2" t="s">
        <v>193</v>
      </c>
      <c r="N13" s="2" t="s">
        <v>24</v>
      </c>
      <c r="Q13" s="9" t="s">
        <v>896</v>
      </c>
    </row>
    <row r="14">
      <c r="A14" s="63">
        <v>46034.454439085646</v>
      </c>
      <c r="B14" s="2" t="s">
        <v>26</v>
      </c>
      <c r="C14" s="5">
        <v>46034.0</v>
      </c>
      <c r="D14" s="2" t="s">
        <v>19</v>
      </c>
      <c r="E14" s="2" t="s">
        <v>798</v>
      </c>
      <c r="F14" s="2" t="s">
        <v>646</v>
      </c>
      <c r="G14" s="2">
        <v>1.0</v>
      </c>
      <c r="H14" s="2" t="s">
        <v>21</v>
      </c>
      <c r="I14" s="2" t="s">
        <v>647</v>
      </c>
      <c r="K14" s="2">
        <v>0.0</v>
      </c>
      <c r="L14" s="2">
        <v>0.0</v>
      </c>
      <c r="M14" s="2" t="s">
        <v>193</v>
      </c>
      <c r="N14" s="2" t="s">
        <v>24</v>
      </c>
      <c r="Q14" s="9" t="s">
        <v>896</v>
      </c>
    </row>
    <row r="15">
      <c r="A15" s="63">
        <v>46034.454439085646</v>
      </c>
      <c r="B15" s="2" t="s">
        <v>26</v>
      </c>
      <c r="C15" s="5">
        <v>46034.0</v>
      </c>
      <c r="D15" s="2" t="s">
        <v>19</v>
      </c>
      <c r="E15" s="2" t="s">
        <v>798</v>
      </c>
      <c r="F15" s="2" t="s">
        <v>704</v>
      </c>
      <c r="G15" s="2">
        <v>1.0</v>
      </c>
      <c r="H15" s="2" t="s">
        <v>703</v>
      </c>
      <c r="I15" s="2" t="s">
        <v>705</v>
      </c>
      <c r="K15" s="2">
        <v>0.0</v>
      </c>
      <c r="L15" s="2">
        <v>0.0</v>
      </c>
      <c r="M15" s="2" t="s">
        <v>193</v>
      </c>
      <c r="N15" s="2" t="s">
        <v>24</v>
      </c>
      <c r="Q15" s="9" t="s">
        <v>896</v>
      </c>
    </row>
    <row r="16">
      <c r="A16" s="63">
        <v>46034.454439085646</v>
      </c>
      <c r="B16" s="2" t="s">
        <v>26</v>
      </c>
      <c r="C16" s="5">
        <v>46034.0</v>
      </c>
      <c r="D16" s="2" t="s">
        <v>19</v>
      </c>
      <c r="E16" s="2" t="s">
        <v>798</v>
      </c>
      <c r="F16" s="2" t="s">
        <v>678</v>
      </c>
      <c r="G16" s="2">
        <v>6.0</v>
      </c>
      <c r="H16" s="2" t="s">
        <v>66</v>
      </c>
      <c r="I16" s="2" t="s">
        <v>679</v>
      </c>
      <c r="K16" s="2">
        <v>0.0</v>
      </c>
      <c r="L16" s="2">
        <v>0.0</v>
      </c>
      <c r="M16" s="2" t="s">
        <v>193</v>
      </c>
      <c r="N16" s="2" t="s">
        <v>24</v>
      </c>
      <c r="Q16" s="9" t="s">
        <v>896</v>
      </c>
    </row>
    <row r="17">
      <c r="A17" s="63">
        <v>46034.454439085646</v>
      </c>
      <c r="B17" s="2" t="s">
        <v>26</v>
      </c>
      <c r="C17" s="5">
        <v>46034.0</v>
      </c>
      <c r="D17" s="2" t="s">
        <v>19</v>
      </c>
      <c r="E17" s="2" t="s">
        <v>798</v>
      </c>
      <c r="F17" s="2" t="s">
        <v>750</v>
      </c>
      <c r="G17" s="2">
        <v>1.0</v>
      </c>
      <c r="H17" s="2" t="s">
        <v>841</v>
      </c>
      <c r="I17" s="2" t="s">
        <v>751</v>
      </c>
      <c r="K17" s="2">
        <v>0.0</v>
      </c>
      <c r="L17" s="2">
        <v>0.0</v>
      </c>
      <c r="M17" s="2" t="s">
        <v>193</v>
      </c>
      <c r="N17" s="2" t="s">
        <v>24</v>
      </c>
      <c r="Q17" s="9" t="s">
        <v>896</v>
      </c>
    </row>
    <row r="18">
      <c r="A18" s="63">
        <v>46034.454439085646</v>
      </c>
      <c r="B18" s="2" t="s">
        <v>26</v>
      </c>
      <c r="C18" s="5">
        <v>46034.0</v>
      </c>
      <c r="D18" s="2" t="s">
        <v>19</v>
      </c>
      <c r="E18" s="2" t="s">
        <v>798</v>
      </c>
      <c r="F18" s="2" t="s">
        <v>692</v>
      </c>
      <c r="G18" s="2">
        <v>1.0</v>
      </c>
      <c r="H18" s="2" t="s">
        <v>66</v>
      </c>
      <c r="I18" s="2" t="s">
        <v>693</v>
      </c>
      <c r="K18" s="2">
        <v>0.0</v>
      </c>
      <c r="L18" s="2">
        <v>0.0</v>
      </c>
      <c r="M18" s="2" t="s">
        <v>193</v>
      </c>
      <c r="N18" s="2" t="s">
        <v>24</v>
      </c>
      <c r="Q18" s="9" t="s">
        <v>896</v>
      </c>
    </row>
    <row r="19">
      <c r="A19" s="63">
        <v>46034.454439085646</v>
      </c>
      <c r="B19" s="2" t="s">
        <v>26</v>
      </c>
      <c r="C19" s="5">
        <v>46034.0</v>
      </c>
      <c r="D19" s="2" t="s">
        <v>19</v>
      </c>
      <c r="E19" s="2" t="s">
        <v>798</v>
      </c>
      <c r="F19" s="2" t="s">
        <v>686</v>
      </c>
      <c r="G19" s="2">
        <v>1.0</v>
      </c>
      <c r="H19" s="2" t="s">
        <v>21</v>
      </c>
      <c r="I19" s="2" t="s">
        <v>687</v>
      </c>
      <c r="K19" s="2">
        <v>0.0</v>
      </c>
      <c r="L19" s="2">
        <v>0.0</v>
      </c>
      <c r="M19" s="2" t="s">
        <v>193</v>
      </c>
      <c r="N19" s="2" t="s">
        <v>24</v>
      </c>
      <c r="Q19" s="9" t="s">
        <v>896</v>
      </c>
    </row>
    <row r="20">
      <c r="A20" s="63">
        <v>46034.454439085646</v>
      </c>
      <c r="B20" s="2" t="s">
        <v>26</v>
      </c>
      <c r="C20" s="5">
        <v>46034.0</v>
      </c>
      <c r="D20" s="2" t="s">
        <v>19</v>
      </c>
      <c r="E20" s="2" t="s">
        <v>798</v>
      </c>
      <c r="F20" s="2" t="s">
        <v>758</v>
      </c>
      <c r="G20" s="2">
        <v>1.0</v>
      </c>
      <c r="H20" s="2" t="s">
        <v>822</v>
      </c>
      <c r="I20" s="2" t="s">
        <v>759</v>
      </c>
      <c r="K20" s="2">
        <v>0.0</v>
      </c>
      <c r="L20" s="2">
        <v>0.0</v>
      </c>
      <c r="M20" s="2" t="s">
        <v>193</v>
      </c>
      <c r="N20" s="2" t="s">
        <v>24</v>
      </c>
      <c r="Q20" s="9" t="s">
        <v>896</v>
      </c>
    </row>
    <row r="21">
      <c r="A21" s="63">
        <v>46034.454439085646</v>
      </c>
      <c r="B21" s="2" t="s">
        <v>26</v>
      </c>
      <c r="C21" s="5">
        <v>46034.0</v>
      </c>
      <c r="D21" s="2" t="s">
        <v>19</v>
      </c>
      <c r="E21" s="2" t="s">
        <v>798</v>
      </c>
      <c r="F21" s="2" t="s">
        <v>760</v>
      </c>
      <c r="G21" s="2">
        <v>1.0</v>
      </c>
      <c r="H21" s="2" t="s">
        <v>822</v>
      </c>
      <c r="I21" s="2" t="s">
        <v>761</v>
      </c>
      <c r="K21" s="2">
        <v>0.0</v>
      </c>
      <c r="L21" s="2">
        <v>0.0</v>
      </c>
      <c r="M21" s="2" t="s">
        <v>193</v>
      </c>
      <c r="N21" s="2" t="s">
        <v>24</v>
      </c>
      <c r="Q21" s="9" t="s">
        <v>896</v>
      </c>
    </row>
    <row r="22">
      <c r="A22" s="63">
        <v>46034.454439085646</v>
      </c>
      <c r="B22" s="2" t="s">
        <v>26</v>
      </c>
      <c r="C22" s="5">
        <v>46034.0</v>
      </c>
      <c r="D22" s="2" t="s">
        <v>19</v>
      </c>
      <c r="E22" s="2" t="s">
        <v>798</v>
      </c>
      <c r="F22" s="2" t="s">
        <v>762</v>
      </c>
      <c r="G22" s="2">
        <v>1.0</v>
      </c>
      <c r="H22" s="2" t="s">
        <v>822</v>
      </c>
      <c r="I22" s="2" t="s">
        <v>763</v>
      </c>
      <c r="K22" s="2">
        <v>0.0</v>
      </c>
      <c r="L22" s="2">
        <v>0.0</v>
      </c>
      <c r="M22" s="2" t="s">
        <v>193</v>
      </c>
      <c r="N22" s="2" t="s">
        <v>24</v>
      </c>
      <c r="Q22" s="9" t="s">
        <v>896</v>
      </c>
    </row>
    <row r="23">
      <c r="A23" s="63">
        <v>46034.454439085646</v>
      </c>
      <c r="B23" s="2" t="s">
        <v>26</v>
      </c>
      <c r="C23" s="5">
        <v>46034.0</v>
      </c>
      <c r="D23" s="2" t="s">
        <v>19</v>
      </c>
      <c r="E23" s="2" t="s">
        <v>798</v>
      </c>
      <c r="F23" s="2" t="s">
        <v>756</v>
      </c>
      <c r="G23" s="2">
        <v>1.0</v>
      </c>
      <c r="H23" s="2" t="s">
        <v>822</v>
      </c>
      <c r="I23" s="2" t="s">
        <v>757</v>
      </c>
      <c r="K23" s="2">
        <v>0.0</v>
      </c>
      <c r="L23" s="2">
        <v>0.0</v>
      </c>
      <c r="M23" s="2" t="s">
        <v>193</v>
      </c>
      <c r="N23" s="2" t="s">
        <v>24</v>
      </c>
      <c r="Q23" s="9" t="s">
        <v>896</v>
      </c>
    </row>
    <row r="24">
      <c r="A24" s="63">
        <v>46034.454439085646</v>
      </c>
      <c r="B24" s="2" t="s">
        <v>26</v>
      </c>
      <c r="C24" s="5">
        <v>46034.0</v>
      </c>
      <c r="D24" s="2" t="s">
        <v>19</v>
      </c>
      <c r="E24" s="2" t="s">
        <v>798</v>
      </c>
      <c r="F24" s="2" t="s">
        <v>753</v>
      </c>
      <c r="G24" s="2">
        <v>1.0</v>
      </c>
      <c r="H24" s="2" t="s">
        <v>822</v>
      </c>
      <c r="I24" s="2" t="s">
        <v>754</v>
      </c>
      <c r="K24" s="2">
        <v>0.0</v>
      </c>
      <c r="L24" s="2">
        <v>0.0</v>
      </c>
      <c r="M24" s="2" t="s">
        <v>193</v>
      </c>
      <c r="N24" s="2" t="s">
        <v>24</v>
      </c>
      <c r="Q24" s="9" t="s">
        <v>896</v>
      </c>
    </row>
    <row r="25">
      <c r="A25" s="63">
        <v>46034.454439085646</v>
      </c>
      <c r="B25" s="2" t="s">
        <v>26</v>
      </c>
      <c r="C25" s="5">
        <v>46034.0</v>
      </c>
      <c r="D25" s="2" t="s">
        <v>19</v>
      </c>
      <c r="E25" s="2" t="s">
        <v>798</v>
      </c>
      <c r="F25" s="2" t="s">
        <v>580</v>
      </c>
      <c r="G25" s="2">
        <v>30.0</v>
      </c>
      <c r="H25" s="2" t="s">
        <v>66</v>
      </c>
      <c r="I25" s="2" t="s">
        <v>581</v>
      </c>
      <c r="K25" s="2">
        <v>0.0</v>
      </c>
      <c r="L25" s="2">
        <v>0.0</v>
      </c>
      <c r="M25" s="2" t="s">
        <v>193</v>
      </c>
      <c r="N25" s="2" t="s">
        <v>24</v>
      </c>
      <c r="Q25" s="9" t="s">
        <v>896</v>
      </c>
    </row>
    <row r="26">
      <c r="A26" s="63">
        <v>46034.454439085646</v>
      </c>
      <c r="B26" s="2" t="s">
        <v>26</v>
      </c>
      <c r="C26" s="5">
        <v>46034.0</v>
      </c>
      <c r="D26" s="2" t="s">
        <v>19</v>
      </c>
      <c r="E26" s="2" t="s">
        <v>798</v>
      </c>
      <c r="F26" s="2" t="s">
        <v>596</v>
      </c>
      <c r="G26" s="2">
        <v>10.0</v>
      </c>
      <c r="H26" s="2" t="s">
        <v>66</v>
      </c>
      <c r="I26" s="2" t="s">
        <v>597</v>
      </c>
      <c r="K26" s="2">
        <v>0.0</v>
      </c>
      <c r="L26" s="2">
        <v>0.0</v>
      </c>
      <c r="M26" s="2" t="s">
        <v>193</v>
      </c>
      <c r="N26" s="2" t="s">
        <v>24</v>
      </c>
      <c r="Q26" s="9" t="s">
        <v>896</v>
      </c>
    </row>
    <row r="27">
      <c r="A27" s="63">
        <v>46034.454439085646</v>
      </c>
      <c r="B27" s="2" t="s">
        <v>26</v>
      </c>
      <c r="C27" s="5">
        <v>46034.0</v>
      </c>
      <c r="D27" s="2" t="s">
        <v>19</v>
      </c>
      <c r="E27" s="2" t="s">
        <v>798</v>
      </c>
      <c r="F27" s="2" t="s">
        <v>598</v>
      </c>
      <c r="G27" s="2">
        <v>10.0</v>
      </c>
      <c r="H27" s="2" t="s">
        <v>66</v>
      </c>
      <c r="I27" s="2" t="s">
        <v>599</v>
      </c>
      <c r="K27" s="2">
        <v>0.0</v>
      </c>
      <c r="L27" s="2">
        <v>0.0</v>
      </c>
      <c r="M27" s="2" t="s">
        <v>193</v>
      </c>
      <c r="N27" s="2" t="s">
        <v>24</v>
      </c>
      <c r="Q27" s="9" t="s">
        <v>896</v>
      </c>
    </row>
    <row r="28">
      <c r="A28" s="63">
        <v>46034.454439085646</v>
      </c>
      <c r="B28" s="2" t="s">
        <v>26</v>
      </c>
      <c r="C28" s="5">
        <v>46034.0</v>
      </c>
      <c r="D28" s="2" t="s">
        <v>19</v>
      </c>
      <c r="E28" s="2" t="s">
        <v>798</v>
      </c>
      <c r="F28" s="2" t="s">
        <v>612</v>
      </c>
      <c r="G28" s="2">
        <v>1.0</v>
      </c>
      <c r="H28" s="2" t="s">
        <v>21</v>
      </c>
      <c r="I28" s="2" t="s">
        <v>613</v>
      </c>
      <c r="K28" s="2">
        <v>0.0</v>
      </c>
      <c r="L28" s="2">
        <v>0.0</v>
      </c>
      <c r="M28" s="2" t="s">
        <v>193</v>
      </c>
      <c r="N28" s="2" t="s">
        <v>24</v>
      </c>
      <c r="Q28" s="9" t="s">
        <v>896</v>
      </c>
    </row>
    <row r="29">
      <c r="A29" s="63">
        <v>46034.454439085646</v>
      </c>
      <c r="B29" s="2" t="s">
        <v>26</v>
      </c>
      <c r="C29" s="5">
        <v>46034.0</v>
      </c>
      <c r="D29" s="2" t="s">
        <v>19</v>
      </c>
      <c r="E29" s="2" t="s">
        <v>798</v>
      </c>
      <c r="F29" s="2" t="s">
        <v>742</v>
      </c>
      <c r="G29" s="2">
        <v>1.0</v>
      </c>
      <c r="H29" s="2" t="s">
        <v>48</v>
      </c>
      <c r="I29" s="2" t="s">
        <v>743</v>
      </c>
      <c r="K29" s="2">
        <v>0.0</v>
      </c>
      <c r="L29" s="2">
        <v>0.0</v>
      </c>
      <c r="M29" s="2" t="s">
        <v>193</v>
      </c>
      <c r="N29" s="2" t="s">
        <v>24</v>
      </c>
      <c r="Q29" s="9" t="s">
        <v>896</v>
      </c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  <row r="972">
      <c r="N972" s="4"/>
    </row>
    <row r="973">
      <c r="N973" s="4"/>
    </row>
    <row r="974">
      <c r="N974" s="4"/>
    </row>
    <row r="975">
      <c r="N975" s="4"/>
    </row>
    <row r="976">
      <c r="N976" s="4"/>
    </row>
    <row r="977">
      <c r="N977" s="4"/>
    </row>
    <row r="978">
      <c r="N978" s="4"/>
    </row>
    <row r="979">
      <c r="N979" s="4"/>
    </row>
    <row r="980">
      <c r="N980" s="4"/>
    </row>
    <row r="981">
      <c r="N981" s="4"/>
    </row>
    <row r="982">
      <c r="N982" s="4"/>
    </row>
    <row r="983">
      <c r="N983" s="4"/>
    </row>
    <row r="984">
      <c r="N984" s="4"/>
    </row>
    <row r="985">
      <c r="N985" s="4"/>
    </row>
  </sheetData>
  <dataValidations>
    <dataValidation type="list" allowBlank="1" showErrorMessage="1" sqref="N1:N985">
      <formula1>"Approved,Pending,for y3s only,No Stocks"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</hyperlinks>
  <drawing r:id="rId29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8.0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4.38"/>
    <col customWidth="1" min="9" max="9" width="20.88"/>
    <col customWidth="1" min="10" max="10" width="6.0"/>
    <col customWidth="1" min="11" max="11" width="6.75"/>
    <col customWidth="1" min="12" max="12" width="4.5"/>
    <col customWidth="1" min="13" max="13" width="15.38"/>
    <col customWidth="1" min="14" max="14" width="12.0"/>
    <col customWidth="1" min="15" max="15" width="11.13"/>
    <col customWidth="1" min="16" max="16" width="10.38"/>
    <col customWidth="1" min="17" max="17" width="69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46028.57812157407</v>
      </c>
      <c r="B2" s="2" t="s">
        <v>244</v>
      </c>
      <c r="C2" s="5">
        <v>46028.0</v>
      </c>
      <c r="D2" s="2" t="s">
        <v>19</v>
      </c>
      <c r="E2" s="2" t="s">
        <v>798</v>
      </c>
      <c r="F2" s="2" t="s">
        <v>592</v>
      </c>
      <c r="G2" s="2">
        <v>30.0</v>
      </c>
      <c r="H2" s="2" t="s">
        <v>66</v>
      </c>
      <c r="I2" s="2" t="s">
        <v>593</v>
      </c>
      <c r="K2" s="2">
        <v>0.0</v>
      </c>
      <c r="L2" s="2">
        <v>0.0</v>
      </c>
      <c r="M2" s="2" t="s">
        <v>246</v>
      </c>
      <c r="N2" s="2" t="s">
        <v>24</v>
      </c>
      <c r="Q2" s="9" t="s">
        <v>897</v>
      </c>
    </row>
    <row r="3">
      <c r="A3" s="63">
        <v>46028.57812157407</v>
      </c>
      <c r="B3" s="2" t="s">
        <v>244</v>
      </c>
      <c r="C3" s="5">
        <v>46028.0</v>
      </c>
      <c r="D3" s="2" t="s">
        <v>19</v>
      </c>
      <c r="E3" s="2" t="s">
        <v>798</v>
      </c>
      <c r="F3" s="2" t="s">
        <v>606</v>
      </c>
      <c r="G3" s="2">
        <v>6.0</v>
      </c>
      <c r="H3" s="2" t="s">
        <v>66</v>
      </c>
      <c r="I3" s="2" t="s">
        <v>607</v>
      </c>
      <c r="K3" s="2">
        <v>0.0</v>
      </c>
      <c r="L3" s="2">
        <v>0.0</v>
      </c>
      <c r="M3" s="2" t="s">
        <v>246</v>
      </c>
      <c r="N3" s="2" t="s">
        <v>24</v>
      </c>
      <c r="Q3" s="9" t="s">
        <v>897</v>
      </c>
    </row>
    <row r="4">
      <c r="A4" s="63">
        <v>46028.57812157407</v>
      </c>
      <c r="B4" s="2" t="s">
        <v>244</v>
      </c>
      <c r="C4" s="5">
        <v>46028.0</v>
      </c>
      <c r="D4" s="2" t="s">
        <v>19</v>
      </c>
      <c r="E4" s="2" t="s">
        <v>798</v>
      </c>
      <c r="F4" s="2" t="s">
        <v>614</v>
      </c>
      <c r="G4" s="2">
        <v>3.0</v>
      </c>
      <c r="H4" s="2" t="s">
        <v>66</v>
      </c>
      <c r="I4" s="2" t="s">
        <v>615</v>
      </c>
      <c r="K4" s="2">
        <v>0.0</v>
      </c>
      <c r="L4" s="2">
        <v>0.0</v>
      </c>
      <c r="M4" s="2" t="s">
        <v>246</v>
      </c>
      <c r="N4" s="2" t="s">
        <v>24</v>
      </c>
      <c r="Q4" s="9" t="s">
        <v>897</v>
      </c>
    </row>
    <row r="5">
      <c r="A5" s="63">
        <v>46028.57812157407</v>
      </c>
      <c r="B5" s="2" t="s">
        <v>244</v>
      </c>
      <c r="C5" s="5">
        <v>46028.0</v>
      </c>
      <c r="D5" s="2" t="s">
        <v>19</v>
      </c>
      <c r="E5" s="2" t="s">
        <v>798</v>
      </c>
      <c r="F5" s="2" t="s">
        <v>688</v>
      </c>
      <c r="G5" s="2">
        <v>6.0</v>
      </c>
      <c r="H5" s="2" t="s">
        <v>66</v>
      </c>
      <c r="I5" s="2" t="s">
        <v>689</v>
      </c>
      <c r="K5" s="2">
        <v>0.0</v>
      </c>
      <c r="L5" s="2">
        <v>0.0</v>
      </c>
      <c r="M5" s="2" t="s">
        <v>246</v>
      </c>
      <c r="N5" s="2" t="s">
        <v>24</v>
      </c>
      <c r="Q5" s="9" t="s">
        <v>897</v>
      </c>
    </row>
    <row r="6">
      <c r="A6" s="63">
        <v>46028.57812157407</v>
      </c>
      <c r="B6" s="2" t="s">
        <v>244</v>
      </c>
      <c r="C6" s="5">
        <v>46028.0</v>
      </c>
      <c r="D6" s="2" t="s">
        <v>19</v>
      </c>
      <c r="E6" s="2" t="s">
        <v>798</v>
      </c>
      <c r="F6" s="2" t="s">
        <v>704</v>
      </c>
      <c r="G6" s="2">
        <v>1.0</v>
      </c>
      <c r="H6" s="2" t="s">
        <v>703</v>
      </c>
      <c r="I6" s="2" t="s">
        <v>705</v>
      </c>
      <c r="K6" s="2">
        <v>0.0</v>
      </c>
      <c r="L6" s="2">
        <v>0.0</v>
      </c>
      <c r="M6" s="2" t="s">
        <v>246</v>
      </c>
      <c r="N6" s="2" t="s">
        <v>24</v>
      </c>
      <c r="Q6" s="9" t="s">
        <v>897</v>
      </c>
    </row>
    <row r="7">
      <c r="A7" s="63">
        <v>46028.57812157407</v>
      </c>
      <c r="B7" s="2" t="s">
        <v>244</v>
      </c>
      <c r="C7" s="5">
        <v>46028.0</v>
      </c>
      <c r="D7" s="2" t="s">
        <v>19</v>
      </c>
      <c r="E7" s="2" t="s">
        <v>798</v>
      </c>
      <c r="F7" s="2" t="s">
        <v>678</v>
      </c>
      <c r="G7" s="2">
        <v>6.0</v>
      </c>
      <c r="H7" s="2" t="s">
        <v>66</v>
      </c>
      <c r="I7" s="2" t="s">
        <v>679</v>
      </c>
      <c r="K7" s="2">
        <v>0.0</v>
      </c>
      <c r="L7" s="2">
        <v>0.0</v>
      </c>
      <c r="M7" s="2" t="s">
        <v>246</v>
      </c>
      <c r="N7" s="2" t="s">
        <v>24</v>
      </c>
      <c r="Q7" s="9" t="s">
        <v>897</v>
      </c>
    </row>
    <row r="8">
      <c r="A8" s="63">
        <v>46028.57812157407</v>
      </c>
      <c r="B8" s="2" t="s">
        <v>244</v>
      </c>
      <c r="C8" s="5">
        <v>46028.0</v>
      </c>
      <c r="D8" s="2" t="s">
        <v>19</v>
      </c>
      <c r="E8" s="2" t="s">
        <v>798</v>
      </c>
      <c r="F8" s="2" t="s">
        <v>692</v>
      </c>
      <c r="G8" s="2">
        <v>1.0</v>
      </c>
      <c r="H8" s="2" t="s">
        <v>66</v>
      </c>
      <c r="I8" s="2" t="s">
        <v>693</v>
      </c>
      <c r="K8" s="2">
        <v>0.0</v>
      </c>
      <c r="L8" s="2">
        <v>0.0</v>
      </c>
      <c r="M8" s="2" t="s">
        <v>246</v>
      </c>
      <c r="N8" s="2" t="s">
        <v>24</v>
      </c>
      <c r="Q8" s="9" t="s">
        <v>897</v>
      </c>
    </row>
    <row r="9">
      <c r="A9" s="63">
        <v>46028.57812157407</v>
      </c>
      <c r="B9" s="2" t="s">
        <v>244</v>
      </c>
      <c r="C9" s="5">
        <v>46028.0</v>
      </c>
      <c r="D9" s="2" t="s">
        <v>19</v>
      </c>
      <c r="E9" s="2" t="s">
        <v>798</v>
      </c>
      <c r="F9" s="2" t="s">
        <v>640</v>
      </c>
      <c r="G9" s="2">
        <v>3.0</v>
      </c>
      <c r="H9" s="2" t="s">
        <v>66</v>
      </c>
      <c r="I9" s="2" t="s">
        <v>641</v>
      </c>
      <c r="K9" s="2">
        <v>0.0</v>
      </c>
      <c r="L9" s="2">
        <v>0.0</v>
      </c>
      <c r="M9" s="2" t="s">
        <v>246</v>
      </c>
      <c r="N9" s="2" t="s">
        <v>24</v>
      </c>
      <c r="Q9" s="9" t="s">
        <v>897</v>
      </c>
    </row>
    <row r="10">
      <c r="A10" s="63">
        <v>46028.57812157407</v>
      </c>
      <c r="B10" s="2" t="s">
        <v>244</v>
      </c>
      <c r="C10" s="5">
        <v>46028.0</v>
      </c>
      <c r="D10" s="2" t="s">
        <v>19</v>
      </c>
      <c r="E10" s="2" t="s">
        <v>798</v>
      </c>
      <c r="F10" s="2" t="s">
        <v>638</v>
      </c>
      <c r="G10" s="2">
        <v>1.0</v>
      </c>
      <c r="H10" s="2" t="s">
        <v>21</v>
      </c>
      <c r="I10" s="2" t="s">
        <v>639</v>
      </c>
      <c r="K10" s="2">
        <v>0.0</v>
      </c>
      <c r="L10" s="2">
        <v>0.0</v>
      </c>
      <c r="M10" s="2" t="s">
        <v>246</v>
      </c>
      <c r="N10" s="2" t="s">
        <v>24</v>
      </c>
      <c r="Q10" s="9" t="s">
        <v>897</v>
      </c>
    </row>
    <row r="11">
      <c r="A11" s="63">
        <v>46028.57812157407</v>
      </c>
      <c r="B11" s="2" t="s">
        <v>244</v>
      </c>
      <c r="C11" s="5">
        <v>46028.0</v>
      </c>
      <c r="D11" s="2" t="s">
        <v>19</v>
      </c>
      <c r="E11" s="2" t="s">
        <v>798</v>
      </c>
      <c r="F11" s="2" t="s">
        <v>762</v>
      </c>
      <c r="G11" s="2">
        <v>1.0</v>
      </c>
      <c r="H11" s="2" t="s">
        <v>755</v>
      </c>
      <c r="I11" s="2" t="s">
        <v>763</v>
      </c>
      <c r="K11" s="2">
        <v>0.0</v>
      </c>
      <c r="L11" s="2">
        <v>0.0</v>
      </c>
      <c r="M11" s="2" t="s">
        <v>246</v>
      </c>
      <c r="N11" s="2" t="s">
        <v>24</v>
      </c>
      <c r="Q11" s="9" t="s">
        <v>897</v>
      </c>
    </row>
    <row r="12">
      <c r="A12" s="63">
        <v>46028.57812157407</v>
      </c>
      <c r="B12" s="2" t="s">
        <v>244</v>
      </c>
      <c r="C12" s="5">
        <v>46028.0</v>
      </c>
      <c r="D12" s="2" t="s">
        <v>19</v>
      </c>
      <c r="E12" s="2" t="s">
        <v>798</v>
      </c>
      <c r="F12" s="2" t="s">
        <v>753</v>
      </c>
      <c r="G12" s="2">
        <v>1.0</v>
      </c>
      <c r="H12" s="2" t="s">
        <v>822</v>
      </c>
      <c r="I12" s="2" t="s">
        <v>754</v>
      </c>
      <c r="K12" s="2">
        <v>0.0</v>
      </c>
      <c r="L12" s="2">
        <v>0.0</v>
      </c>
      <c r="M12" s="2" t="s">
        <v>246</v>
      </c>
      <c r="N12" s="2" t="s">
        <v>24</v>
      </c>
      <c r="Q12" s="9" t="s">
        <v>897</v>
      </c>
    </row>
    <row r="13">
      <c r="A13" s="63">
        <v>46028.57812157407</v>
      </c>
      <c r="B13" s="2" t="s">
        <v>244</v>
      </c>
      <c r="C13" s="5">
        <v>46028.0</v>
      </c>
      <c r="D13" s="2" t="s">
        <v>19</v>
      </c>
      <c r="E13" s="2" t="s">
        <v>798</v>
      </c>
      <c r="F13" s="2" t="s">
        <v>580</v>
      </c>
      <c r="G13" s="2">
        <v>30.0</v>
      </c>
      <c r="H13" s="2" t="s">
        <v>66</v>
      </c>
      <c r="I13" s="2" t="s">
        <v>581</v>
      </c>
      <c r="K13" s="2">
        <v>0.0</v>
      </c>
      <c r="L13" s="2">
        <v>0.0</v>
      </c>
      <c r="M13" s="2" t="s">
        <v>246</v>
      </c>
      <c r="N13" s="2" t="s">
        <v>24</v>
      </c>
      <c r="Q13" s="9" t="s">
        <v>897</v>
      </c>
    </row>
    <row r="14">
      <c r="A14" s="63">
        <v>46028.58239028935</v>
      </c>
      <c r="B14" s="2" t="s">
        <v>244</v>
      </c>
      <c r="C14" s="5">
        <v>46028.0</v>
      </c>
      <c r="D14" s="2" t="s">
        <v>19</v>
      </c>
      <c r="E14" s="2" t="s">
        <v>798</v>
      </c>
      <c r="F14" s="2" t="s">
        <v>572</v>
      </c>
      <c r="G14" s="2">
        <v>1.0</v>
      </c>
      <c r="H14" s="2" t="s">
        <v>884</v>
      </c>
      <c r="I14" s="2" t="s">
        <v>573</v>
      </c>
      <c r="K14" s="2">
        <v>0.0</v>
      </c>
      <c r="L14" s="2">
        <v>0.0</v>
      </c>
      <c r="M14" s="2" t="s">
        <v>246</v>
      </c>
      <c r="N14" s="2" t="s">
        <v>24</v>
      </c>
      <c r="Q14" s="9" t="s">
        <v>898</v>
      </c>
    </row>
    <row r="15">
      <c r="N15" s="4"/>
    </row>
    <row r="16">
      <c r="N16" s="4"/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  <row r="972">
      <c r="N972" s="4"/>
    </row>
    <row r="973">
      <c r="N973" s="4"/>
    </row>
    <row r="974">
      <c r="N974" s="4"/>
    </row>
    <row r="975">
      <c r="N975" s="4"/>
    </row>
    <row r="976">
      <c r="N976" s="4"/>
    </row>
    <row r="977">
      <c r="N977" s="4"/>
    </row>
    <row r="978">
      <c r="N978" s="4"/>
    </row>
    <row r="979">
      <c r="N979" s="4"/>
    </row>
    <row r="980">
      <c r="N980" s="4"/>
    </row>
    <row r="981">
      <c r="N981" s="4"/>
    </row>
    <row r="982">
      <c r="N982" s="4"/>
    </row>
    <row r="983">
      <c r="N983" s="4"/>
    </row>
    <row r="984">
      <c r="N984" s="4"/>
    </row>
    <row r="985">
      <c r="N985" s="4"/>
    </row>
    <row r="986">
      <c r="N986" s="4"/>
    </row>
    <row r="987">
      <c r="N987" s="4"/>
    </row>
    <row r="988">
      <c r="N988" s="4"/>
    </row>
    <row r="989">
      <c r="N989" s="4"/>
    </row>
    <row r="990">
      <c r="N990" s="4"/>
    </row>
    <row r="991">
      <c r="N991" s="4"/>
    </row>
  </sheetData>
  <dataValidations>
    <dataValidation type="list" allowBlank="1" showErrorMessage="1" sqref="N1:N991">
      <formula1>"Approved,Pending,No Stock"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</hyperlinks>
  <drawing r:id="rId14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6.25"/>
    <col customWidth="1" min="3" max="3" width="9.5"/>
    <col customWidth="1" min="4" max="4" width="18.63"/>
    <col customWidth="1" min="5" max="5" width="15.75"/>
    <col customWidth="1" min="6" max="6" width="7.63"/>
    <col customWidth="1" min="7" max="7" width="3.63"/>
    <col customWidth="1" min="8" max="8" width="5.88"/>
    <col customWidth="1" min="9" max="9" width="20.0"/>
    <col customWidth="1" min="10" max="10" width="6.0"/>
    <col customWidth="1" min="11" max="11" width="6.75"/>
    <col customWidth="1" min="12" max="12" width="4.5"/>
    <col customWidth="1" min="13" max="13" width="11.5"/>
    <col customWidth="1" min="14" max="14" width="13.5"/>
    <col customWidth="1" min="15" max="15" width="11.13"/>
    <col customWidth="1" min="16" max="16" width="10.38"/>
    <col customWidth="1" min="17" max="17" width="67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46029.53655493056</v>
      </c>
      <c r="B2" s="2" t="s">
        <v>43</v>
      </c>
      <c r="C2" s="5">
        <v>46029.0</v>
      </c>
      <c r="D2" s="2" t="s">
        <v>19</v>
      </c>
      <c r="E2" s="2" t="s">
        <v>798</v>
      </c>
      <c r="F2" s="2" t="s">
        <v>569</v>
      </c>
      <c r="G2" s="2">
        <v>1.0</v>
      </c>
      <c r="H2" s="2" t="s">
        <v>571</v>
      </c>
      <c r="I2" s="2" t="s">
        <v>570</v>
      </c>
      <c r="K2" s="2">
        <v>0.0</v>
      </c>
      <c r="L2" s="2">
        <v>0.0</v>
      </c>
      <c r="M2" s="2" t="s">
        <v>198</v>
      </c>
      <c r="N2" s="2" t="s">
        <v>24</v>
      </c>
      <c r="Q2" s="9" t="s">
        <v>899</v>
      </c>
    </row>
    <row r="3">
      <c r="A3" s="63">
        <v>46029.53655493056</v>
      </c>
      <c r="B3" s="2" t="s">
        <v>43</v>
      </c>
      <c r="C3" s="5">
        <v>46029.0</v>
      </c>
      <c r="D3" s="2" t="s">
        <v>19</v>
      </c>
      <c r="E3" s="2" t="s">
        <v>798</v>
      </c>
      <c r="F3" s="2" t="s">
        <v>574</v>
      </c>
      <c r="G3" s="2">
        <v>1.0</v>
      </c>
      <c r="H3" s="2" t="s">
        <v>571</v>
      </c>
      <c r="I3" s="2" t="s">
        <v>575</v>
      </c>
      <c r="K3" s="2">
        <v>0.0</v>
      </c>
      <c r="L3" s="2">
        <v>0.0</v>
      </c>
      <c r="M3" s="2" t="s">
        <v>198</v>
      </c>
      <c r="N3" s="2" t="s">
        <v>24</v>
      </c>
      <c r="Q3" s="9" t="s">
        <v>899</v>
      </c>
    </row>
    <row r="4">
      <c r="A4" s="63">
        <v>46029.53655493056</v>
      </c>
      <c r="B4" s="2" t="s">
        <v>43</v>
      </c>
      <c r="C4" s="5">
        <v>46029.0</v>
      </c>
      <c r="D4" s="2" t="s">
        <v>19</v>
      </c>
      <c r="E4" s="2" t="s">
        <v>798</v>
      </c>
      <c r="F4" s="2" t="s">
        <v>590</v>
      </c>
      <c r="G4" s="2">
        <v>10.0</v>
      </c>
      <c r="H4" s="2" t="s">
        <v>66</v>
      </c>
      <c r="I4" s="2" t="s">
        <v>591</v>
      </c>
      <c r="K4" s="2">
        <v>0.0</v>
      </c>
      <c r="L4" s="2">
        <v>0.0</v>
      </c>
      <c r="M4" s="2" t="s">
        <v>198</v>
      </c>
      <c r="N4" s="2" t="s">
        <v>24</v>
      </c>
      <c r="Q4" s="9" t="s">
        <v>899</v>
      </c>
    </row>
    <row r="5">
      <c r="A5" s="63">
        <v>46029.53655493056</v>
      </c>
      <c r="B5" s="2" t="s">
        <v>43</v>
      </c>
      <c r="C5" s="5">
        <v>46029.0</v>
      </c>
      <c r="D5" s="2" t="s">
        <v>19</v>
      </c>
      <c r="E5" s="2" t="s">
        <v>798</v>
      </c>
      <c r="F5" s="2" t="s">
        <v>592</v>
      </c>
      <c r="G5" s="2">
        <v>30.0</v>
      </c>
      <c r="H5" s="2" t="s">
        <v>66</v>
      </c>
      <c r="I5" s="2" t="s">
        <v>593</v>
      </c>
      <c r="K5" s="2">
        <v>0.0</v>
      </c>
      <c r="L5" s="2">
        <v>0.0</v>
      </c>
      <c r="M5" s="2" t="s">
        <v>198</v>
      </c>
      <c r="N5" s="2" t="s">
        <v>24</v>
      </c>
      <c r="Q5" s="9" t="s">
        <v>899</v>
      </c>
    </row>
    <row r="6">
      <c r="A6" s="63">
        <v>46029.53655493056</v>
      </c>
      <c r="B6" s="2" t="s">
        <v>43</v>
      </c>
      <c r="C6" s="5">
        <v>46029.0</v>
      </c>
      <c r="D6" s="2" t="s">
        <v>19</v>
      </c>
      <c r="E6" s="2" t="s">
        <v>798</v>
      </c>
      <c r="F6" s="2" t="s">
        <v>779</v>
      </c>
      <c r="G6" s="2">
        <v>1.0</v>
      </c>
      <c r="H6" s="2" t="s">
        <v>703</v>
      </c>
      <c r="I6" s="2" t="s">
        <v>900</v>
      </c>
      <c r="K6" s="2">
        <v>0.0</v>
      </c>
      <c r="L6" s="2">
        <v>0.0</v>
      </c>
      <c r="M6" s="2" t="s">
        <v>198</v>
      </c>
      <c r="N6" s="2" t="s">
        <v>24</v>
      </c>
      <c r="Q6" s="9" t="s">
        <v>899</v>
      </c>
    </row>
    <row r="7">
      <c r="A7" s="63">
        <v>46029.53655493056</v>
      </c>
      <c r="B7" s="2" t="s">
        <v>43</v>
      </c>
      <c r="C7" s="5">
        <v>46029.0</v>
      </c>
      <c r="D7" s="2" t="s">
        <v>19</v>
      </c>
      <c r="E7" s="2" t="s">
        <v>798</v>
      </c>
      <c r="F7" s="2" t="s">
        <v>606</v>
      </c>
      <c r="G7" s="2">
        <v>5.0</v>
      </c>
      <c r="H7" s="2" t="s">
        <v>66</v>
      </c>
      <c r="I7" s="2" t="s">
        <v>607</v>
      </c>
      <c r="K7" s="2">
        <v>0.0</v>
      </c>
      <c r="L7" s="2">
        <v>0.0</v>
      </c>
      <c r="M7" s="2" t="s">
        <v>198</v>
      </c>
      <c r="N7" s="2" t="s">
        <v>790</v>
      </c>
      <c r="Q7" s="9" t="s">
        <v>899</v>
      </c>
    </row>
    <row r="8">
      <c r="A8" s="63">
        <v>46029.53655493056</v>
      </c>
      <c r="B8" s="2" t="s">
        <v>43</v>
      </c>
      <c r="C8" s="5">
        <v>46029.0</v>
      </c>
      <c r="D8" s="2" t="s">
        <v>19</v>
      </c>
      <c r="E8" s="2" t="s">
        <v>798</v>
      </c>
      <c r="F8" s="2" t="s">
        <v>678</v>
      </c>
      <c r="G8" s="2">
        <v>6.0</v>
      </c>
      <c r="H8" s="2" t="s">
        <v>66</v>
      </c>
      <c r="I8" s="2" t="s">
        <v>679</v>
      </c>
      <c r="K8" s="2">
        <v>0.0</v>
      </c>
      <c r="L8" s="2">
        <v>0.0</v>
      </c>
      <c r="M8" s="2" t="s">
        <v>198</v>
      </c>
      <c r="N8" s="2" t="s">
        <v>24</v>
      </c>
      <c r="Q8" s="9" t="s">
        <v>899</v>
      </c>
    </row>
    <row r="9">
      <c r="A9" s="63">
        <v>46029.53655493056</v>
      </c>
      <c r="B9" s="2" t="s">
        <v>43</v>
      </c>
      <c r="C9" s="5">
        <v>46029.0</v>
      </c>
      <c r="D9" s="2" t="s">
        <v>19</v>
      </c>
      <c r="E9" s="2" t="s">
        <v>798</v>
      </c>
      <c r="F9" s="2" t="s">
        <v>750</v>
      </c>
      <c r="G9" s="2">
        <v>1.0</v>
      </c>
      <c r="H9" s="2" t="s">
        <v>841</v>
      </c>
      <c r="I9" s="2" t="s">
        <v>751</v>
      </c>
      <c r="K9" s="2">
        <v>0.0</v>
      </c>
      <c r="L9" s="2">
        <v>0.0</v>
      </c>
      <c r="M9" s="2" t="s">
        <v>198</v>
      </c>
      <c r="N9" s="2" t="s">
        <v>24</v>
      </c>
      <c r="Q9" s="9" t="s">
        <v>899</v>
      </c>
    </row>
    <row r="10">
      <c r="A10" s="63">
        <v>46029.53655493056</v>
      </c>
      <c r="B10" s="2" t="s">
        <v>43</v>
      </c>
      <c r="C10" s="5">
        <v>46029.0</v>
      </c>
      <c r="D10" s="2" t="s">
        <v>19</v>
      </c>
      <c r="E10" s="2" t="s">
        <v>798</v>
      </c>
      <c r="F10" s="2" t="s">
        <v>580</v>
      </c>
      <c r="G10" s="2">
        <v>30.0</v>
      </c>
      <c r="H10" s="2" t="s">
        <v>66</v>
      </c>
      <c r="I10" s="2" t="s">
        <v>581</v>
      </c>
      <c r="K10" s="2">
        <v>0.0</v>
      </c>
      <c r="L10" s="2">
        <v>0.0</v>
      </c>
      <c r="M10" s="2" t="s">
        <v>198</v>
      </c>
      <c r="N10" s="2" t="s">
        <v>24</v>
      </c>
      <c r="Q10" s="9" t="s">
        <v>899</v>
      </c>
    </row>
    <row r="11">
      <c r="A11" s="63">
        <v>46029.53655493056</v>
      </c>
      <c r="B11" s="2" t="s">
        <v>43</v>
      </c>
      <c r="C11" s="5">
        <v>46029.0</v>
      </c>
      <c r="D11" s="2" t="s">
        <v>19</v>
      </c>
      <c r="E11" s="2" t="s">
        <v>798</v>
      </c>
      <c r="F11" s="2" t="s">
        <v>596</v>
      </c>
      <c r="G11" s="2">
        <v>15.0</v>
      </c>
      <c r="H11" s="2" t="s">
        <v>66</v>
      </c>
      <c r="I11" s="2" t="s">
        <v>597</v>
      </c>
      <c r="K11" s="2">
        <v>0.0</v>
      </c>
      <c r="L11" s="2">
        <v>0.0</v>
      </c>
      <c r="M11" s="2" t="s">
        <v>198</v>
      </c>
      <c r="N11" s="2" t="s">
        <v>24</v>
      </c>
      <c r="Q11" s="9" t="s">
        <v>899</v>
      </c>
    </row>
    <row r="12">
      <c r="A12" s="63">
        <v>46029.53655493056</v>
      </c>
      <c r="B12" s="2" t="s">
        <v>43</v>
      </c>
      <c r="C12" s="5">
        <v>46029.0</v>
      </c>
      <c r="D12" s="2" t="s">
        <v>19</v>
      </c>
      <c r="E12" s="2" t="s">
        <v>798</v>
      </c>
      <c r="F12" s="2" t="s">
        <v>744</v>
      </c>
      <c r="G12" s="2">
        <v>1.0</v>
      </c>
      <c r="H12" s="2" t="s">
        <v>48</v>
      </c>
      <c r="I12" s="2" t="s">
        <v>745</v>
      </c>
      <c r="K12" s="2">
        <v>0.0</v>
      </c>
      <c r="L12" s="2">
        <v>0.0</v>
      </c>
      <c r="M12" s="2" t="s">
        <v>198</v>
      </c>
      <c r="N12" s="2" t="s">
        <v>24</v>
      </c>
      <c r="Q12" s="9" t="s">
        <v>899</v>
      </c>
    </row>
    <row r="13">
      <c r="A13" s="63">
        <v>46029.557049826384</v>
      </c>
      <c r="B13" s="2" t="s">
        <v>43</v>
      </c>
      <c r="C13" s="5">
        <v>46029.0</v>
      </c>
      <c r="D13" s="2" t="s">
        <v>19</v>
      </c>
      <c r="E13" s="2" t="s">
        <v>798</v>
      </c>
      <c r="F13" s="2" t="s">
        <v>769</v>
      </c>
      <c r="G13" s="2">
        <v>1.0</v>
      </c>
      <c r="H13" s="2" t="s">
        <v>768</v>
      </c>
      <c r="I13" s="2" t="s">
        <v>770</v>
      </c>
      <c r="K13" s="2">
        <v>0.0</v>
      </c>
      <c r="L13" s="2">
        <v>0.0</v>
      </c>
      <c r="M13" s="2" t="s">
        <v>198</v>
      </c>
      <c r="N13" s="2" t="s">
        <v>24</v>
      </c>
      <c r="Q13" s="9" t="s">
        <v>901</v>
      </c>
    </row>
    <row r="14">
      <c r="N14" s="4"/>
    </row>
    <row r="15">
      <c r="N15" s="4"/>
    </row>
    <row r="16">
      <c r="N16" s="4"/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</sheetData>
  <dataValidations>
    <dataValidation type="list" allowBlank="1" showErrorMessage="1" sqref="N1:N952">
      <formula1>"Pending,Approved,No Stocks"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</hyperlinks>
  <drawing r:id="rId1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0.13"/>
    <col customWidth="1" min="3" max="3" width="9.5"/>
    <col customWidth="1" min="4" max="4" width="18.63"/>
    <col customWidth="1" min="5" max="5" width="15.75"/>
    <col customWidth="1" min="6" max="6" width="7.63"/>
    <col customWidth="1" min="7" max="7" width="3.63"/>
    <col customWidth="1" min="8" max="8" width="6.75"/>
    <col customWidth="1" min="9" max="9" width="27.88"/>
    <col customWidth="1" min="10" max="10" width="6.0"/>
    <col customWidth="1" min="11" max="11" width="6.75"/>
    <col customWidth="1" min="12" max="12" width="4.5"/>
    <col customWidth="1" min="13" max="13" width="15.63"/>
    <col customWidth="1" min="14" max="14" width="13.0"/>
    <col customWidth="1" min="15" max="15" width="11.13"/>
    <col customWidth="1" min="16" max="16" width="10.38"/>
    <col customWidth="1" min="17" max="17" width="70.0"/>
    <col customWidth="1" min="18" max="26" width="16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46035.48353438657</v>
      </c>
      <c r="B2" s="2" t="s">
        <v>200</v>
      </c>
      <c r="C2" s="5">
        <v>46035.0</v>
      </c>
      <c r="D2" s="2" t="s">
        <v>19</v>
      </c>
      <c r="E2" s="2" t="s">
        <v>798</v>
      </c>
      <c r="F2" s="2" t="s">
        <v>710</v>
      </c>
      <c r="G2" s="2">
        <v>1.0</v>
      </c>
      <c r="H2" s="2" t="s">
        <v>703</v>
      </c>
      <c r="I2" s="2" t="s">
        <v>711</v>
      </c>
      <c r="K2" s="2">
        <v>0.0</v>
      </c>
      <c r="L2" s="2">
        <v>0.0</v>
      </c>
      <c r="M2" s="2" t="s">
        <v>299</v>
      </c>
      <c r="N2" s="2" t="s">
        <v>24</v>
      </c>
      <c r="Q2" s="9" t="s">
        <v>902</v>
      </c>
    </row>
    <row r="3">
      <c r="A3" s="63">
        <v>46035.48353438657</v>
      </c>
      <c r="B3" s="2" t="s">
        <v>200</v>
      </c>
      <c r="C3" s="5">
        <v>46035.0</v>
      </c>
      <c r="D3" s="2" t="s">
        <v>19</v>
      </c>
      <c r="E3" s="2" t="s">
        <v>798</v>
      </c>
      <c r="F3" s="2" t="s">
        <v>714</v>
      </c>
      <c r="G3" s="2">
        <v>1.0</v>
      </c>
      <c r="H3" s="2" t="s">
        <v>703</v>
      </c>
      <c r="I3" s="2" t="s">
        <v>903</v>
      </c>
      <c r="K3" s="2">
        <v>0.0</v>
      </c>
      <c r="L3" s="2">
        <v>0.0</v>
      </c>
      <c r="M3" s="2" t="s">
        <v>299</v>
      </c>
      <c r="N3" s="2" t="s">
        <v>24</v>
      </c>
      <c r="Q3" s="9" t="s">
        <v>902</v>
      </c>
    </row>
    <row r="4">
      <c r="A4" s="63">
        <v>46035.48353438657</v>
      </c>
      <c r="B4" s="2" t="s">
        <v>200</v>
      </c>
      <c r="C4" s="5">
        <v>46035.0</v>
      </c>
      <c r="D4" s="2" t="s">
        <v>19</v>
      </c>
      <c r="E4" s="2" t="s">
        <v>798</v>
      </c>
      <c r="F4" s="2" t="s">
        <v>574</v>
      </c>
      <c r="G4" s="2">
        <v>1.0</v>
      </c>
      <c r="H4" s="2" t="s">
        <v>571</v>
      </c>
      <c r="I4" s="2" t="s">
        <v>575</v>
      </c>
      <c r="K4" s="2">
        <v>0.0</v>
      </c>
      <c r="L4" s="2">
        <v>0.0</v>
      </c>
      <c r="M4" s="2" t="s">
        <v>299</v>
      </c>
      <c r="N4" s="2" t="s">
        <v>24</v>
      </c>
      <c r="Q4" s="9" t="s">
        <v>902</v>
      </c>
    </row>
    <row r="5">
      <c r="A5" s="63">
        <v>46035.48353438657</v>
      </c>
      <c r="B5" s="2" t="s">
        <v>200</v>
      </c>
      <c r="C5" s="5">
        <v>46035.0</v>
      </c>
      <c r="D5" s="2" t="s">
        <v>19</v>
      </c>
      <c r="E5" s="2" t="s">
        <v>798</v>
      </c>
      <c r="F5" s="2" t="s">
        <v>578</v>
      </c>
      <c r="G5" s="2">
        <v>1.0</v>
      </c>
      <c r="H5" s="2" t="s">
        <v>571</v>
      </c>
      <c r="I5" s="2" t="s">
        <v>579</v>
      </c>
      <c r="K5" s="2">
        <v>0.0</v>
      </c>
      <c r="L5" s="2">
        <v>0.0</v>
      </c>
      <c r="M5" s="2" t="s">
        <v>299</v>
      </c>
      <c r="N5" s="2" t="s">
        <v>24</v>
      </c>
      <c r="Q5" s="9" t="s">
        <v>902</v>
      </c>
    </row>
    <row r="6">
      <c r="A6" s="63">
        <v>46035.48353438657</v>
      </c>
      <c r="B6" s="2" t="s">
        <v>200</v>
      </c>
      <c r="C6" s="5">
        <v>46035.0</v>
      </c>
      <c r="D6" s="2" t="s">
        <v>19</v>
      </c>
      <c r="E6" s="2" t="s">
        <v>798</v>
      </c>
      <c r="F6" s="2" t="s">
        <v>592</v>
      </c>
      <c r="G6" s="2">
        <v>10.0</v>
      </c>
      <c r="H6" s="2" t="s">
        <v>66</v>
      </c>
      <c r="I6" s="2" t="s">
        <v>593</v>
      </c>
      <c r="K6" s="2">
        <v>0.0</v>
      </c>
      <c r="L6" s="2">
        <v>0.0</v>
      </c>
      <c r="M6" s="2" t="s">
        <v>299</v>
      </c>
      <c r="N6" s="2" t="s">
        <v>24</v>
      </c>
      <c r="Q6" s="9" t="s">
        <v>902</v>
      </c>
    </row>
    <row r="7">
      <c r="A7" s="63">
        <v>46035.48353438657</v>
      </c>
      <c r="B7" s="2" t="s">
        <v>200</v>
      </c>
      <c r="C7" s="5">
        <v>46035.0</v>
      </c>
      <c r="D7" s="2" t="s">
        <v>19</v>
      </c>
      <c r="E7" s="2" t="s">
        <v>798</v>
      </c>
      <c r="F7" s="2" t="s">
        <v>622</v>
      </c>
      <c r="G7" s="2">
        <v>2.0</v>
      </c>
      <c r="H7" s="2" t="s">
        <v>66</v>
      </c>
      <c r="I7" s="2" t="s">
        <v>623</v>
      </c>
      <c r="K7" s="2">
        <v>0.0</v>
      </c>
      <c r="L7" s="2">
        <v>0.0</v>
      </c>
      <c r="M7" s="2" t="s">
        <v>299</v>
      </c>
      <c r="N7" s="2" t="s">
        <v>24</v>
      </c>
      <c r="Q7" s="9" t="s">
        <v>902</v>
      </c>
    </row>
    <row r="8">
      <c r="A8" s="63">
        <v>46035.48353438657</v>
      </c>
      <c r="B8" s="2" t="s">
        <v>200</v>
      </c>
      <c r="C8" s="5">
        <v>46035.0</v>
      </c>
      <c r="D8" s="2" t="s">
        <v>19</v>
      </c>
      <c r="E8" s="2" t="s">
        <v>798</v>
      </c>
      <c r="F8" s="2" t="s">
        <v>648</v>
      </c>
      <c r="G8" s="2">
        <v>1.0</v>
      </c>
      <c r="H8" s="2" t="s">
        <v>21</v>
      </c>
      <c r="I8" s="2" t="s">
        <v>649</v>
      </c>
      <c r="K8" s="2">
        <v>0.0</v>
      </c>
      <c r="L8" s="2">
        <v>0.0</v>
      </c>
      <c r="M8" s="2" t="s">
        <v>299</v>
      </c>
      <c r="N8" s="2" t="s">
        <v>24</v>
      </c>
      <c r="Q8" s="9" t="s">
        <v>902</v>
      </c>
    </row>
    <row r="9">
      <c r="A9" s="63">
        <v>46035.48353438657</v>
      </c>
      <c r="B9" s="2" t="s">
        <v>200</v>
      </c>
      <c r="C9" s="5">
        <v>46035.0</v>
      </c>
      <c r="D9" s="2" t="s">
        <v>19</v>
      </c>
      <c r="E9" s="2" t="s">
        <v>798</v>
      </c>
      <c r="F9" s="2" t="s">
        <v>690</v>
      </c>
      <c r="G9" s="2">
        <v>2.0</v>
      </c>
      <c r="H9" s="2" t="s">
        <v>66</v>
      </c>
      <c r="I9" s="2" t="s">
        <v>691</v>
      </c>
      <c r="K9" s="2">
        <v>0.0</v>
      </c>
      <c r="L9" s="2">
        <v>0.0</v>
      </c>
      <c r="M9" s="2" t="s">
        <v>299</v>
      </c>
      <c r="N9" s="2" t="s">
        <v>24</v>
      </c>
      <c r="Q9" s="9" t="s">
        <v>902</v>
      </c>
    </row>
    <row r="10">
      <c r="A10" s="63">
        <v>46035.48353438657</v>
      </c>
      <c r="B10" s="2" t="s">
        <v>200</v>
      </c>
      <c r="C10" s="5">
        <v>46035.0</v>
      </c>
      <c r="D10" s="2" t="s">
        <v>19</v>
      </c>
      <c r="E10" s="2" t="s">
        <v>798</v>
      </c>
      <c r="F10" s="2" t="s">
        <v>606</v>
      </c>
      <c r="G10" s="2">
        <v>7.0</v>
      </c>
      <c r="H10" s="2" t="s">
        <v>66</v>
      </c>
      <c r="I10" s="2" t="s">
        <v>607</v>
      </c>
      <c r="K10" s="2">
        <v>0.0</v>
      </c>
      <c r="L10" s="2">
        <v>0.0</v>
      </c>
      <c r="M10" s="2" t="s">
        <v>299</v>
      </c>
      <c r="N10" s="2" t="s">
        <v>24</v>
      </c>
      <c r="Q10" s="9" t="s">
        <v>902</v>
      </c>
    </row>
    <row r="11">
      <c r="A11" s="63">
        <v>46035.48353438657</v>
      </c>
      <c r="B11" s="2" t="s">
        <v>200</v>
      </c>
      <c r="C11" s="5">
        <v>46035.0</v>
      </c>
      <c r="D11" s="2" t="s">
        <v>19</v>
      </c>
      <c r="E11" s="2" t="s">
        <v>798</v>
      </c>
      <c r="F11" s="2" t="s">
        <v>644</v>
      </c>
      <c r="G11" s="2">
        <v>1.0</v>
      </c>
      <c r="H11" s="2" t="s">
        <v>21</v>
      </c>
      <c r="I11" s="2" t="s">
        <v>645</v>
      </c>
      <c r="K11" s="2">
        <v>0.0</v>
      </c>
      <c r="L11" s="2">
        <v>0.0</v>
      </c>
      <c r="M11" s="2" t="s">
        <v>299</v>
      </c>
      <c r="N11" s="2" t="s">
        <v>24</v>
      </c>
      <c r="Q11" s="9" t="s">
        <v>902</v>
      </c>
    </row>
    <row r="12">
      <c r="A12" s="63">
        <v>46035.48353438657</v>
      </c>
      <c r="B12" s="2" t="s">
        <v>200</v>
      </c>
      <c r="C12" s="5">
        <v>46035.0</v>
      </c>
      <c r="D12" s="2" t="s">
        <v>19</v>
      </c>
      <c r="E12" s="2" t="s">
        <v>798</v>
      </c>
      <c r="F12" s="2" t="s">
        <v>678</v>
      </c>
      <c r="G12" s="2">
        <v>6.0</v>
      </c>
      <c r="H12" s="2" t="s">
        <v>66</v>
      </c>
      <c r="I12" s="2" t="s">
        <v>679</v>
      </c>
      <c r="K12" s="2">
        <v>0.0</v>
      </c>
      <c r="L12" s="2">
        <v>0.0</v>
      </c>
      <c r="M12" s="2" t="s">
        <v>299</v>
      </c>
      <c r="N12" s="2" t="s">
        <v>24</v>
      </c>
      <c r="Q12" s="9" t="s">
        <v>902</v>
      </c>
    </row>
    <row r="13">
      <c r="A13" s="63">
        <v>46035.48353438657</v>
      </c>
      <c r="B13" s="2" t="s">
        <v>200</v>
      </c>
      <c r="C13" s="5">
        <v>46035.0</v>
      </c>
      <c r="D13" s="2" t="s">
        <v>19</v>
      </c>
      <c r="E13" s="2" t="s">
        <v>798</v>
      </c>
      <c r="F13" s="2" t="s">
        <v>750</v>
      </c>
      <c r="G13" s="2">
        <v>1.0</v>
      </c>
      <c r="H13" s="2" t="s">
        <v>841</v>
      </c>
      <c r="I13" s="2" t="s">
        <v>751</v>
      </c>
      <c r="K13" s="2">
        <v>0.0</v>
      </c>
      <c r="L13" s="2">
        <v>0.0</v>
      </c>
      <c r="M13" s="2" t="s">
        <v>299</v>
      </c>
      <c r="N13" s="2" t="s">
        <v>24</v>
      </c>
      <c r="Q13" s="9" t="s">
        <v>902</v>
      </c>
    </row>
    <row r="14">
      <c r="A14" s="63">
        <v>46035.48353438657</v>
      </c>
      <c r="B14" s="2" t="s">
        <v>200</v>
      </c>
      <c r="C14" s="5">
        <v>46035.0</v>
      </c>
      <c r="D14" s="2" t="s">
        <v>19</v>
      </c>
      <c r="E14" s="2" t="s">
        <v>798</v>
      </c>
      <c r="F14" s="2" t="s">
        <v>640</v>
      </c>
      <c r="G14" s="2">
        <v>2.0</v>
      </c>
      <c r="H14" s="2" t="s">
        <v>66</v>
      </c>
      <c r="I14" s="2" t="s">
        <v>641</v>
      </c>
      <c r="K14" s="2">
        <v>0.0</v>
      </c>
      <c r="L14" s="2">
        <v>0.0</v>
      </c>
      <c r="M14" s="2" t="s">
        <v>299</v>
      </c>
      <c r="N14" s="2" t="s">
        <v>24</v>
      </c>
      <c r="Q14" s="9" t="s">
        <v>902</v>
      </c>
    </row>
    <row r="15">
      <c r="A15" s="63">
        <v>46035.48353438657</v>
      </c>
      <c r="B15" s="2" t="s">
        <v>200</v>
      </c>
      <c r="C15" s="5">
        <v>46035.0</v>
      </c>
      <c r="D15" s="2" t="s">
        <v>19</v>
      </c>
      <c r="E15" s="2" t="s">
        <v>798</v>
      </c>
      <c r="F15" s="2" t="s">
        <v>580</v>
      </c>
      <c r="G15" s="2">
        <v>15.0</v>
      </c>
      <c r="H15" s="2" t="s">
        <v>66</v>
      </c>
      <c r="I15" s="2" t="s">
        <v>581</v>
      </c>
      <c r="K15" s="2">
        <v>0.0</v>
      </c>
      <c r="L15" s="2">
        <v>0.0</v>
      </c>
      <c r="M15" s="2" t="s">
        <v>299</v>
      </c>
      <c r="N15" s="2" t="s">
        <v>24</v>
      </c>
      <c r="Q15" s="9" t="s">
        <v>902</v>
      </c>
    </row>
    <row r="16">
      <c r="A16" s="63">
        <v>46035.48353438657</v>
      </c>
      <c r="B16" s="2" t="s">
        <v>200</v>
      </c>
      <c r="C16" s="5">
        <v>46035.0</v>
      </c>
      <c r="D16" s="2" t="s">
        <v>19</v>
      </c>
      <c r="E16" s="2" t="s">
        <v>798</v>
      </c>
      <c r="F16" s="2" t="s">
        <v>744</v>
      </c>
      <c r="G16" s="2">
        <v>1.0</v>
      </c>
      <c r="H16" s="2" t="s">
        <v>48</v>
      </c>
      <c r="I16" s="2" t="s">
        <v>745</v>
      </c>
      <c r="K16" s="2">
        <v>0.0</v>
      </c>
      <c r="L16" s="2">
        <v>0.0</v>
      </c>
      <c r="M16" s="2" t="s">
        <v>299</v>
      </c>
      <c r="N16" s="2" t="s">
        <v>24</v>
      </c>
      <c r="Q16" s="9" t="s">
        <v>902</v>
      </c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</sheetData>
  <dataValidations>
    <dataValidation type="list" allowBlank="1" showErrorMessage="1" sqref="N1:N961">
      <formula1>"Pending,Approved,for y3s only"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</hyperlinks>
  <drawing r:id="rId16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9.88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6.88"/>
    <col customWidth="1" min="9" max="9" width="27.88"/>
    <col customWidth="1" min="10" max="10" width="6.0"/>
    <col customWidth="1" min="11" max="11" width="6.75"/>
    <col customWidth="1" min="12" max="12" width="4.5"/>
    <col customWidth="1" min="13" max="13" width="11.5"/>
    <col customWidth="1" min="14" max="14" width="12.0"/>
    <col customWidth="1" min="15" max="15" width="11.13"/>
    <col customWidth="1" min="16" max="16" width="10.38"/>
    <col customWidth="1" min="17" max="17" width="68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46027.6084352662</v>
      </c>
      <c r="B2" s="2" t="s">
        <v>89</v>
      </c>
      <c r="C2" s="5">
        <v>46027.0</v>
      </c>
      <c r="D2" s="2" t="s">
        <v>19</v>
      </c>
      <c r="E2" s="2" t="s">
        <v>798</v>
      </c>
      <c r="F2" s="2" t="s">
        <v>740</v>
      </c>
      <c r="G2" s="2">
        <v>1.0</v>
      </c>
      <c r="H2" s="2" t="s">
        <v>21</v>
      </c>
      <c r="I2" s="2" t="s">
        <v>741</v>
      </c>
      <c r="K2" s="2">
        <v>0.0</v>
      </c>
      <c r="L2" s="2">
        <v>0.0</v>
      </c>
      <c r="M2" s="2" t="s">
        <v>904</v>
      </c>
      <c r="N2" s="2" t="s">
        <v>24</v>
      </c>
      <c r="Q2" s="9" t="s">
        <v>905</v>
      </c>
    </row>
    <row r="3">
      <c r="A3" s="63">
        <v>46027.6084352662</v>
      </c>
      <c r="B3" s="2" t="s">
        <v>89</v>
      </c>
      <c r="C3" s="5">
        <v>46027.0</v>
      </c>
      <c r="D3" s="2" t="s">
        <v>19</v>
      </c>
      <c r="E3" s="2" t="s">
        <v>798</v>
      </c>
      <c r="F3" s="2" t="s">
        <v>714</v>
      </c>
      <c r="G3" s="2">
        <v>1.0</v>
      </c>
      <c r="H3" s="2" t="s">
        <v>703</v>
      </c>
      <c r="I3" s="2" t="s">
        <v>903</v>
      </c>
      <c r="K3" s="2">
        <v>0.0</v>
      </c>
      <c r="L3" s="2">
        <v>0.0</v>
      </c>
      <c r="M3" s="2" t="s">
        <v>904</v>
      </c>
      <c r="N3" s="2" t="s">
        <v>24</v>
      </c>
      <c r="Q3" s="9" t="s">
        <v>905</v>
      </c>
    </row>
    <row r="4">
      <c r="A4" s="63">
        <v>46027.6084352662</v>
      </c>
      <c r="B4" s="2" t="s">
        <v>89</v>
      </c>
      <c r="C4" s="5">
        <v>46027.0</v>
      </c>
      <c r="D4" s="2" t="s">
        <v>19</v>
      </c>
      <c r="E4" s="2" t="s">
        <v>798</v>
      </c>
      <c r="F4" s="2" t="s">
        <v>708</v>
      </c>
      <c r="G4" s="2">
        <v>1.0</v>
      </c>
      <c r="H4" s="2" t="s">
        <v>703</v>
      </c>
      <c r="I4" s="2" t="s">
        <v>709</v>
      </c>
      <c r="K4" s="2">
        <v>0.0</v>
      </c>
      <c r="L4" s="2">
        <v>0.0</v>
      </c>
      <c r="M4" s="2" t="s">
        <v>904</v>
      </c>
      <c r="N4" s="2" t="s">
        <v>24</v>
      </c>
      <c r="Q4" s="9" t="s">
        <v>905</v>
      </c>
    </row>
    <row r="5">
      <c r="A5" s="63">
        <v>46027.6084352662</v>
      </c>
      <c r="B5" s="2" t="s">
        <v>89</v>
      </c>
      <c r="C5" s="5">
        <v>46027.0</v>
      </c>
      <c r="D5" s="2" t="s">
        <v>19</v>
      </c>
      <c r="E5" s="2" t="s">
        <v>798</v>
      </c>
      <c r="F5" s="2" t="s">
        <v>569</v>
      </c>
      <c r="G5" s="2">
        <v>1.0</v>
      </c>
      <c r="H5" s="2" t="s">
        <v>571</v>
      </c>
      <c r="I5" s="2" t="s">
        <v>570</v>
      </c>
      <c r="K5" s="2">
        <v>0.0</v>
      </c>
      <c r="L5" s="2">
        <v>0.0</v>
      </c>
      <c r="M5" s="2" t="s">
        <v>904</v>
      </c>
      <c r="N5" s="2" t="s">
        <v>24</v>
      </c>
      <c r="Q5" s="9" t="s">
        <v>905</v>
      </c>
    </row>
    <row r="6">
      <c r="A6" s="63">
        <v>46027.6084352662</v>
      </c>
      <c r="B6" s="2" t="s">
        <v>89</v>
      </c>
      <c r="C6" s="5">
        <v>46027.0</v>
      </c>
      <c r="D6" s="2" t="s">
        <v>19</v>
      </c>
      <c r="E6" s="2" t="s">
        <v>798</v>
      </c>
      <c r="F6" s="2" t="s">
        <v>572</v>
      </c>
      <c r="G6" s="2">
        <v>1.0</v>
      </c>
      <c r="H6" s="2" t="s">
        <v>884</v>
      </c>
      <c r="I6" s="2" t="s">
        <v>573</v>
      </c>
      <c r="K6" s="2">
        <v>0.0</v>
      </c>
      <c r="L6" s="2">
        <v>0.0</v>
      </c>
      <c r="M6" s="2" t="s">
        <v>904</v>
      </c>
      <c r="N6" s="2" t="s">
        <v>24</v>
      </c>
      <c r="Q6" s="9" t="s">
        <v>905</v>
      </c>
    </row>
    <row r="7">
      <c r="A7" s="63">
        <v>46027.6084352662</v>
      </c>
      <c r="B7" s="2" t="s">
        <v>89</v>
      </c>
      <c r="C7" s="5">
        <v>46027.0</v>
      </c>
      <c r="D7" s="2" t="s">
        <v>19</v>
      </c>
      <c r="E7" s="2" t="s">
        <v>798</v>
      </c>
      <c r="F7" s="2" t="s">
        <v>592</v>
      </c>
      <c r="G7" s="2">
        <v>20.0</v>
      </c>
      <c r="H7" s="2" t="s">
        <v>66</v>
      </c>
      <c r="I7" s="2" t="s">
        <v>593</v>
      </c>
      <c r="K7" s="2">
        <v>0.0</v>
      </c>
      <c r="L7" s="2">
        <v>0.0</v>
      </c>
      <c r="M7" s="2" t="s">
        <v>904</v>
      </c>
      <c r="N7" s="2" t="s">
        <v>24</v>
      </c>
      <c r="Q7" s="9" t="s">
        <v>905</v>
      </c>
    </row>
    <row r="8">
      <c r="A8" s="63">
        <v>46027.6084352662</v>
      </c>
      <c r="B8" s="2" t="s">
        <v>89</v>
      </c>
      <c r="C8" s="5">
        <v>46027.0</v>
      </c>
      <c r="D8" s="2" t="s">
        <v>19</v>
      </c>
      <c r="E8" s="2" t="s">
        <v>798</v>
      </c>
      <c r="F8" s="2" t="s">
        <v>732</v>
      </c>
      <c r="G8" s="2">
        <v>1.0</v>
      </c>
      <c r="H8" s="2" t="s">
        <v>722</v>
      </c>
      <c r="I8" s="2" t="s">
        <v>733</v>
      </c>
      <c r="K8" s="2">
        <v>0.0</v>
      </c>
      <c r="L8" s="2">
        <v>0.0</v>
      </c>
      <c r="M8" s="2" t="s">
        <v>904</v>
      </c>
      <c r="N8" s="2" t="s">
        <v>24</v>
      </c>
      <c r="Q8" s="9" t="s">
        <v>905</v>
      </c>
    </row>
    <row r="9">
      <c r="A9" s="63">
        <v>46027.6084352662</v>
      </c>
      <c r="B9" s="2" t="s">
        <v>89</v>
      </c>
      <c r="C9" s="5">
        <v>46027.0</v>
      </c>
      <c r="D9" s="2" t="s">
        <v>19</v>
      </c>
      <c r="E9" s="2" t="s">
        <v>798</v>
      </c>
      <c r="F9" s="2" t="s">
        <v>624</v>
      </c>
      <c r="G9" s="2">
        <v>30.0</v>
      </c>
      <c r="H9" s="2" t="s">
        <v>66</v>
      </c>
      <c r="I9" s="2" t="s">
        <v>625</v>
      </c>
      <c r="K9" s="2">
        <v>0.0</v>
      </c>
      <c r="L9" s="2">
        <v>0.0</v>
      </c>
      <c r="M9" s="2" t="s">
        <v>904</v>
      </c>
      <c r="N9" s="2" t="s">
        <v>24</v>
      </c>
      <c r="Q9" s="9" t="s">
        <v>905</v>
      </c>
    </row>
    <row r="10">
      <c r="A10" s="63">
        <v>46027.6084352662</v>
      </c>
      <c r="B10" s="2" t="s">
        <v>89</v>
      </c>
      <c r="C10" s="5">
        <v>46027.0</v>
      </c>
      <c r="D10" s="2" t="s">
        <v>19</v>
      </c>
      <c r="E10" s="2" t="s">
        <v>798</v>
      </c>
      <c r="F10" s="2" t="s">
        <v>586</v>
      </c>
      <c r="G10" s="2">
        <v>10.0</v>
      </c>
      <c r="H10" s="2" t="s">
        <v>66</v>
      </c>
      <c r="I10" s="2" t="s">
        <v>587</v>
      </c>
      <c r="K10" s="2">
        <v>0.0</v>
      </c>
      <c r="L10" s="2">
        <v>0.0</v>
      </c>
      <c r="M10" s="2" t="s">
        <v>904</v>
      </c>
      <c r="N10" s="2" t="s">
        <v>24</v>
      </c>
      <c r="Q10" s="9" t="s">
        <v>905</v>
      </c>
    </row>
    <row r="11">
      <c r="A11" s="63">
        <v>46027.6084352662</v>
      </c>
      <c r="B11" s="2" t="s">
        <v>89</v>
      </c>
      <c r="C11" s="5">
        <v>46027.0</v>
      </c>
      <c r="D11" s="2" t="s">
        <v>19</v>
      </c>
      <c r="E11" s="2" t="s">
        <v>798</v>
      </c>
      <c r="F11" s="2" t="s">
        <v>724</v>
      </c>
      <c r="G11" s="2">
        <v>1.0</v>
      </c>
      <c r="H11" s="2" t="s">
        <v>722</v>
      </c>
      <c r="I11" s="2" t="s">
        <v>725</v>
      </c>
      <c r="K11" s="2">
        <v>0.0</v>
      </c>
      <c r="L11" s="2">
        <v>0.0</v>
      </c>
      <c r="M11" s="2" t="s">
        <v>904</v>
      </c>
      <c r="N11" s="2" t="s">
        <v>24</v>
      </c>
      <c r="Q11" s="9" t="s">
        <v>905</v>
      </c>
    </row>
    <row r="12">
      <c r="A12" s="63">
        <v>46027.6084352662</v>
      </c>
      <c r="B12" s="2" t="s">
        <v>89</v>
      </c>
      <c r="C12" s="5">
        <v>46027.0</v>
      </c>
      <c r="D12" s="2" t="s">
        <v>19</v>
      </c>
      <c r="E12" s="2" t="s">
        <v>798</v>
      </c>
      <c r="F12" s="2" t="s">
        <v>728</v>
      </c>
      <c r="G12" s="2">
        <v>1.0</v>
      </c>
      <c r="H12" s="2" t="s">
        <v>836</v>
      </c>
      <c r="I12" s="2" t="s">
        <v>729</v>
      </c>
      <c r="K12" s="2">
        <v>0.0</v>
      </c>
      <c r="L12" s="2">
        <v>0.0</v>
      </c>
      <c r="M12" s="2" t="s">
        <v>904</v>
      </c>
      <c r="N12" s="2" t="s">
        <v>24</v>
      </c>
      <c r="Q12" s="9" t="s">
        <v>905</v>
      </c>
    </row>
    <row r="13">
      <c r="A13" s="63">
        <v>46027.6084352662</v>
      </c>
      <c r="B13" s="2" t="s">
        <v>89</v>
      </c>
      <c r="C13" s="5">
        <v>46027.0</v>
      </c>
      <c r="D13" s="2" t="s">
        <v>19</v>
      </c>
      <c r="E13" s="2" t="s">
        <v>798</v>
      </c>
      <c r="F13" s="2" t="s">
        <v>730</v>
      </c>
      <c r="G13" s="2">
        <v>1.0</v>
      </c>
      <c r="H13" s="2" t="s">
        <v>722</v>
      </c>
      <c r="I13" s="2" t="s">
        <v>731</v>
      </c>
      <c r="K13" s="2">
        <v>0.0</v>
      </c>
      <c r="L13" s="2">
        <v>0.0</v>
      </c>
      <c r="M13" s="2" t="s">
        <v>904</v>
      </c>
      <c r="N13" s="2" t="s">
        <v>24</v>
      </c>
      <c r="Q13" s="9" t="s">
        <v>905</v>
      </c>
    </row>
    <row r="14">
      <c r="A14" s="63">
        <v>46027.6084352662</v>
      </c>
      <c r="B14" s="2" t="s">
        <v>89</v>
      </c>
      <c r="C14" s="5">
        <v>46027.0</v>
      </c>
      <c r="D14" s="2" t="s">
        <v>19</v>
      </c>
      <c r="E14" s="2" t="s">
        <v>798</v>
      </c>
      <c r="F14" s="2" t="s">
        <v>690</v>
      </c>
      <c r="G14" s="2">
        <v>6.0</v>
      </c>
      <c r="H14" s="2" t="s">
        <v>66</v>
      </c>
      <c r="I14" s="2" t="s">
        <v>691</v>
      </c>
      <c r="K14" s="2">
        <v>0.0</v>
      </c>
      <c r="L14" s="2">
        <v>0.0</v>
      </c>
      <c r="M14" s="2" t="s">
        <v>904</v>
      </c>
      <c r="N14" s="2" t="s">
        <v>24</v>
      </c>
      <c r="Q14" s="9" t="s">
        <v>905</v>
      </c>
    </row>
    <row r="15">
      <c r="A15" s="63">
        <v>46027.6084352662</v>
      </c>
      <c r="B15" s="2" t="s">
        <v>89</v>
      </c>
      <c r="C15" s="5">
        <v>46027.0</v>
      </c>
      <c r="D15" s="2" t="s">
        <v>19</v>
      </c>
      <c r="E15" s="2" t="s">
        <v>798</v>
      </c>
      <c r="F15" s="2" t="s">
        <v>726</v>
      </c>
      <c r="G15" s="2">
        <v>1.0</v>
      </c>
      <c r="H15" s="2" t="s">
        <v>722</v>
      </c>
      <c r="I15" s="2" t="s">
        <v>727</v>
      </c>
      <c r="K15" s="2">
        <v>0.0</v>
      </c>
      <c r="L15" s="2">
        <v>0.0</v>
      </c>
      <c r="M15" s="2" t="s">
        <v>904</v>
      </c>
      <c r="N15" s="2" t="s">
        <v>24</v>
      </c>
      <c r="Q15" s="9" t="s">
        <v>905</v>
      </c>
    </row>
    <row r="16">
      <c r="A16" s="63">
        <v>46027.6084352662</v>
      </c>
      <c r="B16" s="2" t="s">
        <v>89</v>
      </c>
      <c r="C16" s="5">
        <v>46027.0</v>
      </c>
      <c r="D16" s="2" t="s">
        <v>19</v>
      </c>
      <c r="E16" s="2" t="s">
        <v>798</v>
      </c>
      <c r="F16" s="2" t="s">
        <v>701</v>
      </c>
      <c r="G16" s="2">
        <v>1.0</v>
      </c>
      <c r="H16" s="2" t="s">
        <v>703</v>
      </c>
      <c r="I16" s="2" t="s">
        <v>702</v>
      </c>
      <c r="K16" s="2">
        <v>0.0</v>
      </c>
      <c r="L16" s="2">
        <v>0.0</v>
      </c>
      <c r="M16" s="2" t="s">
        <v>904</v>
      </c>
      <c r="N16" s="2" t="s">
        <v>24</v>
      </c>
      <c r="Q16" s="9" t="s">
        <v>905</v>
      </c>
    </row>
    <row r="17">
      <c r="A17" s="63">
        <v>46027.6084352662</v>
      </c>
      <c r="B17" s="2" t="s">
        <v>89</v>
      </c>
      <c r="C17" s="5">
        <v>46027.0</v>
      </c>
      <c r="D17" s="2" t="s">
        <v>19</v>
      </c>
      <c r="E17" s="2" t="s">
        <v>798</v>
      </c>
      <c r="F17" s="2" t="s">
        <v>644</v>
      </c>
      <c r="G17" s="2">
        <v>2.0</v>
      </c>
      <c r="H17" s="2" t="s">
        <v>66</v>
      </c>
      <c r="I17" s="2" t="s">
        <v>645</v>
      </c>
      <c r="K17" s="2">
        <v>0.0</v>
      </c>
      <c r="L17" s="2">
        <v>0.0</v>
      </c>
      <c r="M17" s="2" t="s">
        <v>904</v>
      </c>
      <c r="N17" s="2" t="s">
        <v>24</v>
      </c>
      <c r="Q17" s="9" t="s">
        <v>905</v>
      </c>
    </row>
    <row r="18">
      <c r="A18" s="63">
        <v>46027.6084352662</v>
      </c>
      <c r="B18" s="2" t="s">
        <v>89</v>
      </c>
      <c r="C18" s="5">
        <v>46027.0</v>
      </c>
      <c r="D18" s="2" t="s">
        <v>19</v>
      </c>
      <c r="E18" s="2" t="s">
        <v>798</v>
      </c>
      <c r="F18" s="2" t="s">
        <v>678</v>
      </c>
      <c r="G18" s="2">
        <v>12.0</v>
      </c>
      <c r="H18" s="2" t="s">
        <v>66</v>
      </c>
      <c r="I18" s="2" t="s">
        <v>679</v>
      </c>
      <c r="K18" s="2">
        <v>0.0</v>
      </c>
      <c r="L18" s="2">
        <v>0.0</v>
      </c>
      <c r="M18" s="2" t="s">
        <v>904</v>
      </c>
      <c r="N18" s="2" t="s">
        <v>24</v>
      </c>
      <c r="Q18" s="9" t="s">
        <v>905</v>
      </c>
    </row>
    <row r="19">
      <c r="A19" s="63">
        <v>46027.6084352662</v>
      </c>
      <c r="B19" s="2" t="s">
        <v>89</v>
      </c>
      <c r="C19" s="5">
        <v>46027.0</v>
      </c>
      <c r="D19" s="2" t="s">
        <v>19</v>
      </c>
      <c r="E19" s="2" t="s">
        <v>798</v>
      </c>
      <c r="F19" s="2" t="s">
        <v>682</v>
      </c>
      <c r="G19" s="2">
        <v>1.0</v>
      </c>
      <c r="H19" s="2" t="s">
        <v>21</v>
      </c>
      <c r="I19" s="2" t="s">
        <v>683</v>
      </c>
      <c r="K19" s="2">
        <v>0.0</v>
      </c>
      <c r="L19" s="2">
        <v>0.0</v>
      </c>
      <c r="M19" s="2" t="s">
        <v>904</v>
      </c>
      <c r="N19" s="2" t="s">
        <v>24</v>
      </c>
      <c r="Q19" s="9" t="s">
        <v>905</v>
      </c>
    </row>
    <row r="20">
      <c r="A20" s="63">
        <v>46027.6084352662</v>
      </c>
      <c r="B20" s="2" t="s">
        <v>89</v>
      </c>
      <c r="C20" s="5">
        <v>46027.0</v>
      </c>
      <c r="D20" s="2" t="s">
        <v>19</v>
      </c>
      <c r="E20" s="2" t="s">
        <v>798</v>
      </c>
      <c r="F20" s="2" t="s">
        <v>734</v>
      </c>
      <c r="G20" s="2">
        <v>50.0</v>
      </c>
      <c r="H20" s="2" t="s">
        <v>66</v>
      </c>
      <c r="I20" s="2" t="s">
        <v>735</v>
      </c>
      <c r="K20" s="2">
        <v>0.0</v>
      </c>
      <c r="L20" s="2">
        <v>0.0</v>
      </c>
      <c r="M20" s="2" t="s">
        <v>904</v>
      </c>
      <c r="N20" s="2" t="s">
        <v>24</v>
      </c>
      <c r="Q20" s="9" t="s">
        <v>905</v>
      </c>
    </row>
    <row r="21">
      <c r="A21" s="63">
        <v>46027.6084352662</v>
      </c>
      <c r="B21" s="2" t="s">
        <v>89</v>
      </c>
      <c r="C21" s="5">
        <v>46027.0</v>
      </c>
      <c r="D21" s="2" t="s">
        <v>19</v>
      </c>
      <c r="E21" s="2" t="s">
        <v>798</v>
      </c>
      <c r="F21" s="2" t="s">
        <v>736</v>
      </c>
      <c r="G21" s="2">
        <v>1.0</v>
      </c>
      <c r="H21" s="2" t="s">
        <v>48</v>
      </c>
      <c r="I21" s="2" t="s">
        <v>737</v>
      </c>
      <c r="K21" s="2">
        <v>0.0</v>
      </c>
      <c r="L21" s="2">
        <v>0.0</v>
      </c>
      <c r="M21" s="2" t="s">
        <v>904</v>
      </c>
      <c r="N21" s="2" t="s">
        <v>24</v>
      </c>
      <c r="Q21" s="9" t="s">
        <v>905</v>
      </c>
    </row>
    <row r="22">
      <c r="A22" s="63">
        <v>46027.6084352662</v>
      </c>
      <c r="B22" s="2" t="s">
        <v>89</v>
      </c>
      <c r="C22" s="5">
        <v>46027.0</v>
      </c>
      <c r="D22" s="2" t="s">
        <v>19</v>
      </c>
      <c r="E22" s="2" t="s">
        <v>798</v>
      </c>
      <c r="F22" s="2" t="s">
        <v>764</v>
      </c>
      <c r="G22" s="2">
        <v>3.0</v>
      </c>
      <c r="H22" s="2" t="s">
        <v>822</v>
      </c>
      <c r="I22" s="2" t="s">
        <v>765</v>
      </c>
      <c r="K22" s="2">
        <v>0.0</v>
      </c>
      <c r="L22" s="2">
        <v>0.0</v>
      </c>
      <c r="M22" s="2" t="s">
        <v>904</v>
      </c>
      <c r="N22" s="2" t="s">
        <v>24</v>
      </c>
      <c r="Q22" s="9" t="s">
        <v>905</v>
      </c>
    </row>
    <row r="23">
      <c r="A23" s="63">
        <v>46027.6084352662</v>
      </c>
      <c r="B23" s="2" t="s">
        <v>89</v>
      </c>
      <c r="C23" s="5">
        <v>46027.0</v>
      </c>
      <c r="D23" s="2" t="s">
        <v>19</v>
      </c>
      <c r="E23" s="2" t="s">
        <v>798</v>
      </c>
      <c r="F23" s="2" t="s">
        <v>760</v>
      </c>
      <c r="G23" s="2">
        <v>2.0</v>
      </c>
      <c r="H23" s="2" t="s">
        <v>822</v>
      </c>
      <c r="I23" s="2" t="s">
        <v>761</v>
      </c>
      <c r="K23" s="2">
        <v>0.0</v>
      </c>
      <c r="L23" s="2">
        <v>0.0</v>
      </c>
      <c r="M23" s="2" t="s">
        <v>904</v>
      </c>
      <c r="N23" s="2" t="s">
        <v>24</v>
      </c>
      <c r="Q23" s="9" t="s">
        <v>905</v>
      </c>
    </row>
    <row r="24">
      <c r="A24" s="63">
        <v>46027.6084352662</v>
      </c>
      <c r="B24" s="2" t="s">
        <v>89</v>
      </c>
      <c r="C24" s="5">
        <v>46027.0</v>
      </c>
      <c r="D24" s="2" t="s">
        <v>19</v>
      </c>
      <c r="E24" s="2" t="s">
        <v>798</v>
      </c>
      <c r="F24" s="2" t="s">
        <v>753</v>
      </c>
      <c r="G24" s="2">
        <v>1.0</v>
      </c>
      <c r="H24" s="2" t="s">
        <v>822</v>
      </c>
      <c r="I24" s="2" t="s">
        <v>754</v>
      </c>
      <c r="K24" s="2">
        <v>0.0</v>
      </c>
      <c r="L24" s="2">
        <v>0.0</v>
      </c>
      <c r="M24" s="2" t="s">
        <v>904</v>
      </c>
      <c r="N24" s="2" t="s">
        <v>24</v>
      </c>
      <c r="Q24" s="9" t="s">
        <v>905</v>
      </c>
    </row>
    <row r="25">
      <c r="A25" s="63">
        <v>46027.6084352662</v>
      </c>
      <c r="B25" s="2" t="s">
        <v>89</v>
      </c>
      <c r="C25" s="5">
        <v>46027.0</v>
      </c>
      <c r="D25" s="2" t="s">
        <v>19</v>
      </c>
      <c r="E25" s="2" t="s">
        <v>798</v>
      </c>
      <c r="F25" s="2" t="s">
        <v>596</v>
      </c>
      <c r="G25" s="2">
        <v>5.0</v>
      </c>
      <c r="H25" s="2" t="s">
        <v>66</v>
      </c>
      <c r="I25" s="2" t="s">
        <v>597</v>
      </c>
      <c r="K25" s="2">
        <v>0.0</v>
      </c>
      <c r="L25" s="2">
        <v>0.0</v>
      </c>
      <c r="M25" s="2" t="s">
        <v>904</v>
      </c>
      <c r="N25" s="2" t="s">
        <v>24</v>
      </c>
      <c r="Q25" s="9" t="s">
        <v>905</v>
      </c>
    </row>
    <row r="26">
      <c r="A26" s="63">
        <v>46027.6084352662</v>
      </c>
      <c r="B26" s="2" t="s">
        <v>89</v>
      </c>
      <c r="C26" s="5">
        <v>46027.0</v>
      </c>
      <c r="D26" s="2" t="s">
        <v>19</v>
      </c>
      <c r="E26" s="2" t="s">
        <v>798</v>
      </c>
      <c r="F26" s="2" t="s">
        <v>610</v>
      </c>
      <c r="G26" s="2">
        <v>1.0</v>
      </c>
      <c r="H26" s="2" t="s">
        <v>21</v>
      </c>
      <c r="I26" s="2" t="s">
        <v>611</v>
      </c>
      <c r="K26" s="2">
        <v>0.0</v>
      </c>
      <c r="L26" s="2">
        <v>0.0</v>
      </c>
      <c r="M26" s="2" t="s">
        <v>904</v>
      </c>
      <c r="N26" s="2" t="s">
        <v>24</v>
      </c>
      <c r="Q26" s="9" t="s">
        <v>905</v>
      </c>
    </row>
    <row r="27">
      <c r="A27" s="63">
        <v>46027.6084352662</v>
      </c>
      <c r="B27" s="2" t="s">
        <v>89</v>
      </c>
      <c r="C27" s="5">
        <v>46027.0</v>
      </c>
      <c r="D27" s="2" t="s">
        <v>19</v>
      </c>
      <c r="E27" s="2" t="s">
        <v>798</v>
      </c>
      <c r="F27" s="2" t="s">
        <v>744</v>
      </c>
      <c r="G27" s="2">
        <v>1.0</v>
      </c>
      <c r="H27" s="2" t="s">
        <v>868</v>
      </c>
      <c r="I27" s="2" t="s">
        <v>745</v>
      </c>
      <c r="K27" s="2">
        <v>0.0</v>
      </c>
      <c r="L27" s="2">
        <v>0.0</v>
      </c>
      <c r="M27" s="2" t="s">
        <v>904</v>
      </c>
      <c r="N27" s="2" t="s">
        <v>24</v>
      </c>
      <c r="Q27" s="9" t="s">
        <v>905</v>
      </c>
    </row>
    <row r="28">
      <c r="A28" s="63">
        <v>46036.66589063658</v>
      </c>
      <c r="B28" s="2" t="s">
        <v>89</v>
      </c>
      <c r="C28" s="5">
        <v>46036.0</v>
      </c>
      <c r="D28" s="2" t="s">
        <v>19</v>
      </c>
      <c r="E28" s="2" t="s">
        <v>798</v>
      </c>
      <c r="F28" s="2" t="s">
        <v>582</v>
      </c>
      <c r="G28" s="2">
        <v>1.0</v>
      </c>
      <c r="H28" s="2" t="s">
        <v>21</v>
      </c>
      <c r="I28" s="2" t="s">
        <v>583</v>
      </c>
      <c r="K28" s="2">
        <v>0.0</v>
      </c>
      <c r="L28" s="2">
        <v>0.0</v>
      </c>
      <c r="M28" s="2" t="s">
        <v>89</v>
      </c>
      <c r="N28" s="2" t="s">
        <v>24</v>
      </c>
      <c r="Q28" s="9" t="s">
        <v>906</v>
      </c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</sheetData>
  <dataValidations>
    <dataValidation type="list" allowBlank="1" showErrorMessage="1" sqref="N1:N960">
      <formula1>"Approved,Pending"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</hyperlinks>
  <drawing r:id="rId28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9.25"/>
    <col customWidth="1" min="3" max="3" width="9.5"/>
    <col customWidth="1" min="4" max="4" width="18.63"/>
    <col customWidth="1" min="5" max="5" width="15.75"/>
    <col customWidth="1" min="6" max="6" width="7.63"/>
    <col customWidth="1" min="7" max="7" width="3.63"/>
    <col customWidth="1" min="8" max="8" width="5.88"/>
    <col customWidth="1" min="9" max="9" width="29.63"/>
    <col customWidth="1" min="10" max="10" width="6.0"/>
    <col customWidth="1" min="11" max="11" width="6.75"/>
    <col customWidth="1" min="12" max="12" width="4.5"/>
    <col customWidth="1" min="13" max="13" width="19.38"/>
    <col customWidth="1" min="14" max="14" width="12.63"/>
    <col customWidth="1" min="15" max="15" width="11.13"/>
    <col customWidth="1" min="16" max="16" width="10.38"/>
    <col customWidth="1" min="17" max="17" width="68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46029.675640393514</v>
      </c>
      <c r="B2" s="2" t="s">
        <v>51</v>
      </c>
      <c r="C2" s="5">
        <v>46027.0</v>
      </c>
      <c r="D2" s="2" t="s">
        <v>19</v>
      </c>
      <c r="E2" s="2" t="s">
        <v>798</v>
      </c>
      <c r="F2" s="2" t="s">
        <v>569</v>
      </c>
      <c r="G2" s="2">
        <v>1.0</v>
      </c>
      <c r="H2" s="2" t="s">
        <v>571</v>
      </c>
      <c r="I2" s="2" t="s">
        <v>570</v>
      </c>
      <c r="K2" s="2">
        <v>0.0</v>
      </c>
      <c r="L2" s="2">
        <v>0.0</v>
      </c>
      <c r="M2" s="2" t="s">
        <v>288</v>
      </c>
      <c r="N2" s="2" t="s">
        <v>24</v>
      </c>
      <c r="Q2" s="9" t="s">
        <v>907</v>
      </c>
    </row>
    <row r="3">
      <c r="A3" s="63">
        <v>46029.675640393514</v>
      </c>
      <c r="B3" s="2" t="s">
        <v>51</v>
      </c>
      <c r="C3" s="5">
        <v>46027.0</v>
      </c>
      <c r="D3" s="2" t="s">
        <v>19</v>
      </c>
      <c r="E3" s="2" t="s">
        <v>798</v>
      </c>
      <c r="F3" s="2" t="s">
        <v>592</v>
      </c>
      <c r="G3" s="2">
        <v>20.0</v>
      </c>
      <c r="H3" s="2" t="s">
        <v>66</v>
      </c>
      <c r="I3" s="2" t="s">
        <v>593</v>
      </c>
      <c r="K3" s="2">
        <v>0.0</v>
      </c>
      <c r="L3" s="2">
        <v>0.0</v>
      </c>
      <c r="M3" s="2" t="s">
        <v>288</v>
      </c>
      <c r="N3" s="2" t="s">
        <v>24</v>
      </c>
      <c r="Q3" s="9" t="s">
        <v>907</v>
      </c>
    </row>
    <row r="4">
      <c r="A4" s="63">
        <v>46029.675640393514</v>
      </c>
      <c r="B4" s="2" t="s">
        <v>51</v>
      </c>
      <c r="C4" s="5">
        <v>46027.0</v>
      </c>
      <c r="D4" s="2" t="s">
        <v>19</v>
      </c>
      <c r="E4" s="2" t="s">
        <v>798</v>
      </c>
      <c r="F4" s="2" t="s">
        <v>367</v>
      </c>
      <c r="G4" s="2">
        <v>1.0</v>
      </c>
      <c r="H4" s="2" t="s">
        <v>722</v>
      </c>
      <c r="I4" s="2" t="s">
        <v>723</v>
      </c>
      <c r="K4" s="2">
        <v>0.0</v>
      </c>
      <c r="L4" s="2">
        <v>0.0</v>
      </c>
      <c r="M4" s="2" t="s">
        <v>288</v>
      </c>
      <c r="N4" s="2" t="s">
        <v>24</v>
      </c>
      <c r="Q4" s="9" t="s">
        <v>907</v>
      </c>
    </row>
    <row r="5">
      <c r="A5" s="63">
        <v>46029.675640393514</v>
      </c>
      <c r="B5" s="2" t="s">
        <v>51</v>
      </c>
      <c r="C5" s="5">
        <v>46027.0</v>
      </c>
      <c r="D5" s="2" t="s">
        <v>19</v>
      </c>
      <c r="E5" s="2" t="s">
        <v>798</v>
      </c>
      <c r="F5" s="2" t="s">
        <v>622</v>
      </c>
      <c r="G5" s="2">
        <v>3.0</v>
      </c>
      <c r="H5" s="2" t="s">
        <v>66</v>
      </c>
      <c r="I5" s="2" t="s">
        <v>623</v>
      </c>
      <c r="K5" s="2">
        <v>0.0</v>
      </c>
      <c r="L5" s="2">
        <v>0.0</v>
      </c>
      <c r="M5" s="2" t="s">
        <v>288</v>
      </c>
      <c r="N5" s="2" t="s">
        <v>24</v>
      </c>
      <c r="Q5" s="9" t="s">
        <v>907</v>
      </c>
    </row>
    <row r="6">
      <c r="A6" s="63">
        <v>46029.675640393514</v>
      </c>
      <c r="B6" s="2" t="s">
        <v>51</v>
      </c>
      <c r="C6" s="5">
        <v>46027.0</v>
      </c>
      <c r="D6" s="2" t="s">
        <v>19</v>
      </c>
      <c r="E6" s="2" t="s">
        <v>798</v>
      </c>
      <c r="F6" s="2" t="s">
        <v>606</v>
      </c>
      <c r="G6" s="2">
        <v>6.0</v>
      </c>
      <c r="H6" s="2" t="s">
        <v>66</v>
      </c>
      <c r="I6" s="2" t="s">
        <v>607</v>
      </c>
      <c r="K6" s="2">
        <v>0.0</v>
      </c>
      <c r="L6" s="2">
        <v>0.0</v>
      </c>
      <c r="M6" s="2" t="s">
        <v>288</v>
      </c>
      <c r="N6" s="2" t="s">
        <v>24</v>
      </c>
      <c r="Q6" s="9" t="s">
        <v>907</v>
      </c>
    </row>
    <row r="7">
      <c r="A7" s="63">
        <v>46029.675640393514</v>
      </c>
      <c r="B7" s="2" t="s">
        <v>51</v>
      </c>
      <c r="C7" s="5">
        <v>46027.0</v>
      </c>
      <c r="D7" s="2" t="s">
        <v>19</v>
      </c>
      <c r="E7" s="2" t="s">
        <v>798</v>
      </c>
      <c r="F7" s="2" t="s">
        <v>608</v>
      </c>
      <c r="G7" s="2">
        <v>3.0</v>
      </c>
      <c r="H7" s="2" t="s">
        <v>66</v>
      </c>
      <c r="I7" s="2" t="s">
        <v>609</v>
      </c>
      <c r="K7" s="2">
        <v>0.0</v>
      </c>
      <c r="L7" s="2">
        <v>0.0</v>
      </c>
      <c r="M7" s="2" t="s">
        <v>288</v>
      </c>
      <c r="N7" s="2" t="s">
        <v>24</v>
      </c>
      <c r="Q7" s="9" t="s">
        <v>907</v>
      </c>
    </row>
    <row r="8">
      <c r="A8" s="63">
        <v>46029.675640393514</v>
      </c>
      <c r="B8" s="2" t="s">
        <v>51</v>
      </c>
      <c r="C8" s="5">
        <v>46027.0</v>
      </c>
      <c r="D8" s="2" t="s">
        <v>19</v>
      </c>
      <c r="E8" s="2" t="s">
        <v>798</v>
      </c>
      <c r="F8" s="2" t="s">
        <v>748</v>
      </c>
      <c r="G8" s="2">
        <v>1.0</v>
      </c>
      <c r="H8" s="2" t="s">
        <v>48</v>
      </c>
      <c r="I8" s="2" t="s">
        <v>749</v>
      </c>
      <c r="K8" s="2">
        <v>0.0</v>
      </c>
      <c r="L8" s="2">
        <v>0.0</v>
      </c>
      <c r="M8" s="2" t="s">
        <v>288</v>
      </c>
      <c r="N8" s="2" t="s">
        <v>837</v>
      </c>
      <c r="Q8" s="9" t="s">
        <v>907</v>
      </c>
    </row>
    <row r="9">
      <c r="A9" s="63">
        <v>46029.675640393514</v>
      </c>
      <c r="B9" s="2" t="s">
        <v>51</v>
      </c>
      <c r="C9" s="5">
        <v>46027.0</v>
      </c>
      <c r="D9" s="2" t="s">
        <v>19</v>
      </c>
      <c r="E9" s="2" t="s">
        <v>798</v>
      </c>
      <c r="F9" s="2" t="s">
        <v>614</v>
      </c>
      <c r="G9" s="2">
        <v>1.0</v>
      </c>
      <c r="H9" s="2" t="s">
        <v>21</v>
      </c>
      <c r="I9" s="2" t="s">
        <v>615</v>
      </c>
      <c r="K9" s="2">
        <v>0.0</v>
      </c>
      <c r="L9" s="2">
        <v>0.0</v>
      </c>
      <c r="M9" s="2" t="s">
        <v>288</v>
      </c>
      <c r="N9" s="2" t="s">
        <v>24</v>
      </c>
      <c r="Q9" s="9" t="s">
        <v>907</v>
      </c>
    </row>
    <row r="10">
      <c r="A10" s="63">
        <v>46029.675640393514</v>
      </c>
      <c r="B10" s="2" t="s">
        <v>51</v>
      </c>
      <c r="C10" s="5">
        <v>46027.0</v>
      </c>
      <c r="D10" s="2" t="s">
        <v>19</v>
      </c>
      <c r="E10" s="2" t="s">
        <v>798</v>
      </c>
      <c r="F10" s="2" t="s">
        <v>678</v>
      </c>
      <c r="G10" s="2">
        <v>12.0</v>
      </c>
      <c r="H10" s="2" t="s">
        <v>66</v>
      </c>
      <c r="I10" s="2" t="s">
        <v>679</v>
      </c>
      <c r="K10" s="2">
        <v>0.0</v>
      </c>
      <c r="L10" s="2">
        <v>0.0</v>
      </c>
      <c r="M10" s="2" t="s">
        <v>288</v>
      </c>
      <c r="N10" s="2" t="s">
        <v>24</v>
      </c>
      <c r="Q10" s="9" t="s">
        <v>907</v>
      </c>
    </row>
    <row r="11">
      <c r="A11" s="63">
        <v>46029.675640393514</v>
      </c>
      <c r="B11" s="2" t="s">
        <v>51</v>
      </c>
      <c r="C11" s="5">
        <v>46027.0</v>
      </c>
      <c r="D11" s="2" t="s">
        <v>19</v>
      </c>
      <c r="E11" s="2" t="s">
        <v>798</v>
      </c>
      <c r="F11" s="2" t="s">
        <v>760</v>
      </c>
      <c r="G11" s="2">
        <v>1.0</v>
      </c>
      <c r="H11" s="2" t="s">
        <v>755</v>
      </c>
      <c r="I11" s="2" t="s">
        <v>761</v>
      </c>
      <c r="K11" s="2">
        <v>0.0</v>
      </c>
      <c r="L11" s="2">
        <v>0.0</v>
      </c>
      <c r="M11" s="2" t="s">
        <v>288</v>
      </c>
      <c r="N11" s="2" t="s">
        <v>837</v>
      </c>
      <c r="Q11" s="9" t="s">
        <v>907</v>
      </c>
    </row>
    <row r="12">
      <c r="A12" s="63">
        <v>46029.675640393514</v>
      </c>
      <c r="B12" s="2" t="s">
        <v>51</v>
      </c>
      <c r="C12" s="5">
        <v>46027.0</v>
      </c>
      <c r="D12" s="2" t="s">
        <v>19</v>
      </c>
      <c r="E12" s="2" t="s">
        <v>798</v>
      </c>
      <c r="F12" s="2" t="s">
        <v>756</v>
      </c>
      <c r="G12" s="2">
        <v>1.0</v>
      </c>
      <c r="H12" s="2" t="s">
        <v>755</v>
      </c>
      <c r="I12" s="2" t="s">
        <v>757</v>
      </c>
      <c r="K12" s="2">
        <v>0.0</v>
      </c>
      <c r="L12" s="2">
        <v>0.0</v>
      </c>
      <c r="M12" s="2" t="s">
        <v>288</v>
      </c>
      <c r="N12" s="2" t="s">
        <v>24</v>
      </c>
      <c r="Q12" s="9" t="s">
        <v>907</v>
      </c>
    </row>
    <row r="13">
      <c r="A13" s="63">
        <v>46029.675640393514</v>
      </c>
      <c r="B13" s="2" t="s">
        <v>51</v>
      </c>
      <c r="C13" s="5">
        <v>46027.0</v>
      </c>
      <c r="D13" s="2" t="s">
        <v>19</v>
      </c>
      <c r="E13" s="2" t="s">
        <v>798</v>
      </c>
      <c r="F13" s="2" t="s">
        <v>580</v>
      </c>
      <c r="G13" s="2">
        <v>20.0</v>
      </c>
      <c r="H13" s="2" t="s">
        <v>66</v>
      </c>
      <c r="I13" s="2" t="s">
        <v>581</v>
      </c>
      <c r="K13" s="2">
        <v>0.0</v>
      </c>
      <c r="L13" s="2">
        <v>0.0</v>
      </c>
      <c r="M13" s="2" t="s">
        <v>288</v>
      </c>
      <c r="N13" s="2" t="s">
        <v>24</v>
      </c>
      <c r="Q13" s="9" t="s">
        <v>907</v>
      </c>
    </row>
    <row r="14">
      <c r="A14" s="63">
        <v>46029.675640393514</v>
      </c>
      <c r="B14" s="2" t="s">
        <v>51</v>
      </c>
      <c r="C14" s="5">
        <v>46027.0</v>
      </c>
      <c r="D14" s="2" t="s">
        <v>19</v>
      </c>
      <c r="E14" s="2" t="s">
        <v>798</v>
      </c>
      <c r="F14" s="2" t="s">
        <v>744</v>
      </c>
      <c r="G14" s="2">
        <v>1.0</v>
      </c>
      <c r="H14" s="2" t="s">
        <v>868</v>
      </c>
      <c r="I14" s="2" t="s">
        <v>745</v>
      </c>
      <c r="K14" s="2">
        <v>0.0</v>
      </c>
      <c r="L14" s="2">
        <v>0.0</v>
      </c>
      <c r="M14" s="2" t="s">
        <v>288</v>
      </c>
      <c r="N14" s="2" t="s">
        <v>24</v>
      </c>
      <c r="Q14" s="9" t="s">
        <v>907</v>
      </c>
    </row>
    <row r="15">
      <c r="A15" s="63">
        <v>46035.45484173611</v>
      </c>
      <c r="B15" s="2" t="s">
        <v>51</v>
      </c>
      <c r="C15" s="5">
        <v>46035.0</v>
      </c>
      <c r="D15" s="2" t="s">
        <v>19</v>
      </c>
      <c r="E15" s="2" t="s">
        <v>798</v>
      </c>
      <c r="F15" s="2" t="s">
        <v>572</v>
      </c>
      <c r="G15" s="2">
        <v>1.0</v>
      </c>
      <c r="H15" s="2" t="s">
        <v>571</v>
      </c>
      <c r="I15" s="2" t="s">
        <v>573</v>
      </c>
      <c r="K15" s="2">
        <v>0.0</v>
      </c>
      <c r="L15" s="2">
        <v>0.0</v>
      </c>
      <c r="M15" s="2" t="s">
        <v>406</v>
      </c>
      <c r="N15" s="2" t="s">
        <v>24</v>
      </c>
      <c r="Q15" s="9" t="s">
        <v>908</v>
      </c>
    </row>
    <row r="16">
      <c r="A16" s="63">
        <v>46035.45484173611</v>
      </c>
      <c r="B16" s="2" t="s">
        <v>51</v>
      </c>
      <c r="C16" s="5">
        <v>46035.0</v>
      </c>
      <c r="D16" s="2" t="s">
        <v>19</v>
      </c>
      <c r="E16" s="2" t="s">
        <v>798</v>
      </c>
      <c r="F16" s="2" t="s">
        <v>750</v>
      </c>
      <c r="G16" s="2">
        <v>1.0</v>
      </c>
      <c r="H16" s="2" t="s">
        <v>841</v>
      </c>
      <c r="I16" s="2" t="s">
        <v>751</v>
      </c>
      <c r="K16" s="2">
        <v>0.0</v>
      </c>
      <c r="L16" s="2">
        <v>0.0</v>
      </c>
      <c r="M16" s="2" t="s">
        <v>406</v>
      </c>
      <c r="N16" s="2" t="s">
        <v>24</v>
      </c>
      <c r="Q16" s="9" t="s">
        <v>908</v>
      </c>
    </row>
    <row r="17">
      <c r="A17" s="63">
        <v>46035.45484173611</v>
      </c>
      <c r="B17" s="2" t="s">
        <v>51</v>
      </c>
      <c r="C17" s="5">
        <v>46035.0</v>
      </c>
      <c r="D17" s="2" t="s">
        <v>19</v>
      </c>
      <c r="E17" s="2" t="s">
        <v>798</v>
      </c>
      <c r="F17" s="2" t="s">
        <v>634</v>
      </c>
      <c r="G17" s="2">
        <v>1.0</v>
      </c>
      <c r="H17" s="2" t="s">
        <v>21</v>
      </c>
      <c r="I17" s="2" t="s">
        <v>635</v>
      </c>
      <c r="K17" s="2">
        <v>0.0</v>
      </c>
      <c r="L17" s="2">
        <v>0.0</v>
      </c>
      <c r="M17" s="2" t="s">
        <v>406</v>
      </c>
      <c r="N17" s="2" t="s">
        <v>24</v>
      </c>
      <c r="Q17" s="9" t="s">
        <v>908</v>
      </c>
    </row>
    <row r="18">
      <c r="A18" s="63">
        <v>46035.45484173611</v>
      </c>
      <c r="B18" s="2" t="s">
        <v>51</v>
      </c>
      <c r="C18" s="5">
        <v>46035.0</v>
      </c>
      <c r="D18" s="2" t="s">
        <v>19</v>
      </c>
      <c r="E18" s="2" t="s">
        <v>798</v>
      </c>
      <c r="F18" s="2" t="s">
        <v>612</v>
      </c>
      <c r="G18" s="2">
        <v>1.0</v>
      </c>
      <c r="H18" s="2" t="s">
        <v>21</v>
      </c>
      <c r="I18" s="2" t="s">
        <v>613</v>
      </c>
      <c r="K18" s="2">
        <v>0.0</v>
      </c>
      <c r="L18" s="2">
        <v>0.0</v>
      </c>
      <c r="M18" s="2" t="s">
        <v>406</v>
      </c>
      <c r="N18" s="2" t="s">
        <v>837</v>
      </c>
      <c r="Q18" s="9" t="s">
        <v>908</v>
      </c>
    </row>
    <row r="19">
      <c r="A19" s="63">
        <v>46035.45484173611</v>
      </c>
      <c r="B19" s="2" t="s">
        <v>51</v>
      </c>
      <c r="C19" s="5">
        <v>46035.0</v>
      </c>
      <c r="D19" s="2" t="s">
        <v>19</v>
      </c>
      <c r="E19" s="2" t="s">
        <v>798</v>
      </c>
      <c r="F19" s="2" t="s">
        <v>738</v>
      </c>
      <c r="G19" s="2">
        <v>1.0</v>
      </c>
      <c r="H19" s="2" t="s">
        <v>48</v>
      </c>
      <c r="I19" s="2" t="s">
        <v>739</v>
      </c>
      <c r="K19" s="2">
        <v>0.0</v>
      </c>
      <c r="L19" s="2">
        <v>0.0</v>
      </c>
      <c r="M19" s="2" t="s">
        <v>406</v>
      </c>
      <c r="N19" s="2" t="s">
        <v>24</v>
      </c>
      <c r="Q19" s="9" t="s">
        <v>908</v>
      </c>
    </row>
    <row r="20">
      <c r="A20" s="63">
        <v>46043.65773872685</v>
      </c>
      <c r="B20" s="2" t="s">
        <v>51</v>
      </c>
      <c r="C20" s="5">
        <v>46043.0</v>
      </c>
      <c r="D20" s="2" t="s">
        <v>19</v>
      </c>
      <c r="E20" s="2" t="s">
        <v>798</v>
      </c>
      <c r="F20" s="2" t="s">
        <v>678</v>
      </c>
      <c r="G20" s="2">
        <v>6.0</v>
      </c>
      <c r="H20" s="2" t="s">
        <v>66</v>
      </c>
      <c r="I20" s="2" t="s">
        <v>679</v>
      </c>
      <c r="K20" s="2">
        <v>0.0</v>
      </c>
      <c r="L20" s="2">
        <v>0.0</v>
      </c>
      <c r="M20" s="2" t="s">
        <v>477</v>
      </c>
      <c r="N20" s="2" t="s">
        <v>24</v>
      </c>
      <c r="Q20" s="9" t="s">
        <v>909</v>
      </c>
    </row>
    <row r="21">
      <c r="A21" s="63">
        <v>46043.65773872685</v>
      </c>
      <c r="B21" s="2" t="s">
        <v>51</v>
      </c>
      <c r="C21" s="5">
        <v>46043.0</v>
      </c>
      <c r="D21" s="2" t="s">
        <v>19</v>
      </c>
      <c r="E21" s="2" t="s">
        <v>798</v>
      </c>
      <c r="F21" s="2" t="s">
        <v>640</v>
      </c>
      <c r="G21" s="2">
        <v>2.0</v>
      </c>
      <c r="H21" s="2" t="s">
        <v>66</v>
      </c>
      <c r="I21" s="2" t="s">
        <v>641</v>
      </c>
      <c r="K21" s="2">
        <v>0.0</v>
      </c>
      <c r="L21" s="2">
        <v>0.0</v>
      </c>
      <c r="M21" s="2" t="s">
        <v>477</v>
      </c>
      <c r="N21" s="2" t="s">
        <v>24</v>
      </c>
      <c r="Q21" s="9" t="s">
        <v>909</v>
      </c>
    </row>
    <row r="22">
      <c r="A22" s="63">
        <v>46043.65773872685</v>
      </c>
      <c r="B22" s="2" t="s">
        <v>51</v>
      </c>
      <c r="C22" s="5">
        <v>46043.0</v>
      </c>
      <c r="D22" s="2" t="s">
        <v>19</v>
      </c>
      <c r="E22" s="2" t="s">
        <v>798</v>
      </c>
      <c r="F22" s="2" t="s">
        <v>760</v>
      </c>
      <c r="G22" s="2">
        <v>1.0</v>
      </c>
      <c r="H22" s="2" t="s">
        <v>755</v>
      </c>
      <c r="I22" s="2" t="s">
        <v>761</v>
      </c>
      <c r="K22" s="2">
        <v>0.0</v>
      </c>
      <c r="L22" s="2">
        <v>0.0</v>
      </c>
      <c r="M22" s="2" t="s">
        <v>477</v>
      </c>
      <c r="N22" s="2" t="s">
        <v>24</v>
      </c>
      <c r="Q22" s="9" t="s">
        <v>909</v>
      </c>
    </row>
    <row r="23">
      <c r="A23" s="63">
        <v>46043.65773872685</v>
      </c>
      <c r="B23" s="2" t="s">
        <v>51</v>
      </c>
      <c r="C23" s="5">
        <v>46043.0</v>
      </c>
      <c r="D23" s="2" t="s">
        <v>19</v>
      </c>
      <c r="E23" s="2" t="s">
        <v>798</v>
      </c>
      <c r="F23" s="2" t="s">
        <v>762</v>
      </c>
      <c r="G23" s="2">
        <v>1.0</v>
      </c>
      <c r="H23" s="2" t="s">
        <v>822</v>
      </c>
      <c r="I23" s="2" t="s">
        <v>763</v>
      </c>
      <c r="K23" s="2">
        <v>0.0</v>
      </c>
      <c r="L23" s="2">
        <v>0.0</v>
      </c>
      <c r="M23" s="2" t="s">
        <v>477</v>
      </c>
      <c r="N23" s="2" t="s">
        <v>24</v>
      </c>
      <c r="Q23" s="9" t="s">
        <v>909</v>
      </c>
    </row>
    <row r="24">
      <c r="A24" s="63">
        <v>46043.65773872685</v>
      </c>
      <c r="B24" s="2" t="s">
        <v>51</v>
      </c>
      <c r="C24" s="5">
        <v>46043.0</v>
      </c>
      <c r="D24" s="2" t="s">
        <v>19</v>
      </c>
      <c r="E24" s="2" t="s">
        <v>798</v>
      </c>
      <c r="F24" s="2" t="s">
        <v>744</v>
      </c>
      <c r="G24" s="2">
        <v>1.0</v>
      </c>
      <c r="H24" s="2" t="s">
        <v>48</v>
      </c>
      <c r="I24" s="2" t="s">
        <v>745</v>
      </c>
      <c r="K24" s="2">
        <v>0.0</v>
      </c>
      <c r="L24" s="2">
        <v>0.0</v>
      </c>
      <c r="M24" s="2" t="s">
        <v>477</v>
      </c>
      <c r="N24" s="2" t="s">
        <v>24</v>
      </c>
      <c r="Q24" s="9" t="s">
        <v>909</v>
      </c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</sheetData>
  <dataValidations>
    <dataValidation type="list" allowBlank="1" showErrorMessage="1" sqref="N1:N968">
      <formula1>"Approved,Pending,No Stock"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</hyperlinks>
  <drawing r:id="rId24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6.5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5.88"/>
    <col customWidth="1" min="9" max="9" width="33.0"/>
    <col customWidth="1" min="10" max="10" width="6.0"/>
    <col customWidth="1" min="11" max="11" width="6.75"/>
    <col customWidth="1" min="12" max="12" width="4.5"/>
    <col customWidth="1" min="13" max="13" width="16.5"/>
    <col customWidth="1" min="14" max="14" width="13.0"/>
    <col customWidth="1" min="15" max="15" width="11.13"/>
    <col customWidth="1" min="16" max="16" width="10.38"/>
    <col customWidth="1" min="17" max="17" width="71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46034.438426712964</v>
      </c>
      <c r="B2" s="2" t="s">
        <v>62</v>
      </c>
      <c r="C2" s="5">
        <v>46034.0</v>
      </c>
      <c r="D2" s="2" t="s">
        <v>19</v>
      </c>
      <c r="E2" s="2" t="s">
        <v>798</v>
      </c>
      <c r="F2" s="2" t="s">
        <v>569</v>
      </c>
      <c r="G2" s="2">
        <v>1.0</v>
      </c>
      <c r="H2" s="2" t="s">
        <v>571</v>
      </c>
      <c r="I2" s="2" t="s">
        <v>570</v>
      </c>
      <c r="K2" s="2">
        <v>0.0</v>
      </c>
      <c r="L2" s="2">
        <v>0.0</v>
      </c>
      <c r="M2" s="2" t="s">
        <v>457</v>
      </c>
      <c r="N2" s="2" t="s">
        <v>24</v>
      </c>
      <c r="Q2" s="9" t="s">
        <v>910</v>
      </c>
    </row>
    <row r="3">
      <c r="A3" s="63">
        <v>46034.438426712964</v>
      </c>
      <c r="B3" s="2" t="s">
        <v>62</v>
      </c>
      <c r="C3" s="5">
        <v>46034.0</v>
      </c>
      <c r="D3" s="2" t="s">
        <v>19</v>
      </c>
      <c r="E3" s="2" t="s">
        <v>798</v>
      </c>
      <c r="F3" s="2" t="s">
        <v>572</v>
      </c>
      <c r="G3" s="2">
        <v>1.0</v>
      </c>
      <c r="H3" s="2" t="s">
        <v>571</v>
      </c>
      <c r="I3" s="2" t="s">
        <v>573</v>
      </c>
      <c r="K3" s="2">
        <v>0.0</v>
      </c>
      <c r="L3" s="2">
        <v>0.0</v>
      </c>
      <c r="M3" s="2" t="s">
        <v>457</v>
      </c>
      <c r="N3" s="2" t="s">
        <v>24</v>
      </c>
      <c r="Q3" s="9" t="s">
        <v>910</v>
      </c>
    </row>
    <row r="4">
      <c r="A4" s="63">
        <v>46034.438426712964</v>
      </c>
      <c r="B4" s="2" t="s">
        <v>62</v>
      </c>
      <c r="C4" s="5">
        <v>46034.0</v>
      </c>
      <c r="D4" s="2" t="s">
        <v>19</v>
      </c>
      <c r="E4" s="2" t="s">
        <v>798</v>
      </c>
      <c r="F4" s="2" t="s">
        <v>592</v>
      </c>
      <c r="G4" s="2">
        <v>30.0</v>
      </c>
      <c r="H4" s="2" t="s">
        <v>66</v>
      </c>
      <c r="I4" s="2" t="s">
        <v>593</v>
      </c>
      <c r="K4" s="2">
        <v>0.0</v>
      </c>
      <c r="L4" s="2">
        <v>0.0</v>
      </c>
      <c r="M4" s="2" t="s">
        <v>457</v>
      </c>
      <c r="N4" s="2" t="s">
        <v>24</v>
      </c>
      <c r="Q4" s="9" t="s">
        <v>910</v>
      </c>
    </row>
    <row r="5">
      <c r="A5" s="63">
        <v>46034.438426712964</v>
      </c>
      <c r="B5" s="2" t="s">
        <v>62</v>
      </c>
      <c r="C5" s="5">
        <v>46034.0</v>
      </c>
      <c r="D5" s="2" t="s">
        <v>19</v>
      </c>
      <c r="E5" s="2" t="s">
        <v>798</v>
      </c>
      <c r="F5" s="2" t="s">
        <v>777</v>
      </c>
      <c r="G5" s="2">
        <v>50.0</v>
      </c>
      <c r="H5" s="2" t="s">
        <v>66</v>
      </c>
      <c r="I5" s="2" t="s">
        <v>778</v>
      </c>
      <c r="K5" s="2">
        <v>0.0</v>
      </c>
      <c r="L5" s="2">
        <v>0.0</v>
      </c>
      <c r="M5" s="2" t="s">
        <v>457</v>
      </c>
      <c r="N5" s="2" t="s">
        <v>24</v>
      </c>
      <c r="Q5" s="9" t="s">
        <v>910</v>
      </c>
    </row>
    <row r="6">
      <c r="A6" s="63">
        <v>46034.438426712964</v>
      </c>
      <c r="B6" s="2" t="s">
        <v>62</v>
      </c>
      <c r="C6" s="5">
        <v>46034.0</v>
      </c>
      <c r="D6" s="2" t="s">
        <v>19</v>
      </c>
      <c r="E6" s="2" t="s">
        <v>798</v>
      </c>
      <c r="F6" s="2" t="s">
        <v>614</v>
      </c>
      <c r="G6" s="2">
        <v>2.0</v>
      </c>
      <c r="H6" s="2" t="s">
        <v>66</v>
      </c>
      <c r="I6" s="2" t="s">
        <v>615</v>
      </c>
      <c r="K6" s="2">
        <v>0.0</v>
      </c>
      <c r="L6" s="2">
        <v>0.0</v>
      </c>
      <c r="M6" s="2" t="s">
        <v>457</v>
      </c>
      <c r="N6" s="2" t="s">
        <v>24</v>
      </c>
      <c r="Q6" s="9" t="s">
        <v>910</v>
      </c>
    </row>
    <row r="7">
      <c r="A7" s="63">
        <v>46034.438426712964</v>
      </c>
      <c r="B7" s="2" t="s">
        <v>62</v>
      </c>
      <c r="C7" s="5">
        <v>46034.0</v>
      </c>
      <c r="D7" s="2" t="s">
        <v>19</v>
      </c>
      <c r="E7" s="2" t="s">
        <v>798</v>
      </c>
      <c r="F7" s="2" t="s">
        <v>606</v>
      </c>
      <c r="G7" s="2">
        <v>6.0</v>
      </c>
      <c r="H7" s="2" t="s">
        <v>66</v>
      </c>
      <c r="I7" s="2" t="s">
        <v>607</v>
      </c>
      <c r="K7" s="2">
        <v>0.0</v>
      </c>
      <c r="L7" s="2">
        <v>0.0</v>
      </c>
      <c r="M7" s="2" t="s">
        <v>457</v>
      </c>
      <c r="N7" s="2" t="s">
        <v>24</v>
      </c>
      <c r="Q7" s="9" t="s">
        <v>910</v>
      </c>
    </row>
    <row r="8">
      <c r="A8" s="63">
        <v>46034.438426712964</v>
      </c>
      <c r="B8" s="2" t="s">
        <v>62</v>
      </c>
      <c r="C8" s="5">
        <v>46034.0</v>
      </c>
      <c r="D8" s="2" t="s">
        <v>19</v>
      </c>
      <c r="E8" s="2" t="s">
        <v>798</v>
      </c>
      <c r="F8" s="2" t="s">
        <v>608</v>
      </c>
      <c r="G8" s="2">
        <v>2.0</v>
      </c>
      <c r="H8" s="2" t="s">
        <v>66</v>
      </c>
      <c r="I8" s="2" t="s">
        <v>609</v>
      </c>
      <c r="K8" s="2">
        <v>0.0</v>
      </c>
      <c r="L8" s="2">
        <v>0.0</v>
      </c>
      <c r="M8" s="2" t="s">
        <v>457</v>
      </c>
      <c r="N8" s="2" t="s">
        <v>24</v>
      </c>
      <c r="Q8" s="9" t="s">
        <v>910</v>
      </c>
    </row>
    <row r="9">
      <c r="A9" s="63">
        <v>46034.438426712964</v>
      </c>
      <c r="B9" s="2" t="s">
        <v>62</v>
      </c>
      <c r="C9" s="5">
        <v>46034.0</v>
      </c>
      <c r="D9" s="2" t="s">
        <v>19</v>
      </c>
      <c r="E9" s="2" t="s">
        <v>798</v>
      </c>
      <c r="F9" s="2" t="s">
        <v>678</v>
      </c>
      <c r="G9" s="2">
        <v>6.0</v>
      </c>
      <c r="H9" s="2" t="s">
        <v>66</v>
      </c>
      <c r="I9" s="2" t="s">
        <v>679</v>
      </c>
      <c r="K9" s="2">
        <v>0.0</v>
      </c>
      <c r="L9" s="2">
        <v>0.0</v>
      </c>
      <c r="M9" s="2" t="s">
        <v>457</v>
      </c>
      <c r="N9" s="2" t="s">
        <v>24</v>
      </c>
      <c r="Q9" s="9" t="s">
        <v>910</v>
      </c>
    </row>
    <row r="10">
      <c r="A10" s="63">
        <v>46034.438426712964</v>
      </c>
      <c r="B10" s="2" t="s">
        <v>62</v>
      </c>
      <c r="C10" s="5">
        <v>46034.0</v>
      </c>
      <c r="D10" s="2" t="s">
        <v>19</v>
      </c>
      <c r="E10" s="2" t="s">
        <v>798</v>
      </c>
      <c r="F10" s="2" t="s">
        <v>688</v>
      </c>
      <c r="G10" s="2">
        <v>6.0</v>
      </c>
      <c r="H10" s="2" t="s">
        <v>66</v>
      </c>
      <c r="I10" s="2" t="s">
        <v>689</v>
      </c>
      <c r="K10" s="2">
        <v>0.0</v>
      </c>
      <c r="L10" s="2">
        <v>0.0</v>
      </c>
      <c r="M10" s="2" t="s">
        <v>457</v>
      </c>
      <c r="N10" s="2" t="s">
        <v>24</v>
      </c>
      <c r="Q10" s="9" t="s">
        <v>910</v>
      </c>
    </row>
    <row r="11">
      <c r="A11" s="63">
        <v>46034.438426712964</v>
      </c>
      <c r="B11" s="2" t="s">
        <v>62</v>
      </c>
      <c r="C11" s="5">
        <v>46034.0</v>
      </c>
      <c r="D11" s="2" t="s">
        <v>19</v>
      </c>
      <c r="E11" s="2" t="s">
        <v>798</v>
      </c>
      <c r="F11" s="2" t="s">
        <v>738</v>
      </c>
      <c r="G11" s="2">
        <v>1.0</v>
      </c>
      <c r="H11" s="2" t="s">
        <v>48</v>
      </c>
      <c r="I11" s="2" t="s">
        <v>739</v>
      </c>
      <c r="K11" s="2">
        <v>0.0</v>
      </c>
      <c r="L11" s="2">
        <v>0.0</v>
      </c>
      <c r="M11" s="2" t="s">
        <v>457</v>
      </c>
      <c r="N11" s="2" t="s">
        <v>24</v>
      </c>
      <c r="Q11" s="9" t="s">
        <v>910</v>
      </c>
    </row>
    <row r="12">
      <c r="A12" s="63">
        <v>46034.438426712964</v>
      </c>
      <c r="B12" s="2" t="s">
        <v>62</v>
      </c>
      <c r="C12" s="5">
        <v>46034.0</v>
      </c>
      <c r="D12" s="2" t="s">
        <v>19</v>
      </c>
      <c r="E12" s="2" t="s">
        <v>798</v>
      </c>
      <c r="F12" s="2" t="s">
        <v>750</v>
      </c>
      <c r="G12" s="2">
        <v>1.0</v>
      </c>
      <c r="H12" s="2" t="s">
        <v>752</v>
      </c>
      <c r="I12" s="2" t="s">
        <v>751</v>
      </c>
      <c r="K12" s="2">
        <v>0.0</v>
      </c>
      <c r="L12" s="2">
        <v>0.0</v>
      </c>
      <c r="M12" s="2" t="s">
        <v>457</v>
      </c>
      <c r="N12" s="2" t="s">
        <v>24</v>
      </c>
      <c r="Q12" s="9" t="s">
        <v>910</v>
      </c>
    </row>
    <row r="13">
      <c r="N13" s="4"/>
    </row>
    <row r="14">
      <c r="N14" s="4"/>
    </row>
    <row r="15">
      <c r="N15" s="4"/>
    </row>
    <row r="16">
      <c r="N16" s="4"/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</sheetData>
  <dataValidations>
    <dataValidation type="list" allowBlank="1" showErrorMessage="1" sqref="N1:N947">
      <formula1>"Pending,Approved"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</hyperlinks>
  <drawing r:id="rId1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7.5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5.38"/>
    <col customWidth="1" min="9" max="9" width="27.88"/>
    <col customWidth="1" min="10" max="10" width="6.0"/>
    <col customWidth="1" min="11" max="11" width="6.75"/>
    <col customWidth="1" min="12" max="12" width="4.5"/>
    <col customWidth="1" min="13" max="13" width="11.5"/>
    <col customWidth="1" min="14" max="14" width="12.0"/>
    <col customWidth="1" min="15" max="15" width="11.13"/>
    <col customWidth="1" min="16" max="16" width="10.38"/>
    <col customWidth="1" min="17" max="17" width="70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46034.43947662037</v>
      </c>
      <c r="B2" s="2" t="s">
        <v>132</v>
      </c>
      <c r="C2" s="5">
        <v>46033.0</v>
      </c>
      <c r="D2" s="2" t="s">
        <v>19</v>
      </c>
      <c r="E2" s="2" t="s">
        <v>798</v>
      </c>
      <c r="F2" s="2" t="s">
        <v>572</v>
      </c>
      <c r="G2" s="2">
        <v>1.0</v>
      </c>
      <c r="H2" s="2" t="s">
        <v>571</v>
      </c>
      <c r="I2" s="2" t="s">
        <v>573</v>
      </c>
      <c r="K2" s="2">
        <v>0.0</v>
      </c>
      <c r="L2" s="2">
        <v>0.0</v>
      </c>
      <c r="M2" s="2" t="s">
        <v>335</v>
      </c>
      <c r="N2" s="2" t="s">
        <v>24</v>
      </c>
      <c r="Q2" s="9" t="s">
        <v>911</v>
      </c>
    </row>
    <row r="3">
      <c r="A3" s="63">
        <v>46034.43947662037</v>
      </c>
      <c r="B3" s="2" t="s">
        <v>132</v>
      </c>
      <c r="C3" s="5">
        <v>46033.0</v>
      </c>
      <c r="D3" s="2" t="s">
        <v>19</v>
      </c>
      <c r="E3" s="2" t="s">
        <v>798</v>
      </c>
      <c r="F3" s="2" t="s">
        <v>592</v>
      </c>
      <c r="G3" s="2">
        <v>20.0</v>
      </c>
      <c r="H3" s="2" t="s">
        <v>66</v>
      </c>
      <c r="I3" s="2" t="s">
        <v>593</v>
      </c>
      <c r="K3" s="2">
        <v>0.0</v>
      </c>
      <c r="L3" s="2">
        <v>0.0</v>
      </c>
      <c r="M3" s="2" t="s">
        <v>335</v>
      </c>
      <c r="N3" s="2" t="s">
        <v>24</v>
      </c>
      <c r="Q3" s="9" t="s">
        <v>911</v>
      </c>
    </row>
    <row r="4">
      <c r="A4" s="63">
        <v>46034.43947662037</v>
      </c>
      <c r="B4" s="2" t="s">
        <v>132</v>
      </c>
      <c r="C4" s="5">
        <v>46033.0</v>
      </c>
      <c r="D4" s="2" t="s">
        <v>19</v>
      </c>
      <c r="E4" s="2" t="s">
        <v>798</v>
      </c>
      <c r="F4" s="2" t="s">
        <v>586</v>
      </c>
      <c r="G4" s="2">
        <v>5.0</v>
      </c>
      <c r="H4" s="2" t="s">
        <v>66</v>
      </c>
      <c r="I4" s="2" t="s">
        <v>587</v>
      </c>
      <c r="K4" s="2">
        <v>0.0</v>
      </c>
      <c r="L4" s="2">
        <v>0.0</v>
      </c>
      <c r="M4" s="2" t="s">
        <v>335</v>
      </c>
      <c r="N4" s="2" t="s">
        <v>24</v>
      </c>
      <c r="Q4" s="9" t="s">
        <v>911</v>
      </c>
    </row>
    <row r="5">
      <c r="A5" s="63">
        <v>46034.43947662037</v>
      </c>
      <c r="B5" s="2" t="s">
        <v>132</v>
      </c>
      <c r="C5" s="5">
        <v>46033.0</v>
      </c>
      <c r="D5" s="2" t="s">
        <v>19</v>
      </c>
      <c r="E5" s="2" t="s">
        <v>798</v>
      </c>
      <c r="F5" s="2" t="s">
        <v>781</v>
      </c>
      <c r="G5" s="2">
        <v>1.0</v>
      </c>
      <c r="H5" s="2" t="s">
        <v>21</v>
      </c>
      <c r="I5" s="2" t="s">
        <v>126</v>
      </c>
      <c r="K5" s="2">
        <v>0.0</v>
      </c>
      <c r="L5" s="2">
        <v>0.0</v>
      </c>
      <c r="M5" s="2" t="s">
        <v>335</v>
      </c>
      <c r="N5" s="2" t="s">
        <v>24</v>
      </c>
      <c r="Q5" s="9" t="s">
        <v>911</v>
      </c>
    </row>
    <row r="6">
      <c r="A6" s="63">
        <v>46034.43947662037</v>
      </c>
      <c r="B6" s="2" t="s">
        <v>132</v>
      </c>
      <c r="C6" s="5">
        <v>46033.0</v>
      </c>
      <c r="D6" s="2" t="s">
        <v>19</v>
      </c>
      <c r="E6" s="2" t="s">
        <v>798</v>
      </c>
      <c r="F6" s="2" t="s">
        <v>701</v>
      </c>
      <c r="G6" s="2">
        <v>1.0</v>
      </c>
      <c r="H6" s="2" t="s">
        <v>703</v>
      </c>
      <c r="I6" s="2" t="s">
        <v>702</v>
      </c>
      <c r="K6" s="2">
        <v>0.0</v>
      </c>
      <c r="L6" s="2">
        <v>0.0</v>
      </c>
      <c r="M6" s="2" t="s">
        <v>335</v>
      </c>
      <c r="N6" s="2" t="s">
        <v>24</v>
      </c>
      <c r="Q6" s="9" t="s">
        <v>911</v>
      </c>
    </row>
    <row r="7">
      <c r="A7" s="63">
        <v>46034.43947662037</v>
      </c>
      <c r="B7" s="2" t="s">
        <v>132</v>
      </c>
      <c r="C7" s="5">
        <v>46033.0</v>
      </c>
      <c r="D7" s="2" t="s">
        <v>19</v>
      </c>
      <c r="E7" s="2" t="s">
        <v>798</v>
      </c>
      <c r="F7" s="2" t="s">
        <v>606</v>
      </c>
      <c r="G7" s="2">
        <v>5.0</v>
      </c>
      <c r="H7" s="2" t="s">
        <v>66</v>
      </c>
      <c r="I7" s="2" t="s">
        <v>607</v>
      </c>
      <c r="K7" s="2">
        <v>0.0</v>
      </c>
      <c r="L7" s="2">
        <v>0.0</v>
      </c>
      <c r="M7" s="2" t="s">
        <v>335</v>
      </c>
      <c r="N7" s="2" t="s">
        <v>24</v>
      </c>
      <c r="Q7" s="9" t="s">
        <v>911</v>
      </c>
    </row>
    <row r="8">
      <c r="A8" s="63">
        <v>46034.43947662037</v>
      </c>
      <c r="B8" s="2" t="s">
        <v>132</v>
      </c>
      <c r="C8" s="5">
        <v>46033.0</v>
      </c>
      <c r="D8" s="2" t="s">
        <v>19</v>
      </c>
      <c r="E8" s="2" t="s">
        <v>798</v>
      </c>
      <c r="F8" s="2" t="s">
        <v>766</v>
      </c>
      <c r="G8" s="2">
        <v>1.0</v>
      </c>
      <c r="H8" s="2" t="s">
        <v>768</v>
      </c>
      <c r="I8" s="2" t="s">
        <v>767</v>
      </c>
      <c r="K8" s="2">
        <v>0.0</v>
      </c>
      <c r="L8" s="2">
        <v>0.0</v>
      </c>
      <c r="M8" s="2" t="s">
        <v>335</v>
      </c>
      <c r="N8" s="2" t="s">
        <v>24</v>
      </c>
      <c r="Q8" s="9" t="s">
        <v>911</v>
      </c>
    </row>
    <row r="9">
      <c r="A9" s="63">
        <v>46034.43947662037</v>
      </c>
      <c r="B9" s="2" t="s">
        <v>132</v>
      </c>
      <c r="C9" s="5">
        <v>46033.0</v>
      </c>
      <c r="D9" s="2" t="s">
        <v>19</v>
      </c>
      <c r="E9" s="2" t="s">
        <v>798</v>
      </c>
      <c r="F9" s="2" t="s">
        <v>688</v>
      </c>
      <c r="G9" s="2">
        <v>2.0</v>
      </c>
      <c r="H9" s="2" t="s">
        <v>66</v>
      </c>
      <c r="I9" s="2" t="s">
        <v>689</v>
      </c>
      <c r="K9" s="2">
        <v>0.0</v>
      </c>
      <c r="L9" s="2">
        <v>0.0</v>
      </c>
      <c r="M9" s="2" t="s">
        <v>335</v>
      </c>
      <c r="N9" s="2" t="s">
        <v>24</v>
      </c>
      <c r="Q9" s="9" t="s">
        <v>911</v>
      </c>
    </row>
    <row r="10">
      <c r="A10" s="63">
        <v>46034.43947662037</v>
      </c>
      <c r="B10" s="2" t="s">
        <v>132</v>
      </c>
      <c r="C10" s="5">
        <v>46033.0</v>
      </c>
      <c r="D10" s="2" t="s">
        <v>19</v>
      </c>
      <c r="E10" s="2" t="s">
        <v>798</v>
      </c>
      <c r="F10" s="2" t="s">
        <v>704</v>
      </c>
      <c r="G10" s="2">
        <v>1.0</v>
      </c>
      <c r="H10" s="2" t="s">
        <v>703</v>
      </c>
      <c r="I10" s="2" t="s">
        <v>705</v>
      </c>
      <c r="K10" s="2">
        <v>0.0</v>
      </c>
      <c r="L10" s="2">
        <v>0.0</v>
      </c>
      <c r="M10" s="2" t="s">
        <v>335</v>
      </c>
      <c r="N10" s="2" t="s">
        <v>24</v>
      </c>
      <c r="Q10" s="9" t="s">
        <v>911</v>
      </c>
    </row>
    <row r="11">
      <c r="A11" s="63">
        <v>46034.43947662037</v>
      </c>
      <c r="B11" s="2" t="s">
        <v>132</v>
      </c>
      <c r="C11" s="5">
        <v>46033.0</v>
      </c>
      <c r="D11" s="2" t="s">
        <v>19</v>
      </c>
      <c r="E11" s="2" t="s">
        <v>798</v>
      </c>
      <c r="F11" s="2" t="s">
        <v>678</v>
      </c>
      <c r="G11" s="2">
        <v>6.0</v>
      </c>
      <c r="H11" s="2" t="s">
        <v>66</v>
      </c>
      <c r="I11" s="2" t="s">
        <v>679</v>
      </c>
      <c r="K11" s="2">
        <v>0.0</v>
      </c>
      <c r="L11" s="2">
        <v>0.0</v>
      </c>
      <c r="M11" s="2" t="s">
        <v>335</v>
      </c>
      <c r="N11" s="2" t="s">
        <v>24</v>
      </c>
      <c r="Q11" s="9" t="s">
        <v>911</v>
      </c>
    </row>
    <row r="12">
      <c r="A12" s="63">
        <v>46034.43947662037</v>
      </c>
      <c r="B12" s="2" t="s">
        <v>132</v>
      </c>
      <c r="C12" s="5">
        <v>46033.0</v>
      </c>
      <c r="D12" s="2" t="s">
        <v>19</v>
      </c>
      <c r="E12" s="2" t="s">
        <v>798</v>
      </c>
      <c r="F12" s="2" t="s">
        <v>750</v>
      </c>
      <c r="G12" s="2">
        <v>1.0</v>
      </c>
      <c r="H12" s="2" t="s">
        <v>752</v>
      </c>
      <c r="I12" s="2" t="s">
        <v>751</v>
      </c>
      <c r="K12" s="2">
        <v>0.0</v>
      </c>
      <c r="L12" s="2">
        <v>0.0</v>
      </c>
      <c r="M12" s="2" t="s">
        <v>335</v>
      </c>
      <c r="N12" s="2" t="s">
        <v>24</v>
      </c>
      <c r="Q12" s="9" t="s">
        <v>911</v>
      </c>
    </row>
    <row r="13">
      <c r="A13" s="63">
        <v>46034.43947662037</v>
      </c>
      <c r="B13" s="2" t="s">
        <v>132</v>
      </c>
      <c r="C13" s="5">
        <v>46033.0</v>
      </c>
      <c r="D13" s="2" t="s">
        <v>19</v>
      </c>
      <c r="E13" s="2" t="s">
        <v>798</v>
      </c>
      <c r="F13" s="2" t="s">
        <v>720</v>
      </c>
      <c r="G13" s="2">
        <v>1.0</v>
      </c>
      <c r="H13" s="2" t="s">
        <v>722</v>
      </c>
      <c r="I13" s="2" t="s">
        <v>721</v>
      </c>
      <c r="K13" s="2">
        <v>0.0</v>
      </c>
      <c r="L13" s="2">
        <v>0.0</v>
      </c>
      <c r="M13" s="2" t="s">
        <v>335</v>
      </c>
      <c r="N13" s="2" t="s">
        <v>24</v>
      </c>
      <c r="Q13" s="9" t="s">
        <v>911</v>
      </c>
    </row>
    <row r="14">
      <c r="A14" s="63">
        <v>46034.43947662037</v>
      </c>
      <c r="B14" s="2" t="s">
        <v>132</v>
      </c>
      <c r="C14" s="5">
        <v>46033.0</v>
      </c>
      <c r="D14" s="2" t="s">
        <v>19</v>
      </c>
      <c r="E14" s="2" t="s">
        <v>798</v>
      </c>
      <c r="F14" s="2" t="s">
        <v>762</v>
      </c>
      <c r="G14" s="2">
        <v>1.0</v>
      </c>
      <c r="H14" s="2" t="s">
        <v>755</v>
      </c>
      <c r="I14" s="2" t="s">
        <v>763</v>
      </c>
      <c r="K14" s="2">
        <v>0.0</v>
      </c>
      <c r="L14" s="2">
        <v>0.0</v>
      </c>
      <c r="M14" s="2" t="s">
        <v>335</v>
      </c>
      <c r="N14" s="2" t="s">
        <v>24</v>
      </c>
      <c r="Q14" s="9" t="s">
        <v>911</v>
      </c>
    </row>
    <row r="15">
      <c r="A15" s="63">
        <v>46034.43947662037</v>
      </c>
      <c r="B15" s="2" t="s">
        <v>132</v>
      </c>
      <c r="C15" s="5">
        <v>46033.0</v>
      </c>
      <c r="D15" s="2" t="s">
        <v>19</v>
      </c>
      <c r="E15" s="2" t="s">
        <v>798</v>
      </c>
      <c r="F15" s="2" t="s">
        <v>756</v>
      </c>
      <c r="G15" s="2">
        <v>1.0</v>
      </c>
      <c r="H15" s="2" t="s">
        <v>755</v>
      </c>
      <c r="I15" s="2" t="s">
        <v>757</v>
      </c>
      <c r="K15" s="2">
        <v>0.0</v>
      </c>
      <c r="L15" s="2">
        <v>0.0</v>
      </c>
      <c r="M15" s="2" t="s">
        <v>335</v>
      </c>
      <c r="N15" s="2" t="s">
        <v>24</v>
      </c>
      <c r="Q15" s="9" t="s">
        <v>911</v>
      </c>
    </row>
    <row r="16">
      <c r="A16" s="63">
        <v>46034.69584581019</v>
      </c>
      <c r="B16" s="2" t="s">
        <v>132</v>
      </c>
      <c r="C16" s="5">
        <v>46034.0</v>
      </c>
      <c r="D16" s="2" t="s">
        <v>19</v>
      </c>
      <c r="E16" s="2" t="s">
        <v>798</v>
      </c>
      <c r="F16" s="2" t="s">
        <v>630</v>
      </c>
      <c r="G16" s="2">
        <v>1.0</v>
      </c>
      <c r="H16" s="2" t="s">
        <v>21</v>
      </c>
      <c r="I16" s="2" t="s">
        <v>631</v>
      </c>
      <c r="K16" s="2">
        <v>0.0</v>
      </c>
      <c r="L16" s="2">
        <v>0.0</v>
      </c>
      <c r="M16" s="2" t="s">
        <v>132</v>
      </c>
      <c r="N16" s="2" t="s">
        <v>24</v>
      </c>
      <c r="Q16" s="9" t="s">
        <v>912</v>
      </c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  <row r="972">
      <c r="N972" s="4"/>
    </row>
    <row r="973">
      <c r="N973" s="4"/>
    </row>
    <row r="974">
      <c r="N974" s="4"/>
    </row>
    <row r="975">
      <c r="N975" s="4"/>
    </row>
    <row r="976">
      <c r="N976" s="4"/>
    </row>
    <row r="977">
      <c r="N977" s="4"/>
    </row>
    <row r="978">
      <c r="N978" s="4"/>
    </row>
    <row r="979">
      <c r="N979" s="4"/>
    </row>
    <row r="980">
      <c r="N980" s="4"/>
    </row>
    <row r="981">
      <c r="N981" s="4"/>
    </row>
  </sheetData>
  <dataValidations>
    <dataValidation type="list" allowBlank="1" showErrorMessage="1" sqref="N1:N981">
      <formula1>"Approved,Pending,No Stock"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</hyperlinks>
  <drawing r:id="rId16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9.75"/>
    <col customWidth="1" min="3" max="3" width="9.5"/>
    <col customWidth="1" min="4" max="4" width="18.63"/>
    <col customWidth="1" min="5" max="5" width="15.75"/>
    <col customWidth="1" min="6" max="6" width="7.63"/>
    <col customWidth="1" min="7" max="7" width="3.63"/>
    <col customWidth="1" min="8" max="8" width="5.38"/>
    <col customWidth="1" min="9" max="9" width="27.88"/>
    <col customWidth="1" min="10" max="10" width="6.0"/>
    <col customWidth="1" min="11" max="11" width="6.75"/>
    <col customWidth="1" min="12" max="12" width="4.5"/>
    <col customWidth="1" min="13" max="13" width="18.88"/>
    <col customWidth="1" min="14" max="14" width="12.0"/>
    <col customWidth="1" min="15" max="15" width="11.13"/>
    <col customWidth="1" min="16" max="16" width="10.38"/>
    <col customWidth="1" min="17" max="17" width="70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46034.60879020834</v>
      </c>
      <c r="B2" s="2" t="s">
        <v>108</v>
      </c>
      <c r="C2" s="5">
        <v>46034.0</v>
      </c>
      <c r="D2" s="2" t="s">
        <v>19</v>
      </c>
      <c r="E2" s="2" t="s">
        <v>798</v>
      </c>
      <c r="F2" s="2" t="s">
        <v>576</v>
      </c>
      <c r="G2" s="2">
        <v>1.0</v>
      </c>
      <c r="H2" s="2" t="s">
        <v>571</v>
      </c>
      <c r="I2" s="2" t="s">
        <v>577</v>
      </c>
      <c r="K2" s="2">
        <v>0.0</v>
      </c>
      <c r="L2" s="2">
        <v>0.0</v>
      </c>
      <c r="M2" s="2" t="s">
        <v>172</v>
      </c>
      <c r="N2" s="2" t="s">
        <v>24</v>
      </c>
      <c r="Q2" s="9" t="s">
        <v>913</v>
      </c>
    </row>
    <row r="3">
      <c r="A3" s="63">
        <v>46034.60879020834</v>
      </c>
      <c r="B3" s="2" t="s">
        <v>108</v>
      </c>
      <c r="C3" s="5">
        <v>46034.0</v>
      </c>
      <c r="D3" s="2" t="s">
        <v>19</v>
      </c>
      <c r="E3" s="2" t="s">
        <v>798</v>
      </c>
      <c r="F3" s="2" t="s">
        <v>592</v>
      </c>
      <c r="G3" s="2">
        <v>20.0</v>
      </c>
      <c r="H3" s="2" t="s">
        <v>66</v>
      </c>
      <c r="I3" s="2" t="s">
        <v>593</v>
      </c>
      <c r="K3" s="2">
        <v>0.0</v>
      </c>
      <c r="L3" s="2">
        <v>0.0</v>
      </c>
      <c r="M3" s="2" t="s">
        <v>172</v>
      </c>
      <c r="N3" s="2" t="s">
        <v>24</v>
      </c>
      <c r="Q3" s="9" t="s">
        <v>913</v>
      </c>
    </row>
    <row r="4">
      <c r="A4" s="63">
        <v>46034.60879020834</v>
      </c>
      <c r="B4" s="2" t="s">
        <v>108</v>
      </c>
      <c r="C4" s="5">
        <v>46034.0</v>
      </c>
      <c r="D4" s="2" t="s">
        <v>19</v>
      </c>
      <c r="E4" s="2" t="s">
        <v>798</v>
      </c>
      <c r="F4" s="2" t="s">
        <v>632</v>
      </c>
      <c r="G4" s="2">
        <v>1.0</v>
      </c>
      <c r="H4" s="2" t="s">
        <v>21</v>
      </c>
      <c r="I4" s="2" t="s">
        <v>633</v>
      </c>
      <c r="K4" s="2">
        <v>0.0</v>
      </c>
      <c r="L4" s="2">
        <v>0.0</v>
      </c>
      <c r="M4" s="2" t="s">
        <v>172</v>
      </c>
      <c r="N4" s="2" t="s">
        <v>24</v>
      </c>
      <c r="Q4" s="9" t="s">
        <v>913</v>
      </c>
    </row>
    <row r="5">
      <c r="A5" s="63">
        <v>46034.60879020834</v>
      </c>
      <c r="B5" s="2" t="s">
        <v>108</v>
      </c>
      <c r="C5" s="5">
        <v>46034.0</v>
      </c>
      <c r="D5" s="2" t="s">
        <v>19</v>
      </c>
      <c r="E5" s="2" t="s">
        <v>798</v>
      </c>
      <c r="F5" s="2" t="s">
        <v>644</v>
      </c>
      <c r="G5" s="2">
        <v>2.0</v>
      </c>
      <c r="H5" s="2" t="s">
        <v>66</v>
      </c>
      <c r="I5" s="2" t="s">
        <v>645</v>
      </c>
      <c r="K5" s="2">
        <v>0.0</v>
      </c>
      <c r="L5" s="2">
        <v>0.0</v>
      </c>
      <c r="M5" s="2" t="s">
        <v>172</v>
      </c>
      <c r="N5" s="2" t="s">
        <v>24</v>
      </c>
      <c r="Q5" s="9" t="s">
        <v>913</v>
      </c>
    </row>
    <row r="6">
      <c r="A6" s="63">
        <v>46034.60879020834</v>
      </c>
      <c r="B6" s="2" t="s">
        <v>108</v>
      </c>
      <c r="C6" s="5">
        <v>46034.0</v>
      </c>
      <c r="D6" s="2" t="s">
        <v>19</v>
      </c>
      <c r="E6" s="2" t="s">
        <v>798</v>
      </c>
      <c r="F6" s="2" t="s">
        <v>646</v>
      </c>
      <c r="G6" s="2">
        <v>1.0</v>
      </c>
      <c r="H6" s="2" t="s">
        <v>21</v>
      </c>
      <c r="I6" s="2" t="s">
        <v>647</v>
      </c>
      <c r="K6" s="2">
        <v>0.0</v>
      </c>
      <c r="L6" s="2">
        <v>0.0</v>
      </c>
      <c r="M6" s="2" t="s">
        <v>172</v>
      </c>
      <c r="N6" s="2" t="s">
        <v>24</v>
      </c>
      <c r="Q6" s="9" t="s">
        <v>913</v>
      </c>
    </row>
    <row r="7">
      <c r="A7" s="63">
        <v>46034.60879020834</v>
      </c>
      <c r="B7" s="2" t="s">
        <v>108</v>
      </c>
      <c r="C7" s="5">
        <v>46034.0</v>
      </c>
      <c r="D7" s="2" t="s">
        <v>19</v>
      </c>
      <c r="E7" s="2" t="s">
        <v>798</v>
      </c>
      <c r="F7" s="2" t="s">
        <v>692</v>
      </c>
      <c r="G7" s="2">
        <v>1.0</v>
      </c>
      <c r="H7" s="2" t="s">
        <v>66</v>
      </c>
      <c r="I7" s="2" t="s">
        <v>693</v>
      </c>
      <c r="K7" s="2">
        <v>0.0</v>
      </c>
      <c r="L7" s="2">
        <v>0.0</v>
      </c>
      <c r="M7" s="2" t="s">
        <v>172</v>
      </c>
      <c r="N7" s="2" t="s">
        <v>24</v>
      </c>
      <c r="Q7" s="9" t="s">
        <v>913</v>
      </c>
    </row>
    <row r="8">
      <c r="A8" s="63">
        <v>46034.60879020834</v>
      </c>
      <c r="B8" s="2" t="s">
        <v>108</v>
      </c>
      <c r="C8" s="5">
        <v>46034.0</v>
      </c>
      <c r="D8" s="2" t="s">
        <v>19</v>
      </c>
      <c r="E8" s="2" t="s">
        <v>798</v>
      </c>
      <c r="F8" s="2" t="s">
        <v>640</v>
      </c>
      <c r="G8" s="2">
        <v>2.0</v>
      </c>
      <c r="H8" s="2" t="s">
        <v>66</v>
      </c>
      <c r="I8" s="2" t="s">
        <v>641</v>
      </c>
      <c r="K8" s="2">
        <v>0.0</v>
      </c>
      <c r="L8" s="2">
        <v>0.0</v>
      </c>
      <c r="M8" s="2" t="s">
        <v>172</v>
      </c>
      <c r="N8" s="2" t="s">
        <v>24</v>
      </c>
      <c r="Q8" s="9" t="s">
        <v>913</v>
      </c>
    </row>
    <row r="9">
      <c r="A9" s="63">
        <v>46034.60879020834</v>
      </c>
      <c r="B9" s="2" t="s">
        <v>108</v>
      </c>
      <c r="C9" s="5">
        <v>46034.0</v>
      </c>
      <c r="D9" s="2" t="s">
        <v>19</v>
      </c>
      <c r="E9" s="2" t="s">
        <v>798</v>
      </c>
      <c r="F9" s="2" t="s">
        <v>638</v>
      </c>
      <c r="G9" s="2">
        <v>1.0</v>
      </c>
      <c r="H9" s="2" t="s">
        <v>21</v>
      </c>
      <c r="I9" s="2" t="s">
        <v>639</v>
      </c>
      <c r="K9" s="2">
        <v>0.0</v>
      </c>
      <c r="L9" s="2">
        <v>0.0</v>
      </c>
      <c r="M9" s="2" t="s">
        <v>172</v>
      </c>
      <c r="N9" s="2" t="s">
        <v>24</v>
      </c>
      <c r="Q9" s="9" t="s">
        <v>913</v>
      </c>
    </row>
    <row r="10">
      <c r="N10" s="4"/>
    </row>
    <row r="11">
      <c r="N11" s="4"/>
    </row>
    <row r="12">
      <c r="N12" s="4"/>
    </row>
    <row r="13">
      <c r="N13" s="4"/>
    </row>
    <row r="14">
      <c r="N14" s="4"/>
    </row>
    <row r="15">
      <c r="N15" s="4"/>
    </row>
    <row r="16">
      <c r="N16" s="4"/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</sheetData>
  <dataValidations>
    <dataValidation type="list" allowBlank="1" showErrorMessage="1" sqref="N1:N971">
      <formula1>"Pending,Approved"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</hyperlinks>
  <drawing r:id="rId9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4.25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6.5"/>
    <col customWidth="1" min="9" max="9" width="40.63"/>
    <col customWidth="1" min="10" max="10" width="6.0"/>
    <col customWidth="1" min="11" max="11" width="6.75"/>
    <col customWidth="1" min="12" max="12" width="4.5"/>
    <col customWidth="1" min="13" max="13" width="12.38"/>
    <col customWidth="1" min="14" max="14" width="12.0"/>
    <col customWidth="1" min="15" max="15" width="11.13"/>
    <col customWidth="1" min="16" max="16" width="10.38"/>
    <col customWidth="1" min="17" max="17" width="72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1">
        <v>46029.66773840278</v>
      </c>
      <c r="B2" s="2" t="s">
        <v>144</v>
      </c>
      <c r="C2" s="5">
        <v>46029.0</v>
      </c>
      <c r="D2" s="2" t="s">
        <v>19</v>
      </c>
      <c r="E2" s="2" t="s">
        <v>798</v>
      </c>
      <c r="F2" s="2" t="s">
        <v>592</v>
      </c>
      <c r="G2" s="2">
        <v>20.0</v>
      </c>
      <c r="H2" s="2" t="s">
        <v>66</v>
      </c>
      <c r="I2" s="2" t="s">
        <v>593</v>
      </c>
      <c r="K2" s="2">
        <v>0.0</v>
      </c>
      <c r="L2" s="2">
        <v>0.0</v>
      </c>
      <c r="M2" s="2" t="s">
        <v>146</v>
      </c>
      <c r="N2" s="2" t="s">
        <v>24</v>
      </c>
      <c r="Q2" s="9" t="s">
        <v>914</v>
      </c>
    </row>
    <row r="3">
      <c r="A3" s="1">
        <v>46029.66773840278</v>
      </c>
      <c r="B3" s="2" t="s">
        <v>144</v>
      </c>
      <c r="C3" s="5">
        <v>46029.0</v>
      </c>
      <c r="D3" s="2" t="s">
        <v>19</v>
      </c>
      <c r="E3" s="2" t="s">
        <v>798</v>
      </c>
      <c r="F3" s="2" t="s">
        <v>367</v>
      </c>
      <c r="G3" s="2">
        <v>1.0</v>
      </c>
      <c r="H3" s="2" t="s">
        <v>722</v>
      </c>
      <c r="I3" s="2" t="s">
        <v>723</v>
      </c>
      <c r="K3" s="2">
        <v>0.0</v>
      </c>
      <c r="L3" s="2">
        <v>0.0</v>
      </c>
      <c r="M3" s="2" t="s">
        <v>146</v>
      </c>
      <c r="N3" s="2" t="s">
        <v>24</v>
      </c>
      <c r="Q3" s="9" t="s">
        <v>914</v>
      </c>
    </row>
    <row r="4">
      <c r="A4" s="1">
        <v>46029.66773840278</v>
      </c>
      <c r="B4" s="2" t="s">
        <v>144</v>
      </c>
      <c r="C4" s="5">
        <v>46029.0</v>
      </c>
      <c r="D4" s="2" t="s">
        <v>19</v>
      </c>
      <c r="E4" s="2" t="s">
        <v>798</v>
      </c>
      <c r="F4" s="2" t="s">
        <v>678</v>
      </c>
      <c r="G4" s="2">
        <v>6.0</v>
      </c>
      <c r="H4" s="2" t="s">
        <v>66</v>
      </c>
      <c r="I4" s="2" t="s">
        <v>679</v>
      </c>
      <c r="K4" s="2">
        <v>0.0</v>
      </c>
      <c r="L4" s="2">
        <v>0.0</v>
      </c>
      <c r="M4" s="2" t="s">
        <v>146</v>
      </c>
      <c r="N4" s="2" t="s">
        <v>24</v>
      </c>
      <c r="Q4" s="9" t="s">
        <v>914</v>
      </c>
    </row>
    <row r="5">
      <c r="A5" s="1">
        <v>46029.66773840278</v>
      </c>
      <c r="B5" s="2" t="s">
        <v>144</v>
      </c>
      <c r="C5" s="5">
        <v>46029.0</v>
      </c>
      <c r="D5" s="2" t="s">
        <v>19</v>
      </c>
      <c r="E5" s="2" t="s">
        <v>798</v>
      </c>
      <c r="F5" s="2" t="s">
        <v>758</v>
      </c>
      <c r="G5" s="2">
        <v>1.0</v>
      </c>
      <c r="H5" s="2" t="s">
        <v>755</v>
      </c>
      <c r="I5" s="2" t="s">
        <v>759</v>
      </c>
      <c r="K5" s="2">
        <v>0.0</v>
      </c>
      <c r="L5" s="2">
        <v>0.0</v>
      </c>
      <c r="M5" s="2" t="s">
        <v>146</v>
      </c>
      <c r="N5" s="2" t="s">
        <v>837</v>
      </c>
      <c r="Q5" s="9" t="s">
        <v>914</v>
      </c>
    </row>
    <row r="6">
      <c r="A6" s="1">
        <v>46029.66773840278</v>
      </c>
      <c r="B6" s="2" t="s">
        <v>144</v>
      </c>
      <c r="C6" s="5">
        <v>46029.0</v>
      </c>
      <c r="D6" s="2" t="s">
        <v>19</v>
      </c>
      <c r="E6" s="2" t="s">
        <v>798</v>
      </c>
      <c r="F6" s="2" t="s">
        <v>760</v>
      </c>
      <c r="G6" s="2">
        <v>1.0</v>
      </c>
      <c r="H6" s="2" t="s">
        <v>755</v>
      </c>
      <c r="I6" s="2" t="s">
        <v>761</v>
      </c>
      <c r="K6" s="2">
        <v>0.0</v>
      </c>
      <c r="L6" s="2">
        <v>0.0</v>
      </c>
      <c r="M6" s="2" t="s">
        <v>146</v>
      </c>
      <c r="N6" s="2" t="s">
        <v>24</v>
      </c>
      <c r="Q6" s="9" t="s">
        <v>914</v>
      </c>
    </row>
    <row r="7">
      <c r="A7" s="1">
        <v>46029.66773840278</v>
      </c>
      <c r="B7" s="2" t="s">
        <v>144</v>
      </c>
      <c r="C7" s="5">
        <v>46029.0</v>
      </c>
      <c r="D7" s="2" t="s">
        <v>19</v>
      </c>
      <c r="E7" s="2" t="s">
        <v>798</v>
      </c>
      <c r="F7" s="2" t="s">
        <v>580</v>
      </c>
      <c r="G7" s="2">
        <v>20.0</v>
      </c>
      <c r="H7" s="2" t="s">
        <v>66</v>
      </c>
      <c r="I7" s="2" t="s">
        <v>581</v>
      </c>
      <c r="K7" s="2">
        <v>0.0</v>
      </c>
      <c r="L7" s="2">
        <v>0.0</v>
      </c>
      <c r="M7" s="2" t="s">
        <v>146</v>
      </c>
      <c r="N7" s="2" t="s">
        <v>24</v>
      </c>
      <c r="Q7" s="9" t="s">
        <v>914</v>
      </c>
    </row>
    <row r="8">
      <c r="A8" s="1">
        <v>46029.66773840278</v>
      </c>
      <c r="B8" s="2" t="s">
        <v>144</v>
      </c>
      <c r="C8" s="5">
        <v>46029.0</v>
      </c>
      <c r="D8" s="2" t="s">
        <v>19</v>
      </c>
      <c r="E8" s="2" t="s">
        <v>798</v>
      </c>
      <c r="F8" s="2" t="s">
        <v>606</v>
      </c>
      <c r="G8" s="2">
        <v>5.0</v>
      </c>
      <c r="H8" s="2" t="s">
        <v>66</v>
      </c>
      <c r="I8" s="2" t="s">
        <v>607</v>
      </c>
      <c r="K8" s="2">
        <v>0.0</v>
      </c>
      <c r="L8" s="2">
        <v>0.0</v>
      </c>
      <c r="M8" s="2" t="s">
        <v>146</v>
      </c>
      <c r="N8" s="2" t="s">
        <v>837</v>
      </c>
      <c r="Q8" s="9" t="s">
        <v>914</v>
      </c>
    </row>
    <row r="9">
      <c r="A9" s="1">
        <v>46029.66773840278</v>
      </c>
      <c r="B9" s="2" t="s">
        <v>144</v>
      </c>
      <c r="C9" s="5">
        <v>46029.0</v>
      </c>
      <c r="D9" s="2" t="s">
        <v>19</v>
      </c>
      <c r="E9" s="2" t="s">
        <v>798</v>
      </c>
      <c r="F9" s="2" t="s">
        <v>614</v>
      </c>
      <c r="G9" s="2">
        <v>2.0</v>
      </c>
      <c r="H9" s="2" t="s">
        <v>66</v>
      </c>
      <c r="I9" s="2" t="s">
        <v>615</v>
      </c>
      <c r="K9" s="2">
        <v>0.0</v>
      </c>
      <c r="L9" s="2">
        <v>0.0</v>
      </c>
      <c r="M9" s="2" t="s">
        <v>146</v>
      </c>
      <c r="N9" s="2" t="s">
        <v>24</v>
      </c>
      <c r="Q9" s="9" t="s">
        <v>914</v>
      </c>
    </row>
    <row r="10">
      <c r="A10" s="1">
        <v>46029.67406922454</v>
      </c>
      <c r="B10" s="2" t="s">
        <v>144</v>
      </c>
      <c r="C10" s="5">
        <v>46029.0</v>
      </c>
      <c r="D10" s="2" t="s">
        <v>19</v>
      </c>
      <c r="E10" s="2" t="s">
        <v>798</v>
      </c>
      <c r="F10" s="2" t="s">
        <v>697</v>
      </c>
      <c r="G10" s="2">
        <v>1.0</v>
      </c>
      <c r="H10" s="2" t="s">
        <v>696</v>
      </c>
      <c r="I10" s="2" t="s">
        <v>698</v>
      </c>
      <c r="K10" s="2">
        <v>0.0</v>
      </c>
      <c r="L10" s="2">
        <v>0.0</v>
      </c>
      <c r="M10" s="2" t="s">
        <v>146</v>
      </c>
      <c r="N10" s="2" t="s">
        <v>837</v>
      </c>
      <c r="Q10" s="9" t="s">
        <v>915</v>
      </c>
    </row>
    <row r="11">
      <c r="A11" s="1">
        <v>46029.67406922454</v>
      </c>
      <c r="B11" s="2" t="s">
        <v>144</v>
      </c>
      <c r="C11" s="5">
        <v>46029.0</v>
      </c>
      <c r="D11" s="2" t="s">
        <v>19</v>
      </c>
      <c r="E11" s="2" t="s">
        <v>798</v>
      </c>
      <c r="F11" s="2" t="s">
        <v>699</v>
      </c>
      <c r="G11" s="2">
        <v>1.0</v>
      </c>
      <c r="H11" s="2" t="s">
        <v>696</v>
      </c>
      <c r="I11" s="2" t="s">
        <v>700</v>
      </c>
      <c r="K11" s="2">
        <v>0.0</v>
      </c>
      <c r="L11" s="2">
        <v>0.0</v>
      </c>
      <c r="M11" s="2" t="s">
        <v>146</v>
      </c>
      <c r="N11" s="2" t="s">
        <v>837</v>
      </c>
      <c r="Q11" s="9" t="s">
        <v>915</v>
      </c>
    </row>
    <row r="12">
      <c r="A12" s="1">
        <v>46029.67406922454</v>
      </c>
      <c r="B12" s="2" t="s">
        <v>144</v>
      </c>
      <c r="C12" s="5">
        <v>46029.0</v>
      </c>
      <c r="D12" s="2" t="s">
        <v>19</v>
      </c>
      <c r="E12" s="2" t="s">
        <v>798</v>
      </c>
      <c r="F12" s="2" t="s">
        <v>686</v>
      </c>
      <c r="G12" s="2">
        <v>1.0</v>
      </c>
      <c r="H12" s="2" t="s">
        <v>21</v>
      </c>
      <c r="I12" s="2" t="s">
        <v>687</v>
      </c>
      <c r="K12" s="2">
        <v>0.0</v>
      </c>
      <c r="L12" s="2">
        <v>0.0</v>
      </c>
      <c r="M12" s="2" t="s">
        <v>146</v>
      </c>
      <c r="N12" s="2" t="s">
        <v>837</v>
      </c>
      <c r="Q12" s="9" t="s">
        <v>915</v>
      </c>
    </row>
    <row r="13">
      <c r="A13" s="1">
        <v>46029.67406922454</v>
      </c>
      <c r="B13" s="2" t="s">
        <v>144</v>
      </c>
      <c r="C13" s="5">
        <v>46029.0</v>
      </c>
      <c r="D13" s="2" t="s">
        <v>19</v>
      </c>
      <c r="E13" s="2" t="s">
        <v>798</v>
      </c>
      <c r="F13" s="2" t="s">
        <v>598</v>
      </c>
      <c r="G13" s="2">
        <v>10.0</v>
      </c>
      <c r="H13" s="2" t="s">
        <v>66</v>
      </c>
      <c r="I13" s="2" t="s">
        <v>599</v>
      </c>
      <c r="K13" s="2">
        <v>0.0</v>
      </c>
      <c r="L13" s="2">
        <v>0.0</v>
      </c>
      <c r="M13" s="2" t="s">
        <v>146</v>
      </c>
      <c r="N13" s="2" t="s">
        <v>837</v>
      </c>
      <c r="Q13" s="9" t="s">
        <v>915</v>
      </c>
    </row>
    <row r="14">
      <c r="A14" s="1">
        <v>46041.45448244213</v>
      </c>
      <c r="B14" s="2" t="s">
        <v>144</v>
      </c>
      <c r="C14" s="5">
        <v>46041.0</v>
      </c>
      <c r="D14" s="2" t="s">
        <v>19</v>
      </c>
      <c r="E14" s="2" t="s">
        <v>798</v>
      </c>
      <c r="F14" s="2" t="s">
        <v>572</v>
      </c>
      <c r="G14" s="2">
        <v>1.0</v>
      </c>
      <c r="H14" s="2" t="s">
        <v>571</v>
      </c>
      <c r="I14" s="2" t="s">
        <v>573</v>
      </c>
      <c r="K14" s="2">
        <v>0.0</v>
      </c>
      <c r="L14" s="2">
        <v>0.0</v>
      </c>
      <c r="M14" s="2" t="s">
        <v>916</v>
      </c>
      <c r="N14" s="2" t="s">
        <v>24</v>
      </c>
      <c r="Q14" s="9" t="s">
        <v>917</v>
      </c>
    </row>
    <row r="15">
      <c r="A15" s="1">
        <v>46041.45448244213</v>
      </c>
      <c r="B15" s="2" t="s">
        <v>144</v>
      </c>
      <c r="C15" s="5">
        <v>46041.0</v>
      </c>
      <c r="D15" s="2" t="s">
        <v>19</v>
      </c>
      <c r="E15" s="2" t="s">
        <v>798</v>
      </c>
      <c r="F15" s="2" t="s">
        <v>574</v>
      </c>
      <c r="G15" s="2">
        <v>1.0</v>
      </c>
      <c r="H15" s="2" t="s">
        <v>571</v>
      </c>
      <c r="I15" s="2" t="s">
        <v>575</v>
      </c>
      <c r="K15" s="2">
        <v>0.0</v>
      </c>
      <c r="L15" s="2">
        <v>0.0</v>
      </c>
      <c r="M15" s="2" t="s">
        <v>916</v>
      </c>
      <c r="N15" s="2" t="s">
        <v>24</v>
      </c>
      <c r="Q15" s="9" t="s">
        <v>917</v>
      </c>
    </row>
    <row r="16">
      <c r="A16" s="1">
        <v>46041.45448244213</v>
      </c>
      <c r="B16" s="2" t="s">
        <v>144</v>
      </c>
      <c r="C16" s="5">
        <v>46041.0</v>
      </c>
      <c r="D16" s="2" t="s">
        <v>19</v>
      </c>
      <c r="E16" s="2" t="s">
        <v>798</v>
      </c>
      <c r="F16" s="2" t="s">
        <v>606</v>
      </c>
      <c r="G16" s="2">
        <v>6.0</v>
      </c>
      <c r="H16" s="2" t="s">
        <v>66</v>
      </c>
      <c r="I16" s="2" t="s">
        <v>607</v>
      </c>
      <c r="K16" s="2">
        <v>0.0</v>
      </c>
      <c r="L16" s="2">
        <v>0.0</v>
      </c>
      <c r="M16" s="2" t="s">
        <v>916</v>
      </c>
      <c r="N16" s="2" t="s">
        <v>24</v>
      </c>
      <c r="Q16" s="9" t="s">
        <v>917</v>
      </c>
    </row>
    <row r="17">
      <c r="A17" s="1">
        <v>46041.45448244213</v>
      </c>
      <c r="B17" s="2" t="s">
        <v>144</v>
      </c>
      <c r="C17" s="5">
        <v>46041.0</v>
      </c>
      <c r="D17" s="2" t="s">
        <v>19</v>
      </c>
      <c r="E17" s="2" t="s">
        <v>798</v>
      </c>
      <c r="F17" s="2" t="s">
        <v>688</v>
      </c>
      <c r="G17" s="2">
        <v>2.0</v>
      </c>
      <c r="H17" s="2" t="s">
        <v>66</v>
      </c>
      <c r="I17" s="2" t="s">
        <v>689</v>
      </c>
      <c r="K17" s="2">
        <v>0.0</v>
      </c>
      <c r="L17" s="2">
        <v>0.0</v>
      </c>
      <c r="M17" s="2" t="s">
        <v>916</v>
      </c>
      <c r="N17" s="2" t="s">
        <v>24</v>
      </c>
      <c r="Q17" s="9" t="s">
        <v>917</v>
      </c>
    </row>
    <row r="18">
      <c r="A18" s="1">
        <v>46041.45448244213</v>
      </c>
      <c r="B18" s="2" t="s">
        <v>144</v>
      </c>
      <c r="C18" s="5">
        <v>46041.0</v>
      </c>
      <c r="D18" s="2" t="s">
        <v>19</v>
      </c>
      <c r="E18" s="2" t="s">
        <v>798</v>
      </c>
      <c r="F18" s="2" t="s">
        <v>756</v>
      </c>
      <c r="G18" s="2">
        <v>1.0</v>
      </c>
      <c r="H18" s="2" t="s">
        <v>755</v>
      </c>
      <c r="I18" s="2" t="s">
        <v>757</v>
      </c>
      <c r="K18" s="2">
        <v>0.0</v>
      </c>
      <c r="L18" s="2">
        <v>0.0</v>
      </c>
      <c r="M18" s="2" t="s">
        <v>916</v>
      </c>
      <c r="N18" s="2" t="s">
        <v>24</v>
      </c>
      <c r="Q18" s="9" t="s">
        <v>917</v>
      </c>
    </row>
    <row r="19">
      <c r="A19" s="1">
        <v>46041.45448244213</v>
      </c>
      <c r="B19" s="2" t="s">
        <v>144</v>
      </c>
      <c r="C19" s="5">
        <v>46041.0</v>
      </c>
      <c r="D19" s="2" t="s">
        <v>19</v>
      </c>
      <c r="E19" s="2" t="s">
        <v>798</v>
      </c>
      <c r="F19" s="2" t="s">
        <v>596</v>
      </c>
      <c r="G19" s="2">
        <v>10.0</v>
      </c>
      <c r="H19" s="2" t="s">
        <v>66</v>
      </c>
      <c r="I19" s="2" t="s">
        <v>597</v>
      </c>
      <c r="K19" s="2">
        <v>0.0</v>
      </c>
      <c r="L19" s="2">
        <v>0.0</v>
      </c>
      <c r="M19" s="2" t="s">
        <v>916</v>
      </c>
      <c r="N19" s="2" t="s">
        <v>24</v>
      </c>
      <c r="Q19" s="9" t="s">
        <v>917</v>
      </c>
    </row>
    <row r="20">
      <c r="A20" s="1">
        <v>46041.45448244213</v>
      </c>
      <c r="B20" s="2" t="s">
        <v>144</v>
      </c>
      <c r="C20" s="5">
        <v>46041.0</v>
      </c>
      <c r="D20" s="2" t="s">
        <v>19</v>
      </c>
      <c r="E20" s="2" t="s">
        <v>798</v>
      </c>
      <c r="F20" s="2" t="s">
        <v>598</v>
      </c>
      <c r="G20" s="2">
        <v>10.0</v>
      </c>
      <c r="H20" s="2" t="s">
        <v>66</v>
      </c>
      <c r="I20" s="2" t="s">
        <v>599</v>
      </c>
      <c r="K20" s="2">
        <v>0.0</v>
      </c>
      <c r="L20" s="2">
        <v>0.0</v>
      </c>
      <c r="M20" s="2" t="s">
        <v>916</v>
      </c>
      <c r="N20" s="2" t="s">
        <v>24</v>
      </c>
      <c r="Q20" s="9" t="s">
        <v>917</v>
      </c>
    </row>
    <row r="21">
      <c r="A21" s="1">
        <v>46041.45448244213</v>
      </c>
      <c r="B21" s="2" t="s">
        <v>144</v>
      </c>
      <c r="C21" s="5">
        <v>46041.0</v>
      </c>
      <c r="D21" s="2" t="s">
        <v>19</v>
      </c>
      <c r="E21" s="2" t="s">
        <v>798</v>
      </c>
      <c r="F21" s="2" t="s">
        <v>744</v>
      </c>
      <c r="G21" s="2">
        <v>1.0</v>
      </c>
      <c r="H21" s="2" t="s">
        <v>48</v>
      </c>
      <c r="I21" s="2" t="s">
        <v>745</v>
      </c>
      <c r="K21" s="2">
        <v>0.0</v>
      </c>
      <c r="L21" s="2">
        <v>0.0</v>
      </c>
      <c r="M21" s="2" t="s">
        <v>916</v>
      </c>
      <c r="N21" s="2" t="s">
        <v>24</v>
      </c>
      <c r="Q21" s="9" t="s">
        <v>917</v>
      </c>
    </row>
    <row r="22">
      <c r="A22" s="1">
        <v>46041.45448244213</v>
      </c>
      <c r="B22" s="2" t="s">
        <v>144</v>
      </c>
      <c r="C22" s="5">
        <v>46041.0</v>
      </c>
      <c r="D22" s="2" t="s">
        <v>19</v>
      </c>
      <c r="E22" s="2" t="s">
        <v>798</v>
      </c>
      <c r="F22" s="2" t="s">
        <v>694</v>
      </c>
      <c r="G22" s="2">
        <v>1.0</v>
      </c>
      <c r="H22" s="2" t="s">
        <v>696</v>
      </c>
      <c r="I22" s="2" t="s">
        <v>695</v>
      </c>
      <c r="K22" s="2">
        <v>0.0</v>
      </c>
      <c r="L22" s="2">
        <v>0.0</v>
      </c>
      <c r="M22" s="2" t="s">
        <v>916</v>
      </c>
      <c r="N22" s="2" t="s">
        <v>24</v>
      </c>
      <c r="Q22" s="9" t="s">
        <v>917</v>
      </c>
    </row>
    <row r="23">
      <c r="A23" s="1">
        <v>46041.45448244213</v>
      </c>
      <c r="B23" s="2" t="s">
        <v>144</v>
      </c>
      <c r="C23" s="5">
        <v>46041.0</v>
      </c>
      <c r="D23" s="2" t="s">
        <v>19</v>
      </c>
      <c r="E23" s="2" t="s">
        <v>798</v>
      </c>
      <c r="F23" s="2" t="s">
        <v>686</v>
      </c>
      <c r="G23" s="2">
        <v>1.0</v>
      </c>
      <c r="H23" s="2" t="s">
        <v>21</v>
      </c>
      <c r="I23" s="2" t="s">
        <v>687</v>
      </c>
      <c r="K23" s="2">
        <v>0.0</v>
      </c>
      <c r="L23" s="2">
        <v>0.0</v>
      </c>
      <c r="M23" s="2" t="s">
        <v>916</v>
      </c>
      <c r="N23" s="2" t="s">
        <v>24</v>
      </c>
      <c r="Q23" s="9" t="s">
        <v>917</v>
      </c>
    </row>
    <row r="24">
      <c r="A24" s="14"/>
      <c r="N24" s="4"/>
    </row>
    <row r="25">
      <c r="A25" s="14"/>
      <c r="N25" s="4"/>
    </row>
    <row r="26">
      <c r="A26" s="14"/>
      <c r="N26" s="4"/>
    </row>
    <row r="27">
      <c r="A27" s="14"/>
      <c r="N27" s="4"/>
    </row>
    <row r="28">
      <c r="A28" s="14"/>
      <c r="N28" s="4"/>
    </row>
    <row r="29">
      <c r="A29" s="14"/>
      <c r="N29" s="4"/>
    </row>
    <row r="30">
      <c r="A30" s="14"/>
      <c r="N30" s="4"/>
    </row>
    <row r="31">
      <c r="A31" s="14"/>
      <c r="N31" s="4"/>
    </row>
    <row r="32">
      <c r="A32" s="14"/>
      <c r="N32" s="4"/>
    </row>
    <row r="33">
      <c r="A33" s="14"/>
      <c r="N33" s="4"/>
    </row>
    <row r="34">
      <c r="A34" s="14"/>
      <c r="N34" s="4"/>
    </row>
    <row r="35">
      <c r="A35" s="14"/>
      <c r="N35" s="4"/>
    </row>
    <row r="36">
      <c r="A36" s="14"/>
      <c r="N36" s="4"/>
    </row>
    <row r="37">
      <c r="A37" s="14"/>
      <c r="N37" s="4"/>
    </row>
    <row r="38">
      <c r="A38" s="14"/>
      <c r="N38" s="4"/>
    </row>
    <row r="39">
      <c r="A39" s="14"/>
      <c r="N39" s="4"/>
    </row>
    <row r="40">
      <c r="A40" s="14"/>
      <c r="N40" s="4"/>
    </row>
    <row r="41">
      <c r="A41" s="14"/>
      <c r="N41" s="4"/>
    </row>
    <row r="42">
      <c r="A42" s="14"/>
      <c r="N42" s="4"/>
    </row>
    <row r="43">
      <c r="A43" s="14"/>
      <c r="N43" s="4"/>
    </row>
    <row r="44">
      <c r="A44" s="14"/>
      <c r="N44" s="4"/>
    </row>
    <row r="45">
      <c r="A45" s="14"/>
      <c r="N45" s="4"/>
    </row>
    <row r="46">
      <c r="A46" s="14"/>
      <c r="N46" s="4"/>
    </row>
    <row r="47">
      <c r="A47" s="14"/>
      <c r="N47" s="4"/>
    </row>
    <row r="48">
      <c r="A48" s="14"/>
      <c r="N48" s="4"/>
    </row>
    <row r="49">
      <c r="A49" s="14"/>
      <c r="N49" s="4"/>
    </row>
    <row r="50">
      <c r="A50" s="14"/>
      <c r="N50" s="4"/>
    </row>
    <row r="51">
      <c r="A51" s="14"/>
      <c r="N51" s="4"/>
    </row>
    <row r="52">
      <c r="A52" s="14"/>
      <c r="N52" s="4"/>
    </row>
    <row r="53">
      <c r="A53" s="14"/>
      <c r="N53" s="4"/>
    </row>
    <row r="54">
      <c r="A54" s="14"/>
      <c r="N54" s="4"/>
    </row>
    <row r="55">
      <c r="A55" s="14"/>
      <c r="N55" s="4"/>
    </row>
    <row r="56">
      <c r="A56" s="14"/>
      <c r="N56" s="4"/>
    </row>
    <row r="57">
      <c r="A57" s="14"/>
      <c r="N57" s="4"/>
    </row>
    <row r="58">
      <c r="A58" s="14"/>
      <c r="N58" s="4"/>
    </row>
    <row r="59">
      <c r="A59" s="14"/>
      <c r="N59" s="4"/>
    </row>
    <row r="60">
      <c r="A60" s="14"/>
      <c r="N60" s="4"/>
    </row>
    <row r="61">
      <c r="A61" s="14"/>
      <c r="N61" s="4"/>
    </row>
    <row r="62">
      <c r="A62" s="14"/>
      <c r="N62" s="4"/>
    </row>
    <row r="63">
      <c r="A63" s="14"/>
      <c r="N63" s="4"/>
    </row>
    <row r="64">
      <c r="A64" s="14"/>
      <c r="N64" s="4"/>
    </row>
    <row r="65">
      <c r="A65" s="14"/>
      <c r="N65" s="4"/>
    </row>
    <row r="66">
      <c r="A66" s="14"/>
      <c r="N66" s="4"/>
    </row>
    <row r="67">
      <c r="A67" s="14"/>
      <c r="N67" s="4"/>
    </row>
    <row r="68">
      <c r="A68" s="14"/>
      <c r="N68" s="4"/>
    </row>
    <row r="69">
      <c r="A69" s="14"/>
      <c r="N69" s="4"/>
    </row>
    <row r="70">
      <c r="A70" s="14"/>
      <c r="N70" s="4"/>
    </row>
    <row r="71">
      <c r="A71" s="14"/>
      <c r="N71" s="4"/>
    </row>
    <row r="72">
      <c r="A72" s="14"/>
      <c r="N72" s="4"/>
    </row>
    <row r="73">
      <c r="A73" s="14"/>
      <c r="N73" s="4"/>
    </row>
    <row r="74">
      <c r="A74" s="14"/>
      <c r="N74" s="4"/>
    </row>
    <row r="75">
      <c r="A75" s="14"/>
      <c r="N75" s="4"/>
    </row>
    <row r="76">
      <c r="A76" s="14"/>
      <c r="N76" s="4"/>
    </row>
    <row r="77">
      <c r="A77" s="14"/>
      <c r="N77" s="4"/>
    </row>
    <row r="78">
      <c r="A78" s="14"/>
      <c r="N78" s="4"/>
    </row>
    <row r="79">
      <c r="A79" s="14"/>
      <c r="N79" s="4"/>
    </row>
    <row r="80">
      <c r="A80" s="14"/>
      <c r="N80" s="4"/>
    </row>
    <row r="81">
      <c r="A81" s="14"/>
      <c r="N81" s="4"/>
    </row>
    <row r="82">
      <c r="A82" s="14"/>
      <c r="N82" s="4"/>
    </row>
    <row r="83">
      <c r="A83" s="14"/>
      <c r="N83" s="4"/>
    </row>
    <row r="84">
      <c r="A84" s="14"/>
      <c r="N84" s="4"/>
    </row>
    <row r="85">
      <c r="A85" s="14"/>
      <c r="N85" s="4"/>
    </row>
    <row r="86">
      <c r="A86" s="14"/>
      <c r="N86" s="4"/>
    </row>
    <row r="87">
      <c r="A87" s="14"/>
      <c r="N87" s="4"/>
    </row>
    <row r="88">
      <c r="A88" s="14"/>
      <c r="N88" s="4"/>
    </row>
    <row r="89">
      <c r="A89" s="14"/>
      <c r="N89" s="4"/>
    </row>
    <row r="90">
      <c r="A90" s="14"/>
      <c r="N90" s="4"/>
    </row>
    <row r="91">
      <c r="A91" s="14"/>
      <c r="N91" s="4"/>
    </row>
    <row r="92">
      <c r="A92" s="14"/>
      <c r="N92" s="4"/>
    </row>
    <row r="93">
      <c r="A93" s="14"/>
      <c r="N93" s="4"/>
    </row>
    <row r="94">
      <c r="A94" s="14"/>
      <c r="N94" s="4"/>
    </row>
    <row r="95">
      <c r="A95" s="14"/>
      <c r="N95" s="4"/>
    </row>
    <row r="96">
      <c r="A96" s="14"/>
      <c r="N96" s="4"/>
    </row>
    <row r="97">
      <c r="A97" s="14"/>
      <c r="N97" s="4"/>
    </row>
    <row r="98">
      <c r="A98" s="14"/>
      <c r="N98" s="4"/>
    </row>
    <row r="99">
      <c r="A99" s="14"/>
      <c r="N99" s="4"/>
    </row>
    <row r="100">
      <c r="A100" s="14"/>
      <c r="N100" s="4"/>
    </row>
    <row r="101">
      <c r="A101" s="14"/>
      <c r="N101" s="4"/>
    </row>
    <row r="102">
      <c r="A102" s="14"/>
      <c r="N102" s="4"/>
    </row>
    <row r="103">
      <c r="A103" s="14"/>
      <c r="N103" s="4"/>
    </row>
    <row r="104">
      <c r="A104" s="14"/>
      <c r="N104" s="4"/>
    </row>
    <row r="105">
      <c r="A105" s="14"/>
      <c r="N105" s="4"/>
    </row>
    <row r="106">
      <c r="A106" s="14"/>
      <c r="N106" s="4"/>
    </row>
    <row r="107">
      <c r="A107" s="14"/>
      <c r="N107" s="4"/>
    </row>
    <row r="108">
      <c r="A108" s="14"/>
      <c r="N108" s="4"/>
    </row>
    <row r="109">
      <c r="A109" s="14"/>
      <c r="N109" s="4"/>
    </row>
    <row r="110">
      <c r="A110" s="14"/>
      <c r="N110" s="4"/>
    </row>
    <row r="111">
      <c r="A111" s="14"/>
      <c r="N111" s="4"/>
    </row>
    <row r="112">
      <c r="A112" s="14"/>
      <c r="N112" s="4"/>
    </row>
    <row r="113">
      <c r="A113" s="14"/>
      <c r="N113" s="4"/>
    </row>
    <row r="114">
      <c r="A114" s="14"/>
      <c r="N114" s="4"/>
    </row>
    <row r="115">
      <c r="A115" s="14"/>
      <c r="N115" s="4"/>
    </row>
    <row r="116">
      <c r="A116" s="14"/>
      <c r="N116" s="4"/>
    </row>
    <row r="117">
      <c r="A117" s="14"/>
      <c r="N117" s="4"/>
    </row>
    <row r="118">
      <c r="A118" s="14"/>
      <c r="N118" s="4"/>
    </row>
    <row r="119">
      <c r="A119" s="14"/>
      <c r="N119" s="4"/>
    </row>
    <row r="120">
      <c r="A120" s="14"/>
      <c r="N120" s="4"/>
    </row>
    <row r="121">
      <c r="A121" s="14"/>
      <c r="N121" s="4"/>
    </row>
    <row r="122">
      <c r="A122" s="14"/>
      <c r="N122" s="4"/>
    </row>
    <row r="123">
      <c r="A123" s="14"/>
      <c r="N123" s="4"/>
    </row>
    <row r="124">
      <c r="A124" s="14"/>
      <c r="N124" s="4"/>
    </row>
    <row r="125">
      <c r="A125" s="14"/>
      <c r="N125" s="4"/>
    </row>
    <row r="126">
      <c r="A126" s="14"/>
      <c r="N126" s="4"/>
    </row>
    <row r="127">
      <c r="A127" s="14"/>
      <c r="N127" s="4"/>
    </row>
    <row r="128">
      <c r="A128" s="14"/>
      <c r="N128" s="4"/>
    </row>
    <row r="129">
      <c r="A129" s="14"/>
      <c r="N129" s="4"/>
    </row>
    <row r="130">
      <c r="A130" s="14"/>
      <c r="N130" s="4"/>
    </row>
    <row r="131">
      <c r="A131" s="14"/>
      <c r="N131" s="4"/>
    </row>
    <row r="132">
      <c r="A132" s="14"/>
      <c r="N132" s="4"/>
    </row>
    <row r="133">
      <c r="A133" s="14"/>
      <c r="N133" s="4"/>
    </row>
    <row r="134">
      <c r="A134" s="14"/>
      <c r="N134" s="4"/>
    </row>
    <row r="135">
      <c r="A135" s="14"/>
      <c r="N135" s="4"/>
    </row>
    <row r="136">
      <c r="A136" s="14"/>
      <c r="N136" s="4"/>
    </row>
    <row r="137">
      <c r="A137" s="14"/>
      <c r="N137" s="4"/>
    </row>
    <row r="138">
      <c r="A138" s="14"/>
      <c r="N138" s="4"/>
    </row>
    <row r="139">
      <c r="A139" s="14"/>
      <c r="N139" s="4"/>
    </row>
    <row r="140">
      <c r="A140" s="14"/>
      <c r="N140" s="4"/>
    </row>
    <row r="141">
      <c r="A141" s="14"/>
      <c r="N141" s="4"/>
    </row>
    <row r="142">
      <c r="A142" s="14"/>
      <c r="N142" s="4"/>
    </row>
    <row r="143">
      <c r="A143" s="14"/>
      <c r="N143" s="4"/>
    </row>
    <row r="144">
      <c r="A144" s="14"/>
      <c r="N144" s="4"/>
    </row>
    <row r="145">
      <c r="A145" s="14"/>
      <c r="N145" s="4"/>
    </row>
    <row r="146">
      <c r="A146" s="14"/>
      <c r="N146" s="4"/>
    </row>
    <row r="147">
      <c r="A147" s="14"/>
      <c r="N147" s="4"/>
    </row>
    <row r="148">
      <c r="A148" s="14"/>
      <c r="N148" s="4"/>
    </row>
    <row r="149">
      <c r="A149" s="14"/>
      <c r="N149" s="4"/>
    </row>
    <row r="150">
      <c r="A150" s="14"/>
      <c r="N150" s="4"/>
    </row>
    <row r="151">
      <c r="A151" s="14"/>
      <c r="N151" s="4"/>
    </row>
    <row r="152">
      <c r="A152" s="14"/>
      <c r="N152" s="4"/>
    </row>
    <row r="153">
      <c r="A153" s="14"/>
      <c r="N153" s="4"/>
    </row>
    <row r="154">
      <c r="A154" s="14"/>
      <c r="N154" s="4"/>
    </row>
    <row r="155">
      <c r="A155" s="14"/>
      <c r="N155" s="4"/>
    </row>
    <row r="156">
      <c r="A156" s="14"/>
      <c r="N156" s="4"/>
    </row>
    <row r="157">
      <c r="A157" s="14"/>
      <c r="N157" s="4"/>
    </row>
    <row r="158">
      <c r="A158" s="14"/>
      <c r="N158" s="4"/>
    </row>
    <row r="159">
      <c r="A159" s="14"/>
      <c r="N159" s="4"/>
    </row>
    <row r="160">
      <c r="A160" s="14"/>
      <c r="N160" s="4"/>
    </row>
    <row r="161">
      <c r="A161" s="14"/>
      <c r="N161" s="4"/>
    </row>
    <row r="162">
      <c r="A162" s="14"/>
      <c r="N162" s="4"/>
    </row>
    <row r="163">
      <c r="A163" s="14"/>
      <c r="N163" s="4"/>
    </row>
    <row r="164">
      <c r="A164" s="14"/>
      <c r="N164" s="4"/>
    </row>
    <row r="165">
      <c r="A165" s="14"/>
      <c r="N165" s="4"/>
    </row>
    <row r="166">
      <c r="A166" s="14"/>
      <c r="N166" s="4"/>
    </row>
    <row r="167">
      <c r="A167" s="14"/>
      <c r="N167" s="4"/>
    </row>
    <row r="168">
      <c r="A168" s="14"/>
      <c r="N168" s="4"/>
    </row>
    <row r="169">
      <c r="A169" s="14"/>
      <c r="N169" s="4"/>
    </row>
    <row r="170">
      <c r="A170" s="14"/>
      <c r="N170" s="4"/>
    </row>
    <row r="171">
      <c r="A171" s="14"/>
      <c r="N171" s="4"/>
    </row>
    <row r="172">
      <c r="A172" s="14"/>
      <c r="N172" s="4"/>
    </row>
    <row r="173">
      <c r="A173" s="14"/>
      <c r="N173" s="4"/>
    </row>
    <row r="174">
      <c r="A174" s="14"/>
      <c r="N174" s="4"/>
    </row>
    <row r="175">
      <c r="A175" s="14"/>
      <c r="N175" s="4"/>
    </row>
    <row r="176">
      <c r="A176" s="14"/>
      <c r="N176" s="4"/>
    </row>
    <row r="177">
      <c r="A177" s="14"/>
      <c r="N177" s="4"/>
    </row>
    <row r="178">
      <c r="A178" s="14"/>
      <c r="N178" s="4"/>
    </row>
    <row r="179">
      <c r="A179" s="14"/>
      <c r="N179" s="4"/>
    </row>
    <row r="180">
      <c r="A180" s="14"/>
      <c r="N180" s="4"/>
    </row>
    <row r="181">
      <c r="A181" s="14"/>
      <c r="N181" s="4"/>
    </row>
    <row r="182">
      <c r="A182" s="14"/>
      <c r="N182" s="4"/>
    </row>
    <row r="183">
      <c r="A183" s="14"/>
      <c r="N183" s="4"/>
    </row>
    <row r="184">
      <c r="A184" s="14"/>
      <c r="N184" s="4"/>
    </row>
    <row r="185">
      <c r="A185" s="14"/>
      <c r="N185" s="4"/>
    </row>
    <row r="186">
      <c r="A186" s="14"/>
      <c r="N186" s="4"/>
    </row>
    <row r="187">
      <c r="A187" s="14"/>
      <c r="N187" s="4"/>
    </row>
    <row r="188">
      <c r="A188" s="14"/>
      <c r="N188" s="4"/>
    </row>
    <row r="189">
      <c r="A189" s="14"/>
      <c r="N189" s="4"/>
    </row>
    <row r="190">
      <c r="A190" s="14"/>
      <c r="N190" s="4"/>
    </row>
    <row r="191">
      <c r="A191" s="14"/>
      <c r="N191" s="4"/>
    </row>
    <row r="192">
      <c r="A192" s="14"/>
      <c r="N192" s="4"/>
    </row>
    <row r="193">
      <c r="A193" s="14"/>
      <c r="N193" s="4"/>
    </row>
    <row r="194">
      <c r="A194" s="14"/>
      <c r="N194" s="4"/>
    </row>
    <row r="195">
      <c r="A195" s="14"/>
      <c r="N195" s="4"/>
    </row>
    <row r="196">
      <c r="A196" s="14"/>
      <c r="N196" s="4"/>
    </row>
    <row r="197">
      <c r="A197" s="14"/>
      <c r="N197" s="4"/>
    </row>
    <row r="198">
      <c r="A198" s="14"/>
      <c r="N198" s="4"/>
    </row>
    <row r="199">
      <c r="A199" s="14"/>
      <c r="N199" s="4"/>
    </row>
    <row r="200">
      <c r="A200" s="14"/>
      <c r="N200" s="4"/>
    </row>
    <row r="201">
      <c r="A201" s="14"/>
      <c r="N201" s="4"/>
    </row>
    <row r="202">
      <c r="A202" s="14"/>
      <c r="N202" s="4"/>
    </row>
    <row r="203">
      <c r="A203" s="14"/>
      <c r="N203" s="4"/>
    </row>
    <row r="204">
      <c r="A204" s="14"/>
      <c r="N204" s="4"/>
    </row>
    <row r="205">
      <c r="A205" s="14"/>
      <c r="N205" s="4"/>
    </row>
    <row r="206">
      <c r="A206" s="14"/>
      <c r="N206" s="4"/>
    </row>
    <row r="207">
      <c r="A207" s="14"/>
      <c r="N207" s="4"/>
    </row>
    <row r="208">
      <c r="A208" s="14"/>
      <c r="N208" s="4"/>
    </row>
    <row r="209">
      <c r="A209" s="14"/>
      <c r="N209" s="4"/>
    </row>
    <row r="210">
      <c r="A210" s="14"/>
      <c r="N210" s="4"/>
    </row>
    <row r="211">
      <c r="A211" s="14"/>
      <c r="N211" s="4"/>
    </row>
    <row r="212">
      <c r="A212" s="14"/>
      <c r="N212" s="4"/>
    </row>
    <row r="213">
      <c r="A213" s="14"/>
      <c r="N213" s="4"/>
    </row>
    <row r="214">
      <c r="A214" s="14"/>
      <c r="N214" s="4"/>
    </row>
    <row r="215">
      <c r="A215" s="14"/>
      <c r="N215" s="4"/>
    </row>
    <row r="216">
      <c r="A216" s="14"/>
      <c r="N216" s="4"/>
    </row>
    <row r="217">
      <c r="A217" s="14"/>
      <c r="N217" s="4"/>
    </row>
    <row r="218">
      <c r="A218" s="14"/>
      <c r="N218" s="4"/>
    </row>
    <row r="219">
      <c r="A219" s="14"/>
      <c r="N219" s="4"/>
    </row>
    <row r="220">
      <c r="A220" s="14"/>
      <c r="N220" s="4"/>
    </row>
    <row r="221">
      <c r="A221" s="14"/>
      <c r="N221" s="4"/>
    </row>
    <row r="222">
      <c r="A222" s="14"/>
      <c r="N222" s="4"/>
    </row>
    <row r="223">
      <c r="A223" s="14"/>
      <c r="N223" s="4"/>
    </row>
    <row r="224">
      <c r="A224" s="14"/>
      <c r="N224" s="4"/>
    </row>
    <row r="225">
      <c r="A225" s="14"/>
      <c r="N225" s="4"/>
    </row>
    <row r="226">
      <c r="A226" s="14"/>
      <c r="N226" s="4"/>
    </row>
    <row r="227">
      <c r="A227" s="14"/>
      <c r="N227" s="4"/>
    </row>
    <row r="228">
      <c r="A228" s="14"/>
      <c r="N228" s="4"/>
    </row>
    <row r="229">
      <c r="A229" s="14"/>
      <c r="N229" s="4"/>
    </row>
    <row r="230">
      <c r="A230" s="14"/>
      <c r="N230" s="4"/>
    </row>
    <row r="231">
      <c r="A231" s="14"/>
      <c r="N231" s="4"/>
    </row>
    <row r="232">
      <c r="A232" s="14"/>
      <c r="N232" s="4"/>
    </row>
    <row r="233">
      <c r="A233" s="14"/>
      <c r="N233" s="4"/>
    </row>
    <row r="234">
      <c r="A234" s="14"/>
      <c r="N234" s="4"/>
    </row>
    <row r="235">
      <c r="A235" s="14"/>
      <c r="N235" s="4"/>
    </row>
    <row r="236">
      <c r="A236" s="14"/>
      <c r="N236" s="4"/>
    </row>
    <row r="237">
      <c r="A237" s="14"/>
      <c r="N237" s="4"/>
    </row>
    <row r="238">
      <c r="A238" s="14"/>
      <c r="N238" s="4"/>
    </row>
    <row r="239">
      <c r="A239" s="14"/>
      <c r="N239" s="4"/>
    </row>
    <row r="240">
      <c r="A240" s="14"/>
      <c r="N240" s="4"/>
    </row>
    <row r="241">
      <c r="A241" s="14"/>
      <c r="N241" s="4"/>
    </row>
    <row r="242">
      <c r="A242" s="14"/>
      <c r="N242" s="4"/>
    </row>
    <row r="243">
      <c r="A243" s="14"/>
      <c r="N243" s="4"/>
    </row>
    <row r="244">
      <c r="A244" s="14"/>
      <c r="N244" s="4"/>
    </row>
    <row r="245">
      <c r="A245" s="14"/>
      <c r="N245" s="4"/>
    </row>
    <row r="246">
      <c r="A246" s="14"/>
      <c r="N246" s="4"/>
    </row>
    <row r="247">
      <c r="A247" s="14"/>
      <c r="N247" s="4"/>
    </row>
    <row r="248">
      <c r="A248" s="14"/>
      <c r="N248" s="4"/>
    </row>
    <row r="249">
      <c r="A249" s="14"/>
      <c r="N249" s="4"/>
    </row>
    <row r="250">
      <c r="A250" s="14"/>
      <c r="N250" s="4"/>
    </row>
    <row r="251">
      <c r="A251" s="14"/>
      <c r="N251" s="4"/>
    </row>
    <row r="252">
      <c r="A252" s="14"/>
      <c r="N252" s="4"/>
    </row>
    <row r="253">
      <c r="A253" s="14"/>
      <c r="N253" s="4"/>
    </row>
    <row r="254">
      <c r="A254" s="14"/>
      <c r="N254" s="4"/>
    </row>
    <row r="255">
      <c r="A255" s="14"/>
      <c r="N255" s="4"/>
    </row>
    <row r="256">
      <c r="A256" s="14"/>
      <c r="N256" s="4"/>
    </row>
    <row r="257">
      <c r="A257" s="14"/>
      <c r="N257" s="4"/>
    </row>
    <row r="258">
      <c r="A258" s="14"/>
      <c r="N258" s="4"/>
    </row>
    <row r="259">
      <c r="A259" s="14"/>
      <c r="N259" s="4"/>
    </row>
    <row r="260">
      <c r="A260" s="14"/>
      <c r="N260" s="4"/>
    </row>
    <row r="261">
      <c r="A261" s="14"/>
      <c r="N261" s="4"/>
    </row>
    <row r="262">
      <c r="A262" s="14"/>
      <c r="N262" s="4"/>
    </row>
    <row r="263">
      <c r="A263" s="14"/>
      <c r="N263" s="4"/>
    </row>
    <row r="264">
      <c r="A264" s="14"/>
      <c r="N264" s="4"/>
    </row>
    <row r="265">
      <c r="A265" s="14"/>
      <c r="N265" s="4"/>
    </row>
    <row r="266">
      <c r="A266" s="14"/>
      <c r="N266" s="4"/>
    </row>
    <row r="267">
      <c r="A267" s="14"/>
      <c r="N267" s="4"/>
    </row>
    <row r="268">
      <c r="A268" s="14"/>
      <c r="N268" s="4"/>
    </row>
    <row r="269">
      <c r="A269" s="14"/>
      <c r="N269" s="4"/>
    </row>
    <row r="270">
      <c r="A270" s="14"/>
      <c r="N270" s="4"/>
    </row>
    <row r="271">
      <c r="A271" s="14"/>
      <c r="N271" s="4"/>
    </row>
    <row r="272">
      <c r="A272" s="14"/>
      <c r="N272" s="4"/>
    </row>
    <row r="273">
      <c r="A273" s="14"/>
      <c r="N273" s="4"/>
    </row>
    <row r="274">
      <c r="A274" s="14"/>
      <c r="N274" s="4"/>
    </row>
    <row r="275">
      <c r="A275" s="14"/>
      <c r="N275" s="4"/>
    </row>
    <row r="276">
      <c r="A276" s="14"/>
      <c r="N276" s="4"/>
    </row>
    <row r="277">
      <c r="A277" s="14"/>
      <c r="N277" s="4"/>
    </row>
    <row r="278">
      <c r="A278" s="14"/>
      <c r="N278" s="4"/>
    </row>
    <row r="279">
      <c r="A279" s="14"/>
      <c r="N279" s="4"/>
    </row>
    <row r="280">
      <c r="A280" s="14"/>
      <c r="N280" s="4"/>
    </row>
    <row r="281">
      <c r="A281" s="14"/>
      <c r="N281" s="4"/>
    </row>
    <row r="282">
      <c r="A282" s="14"/>
      <c r="N282" s="4"/>
    </row>
    <row r="283">
      <c r="A283" s="14"/>
      <c r="N283" s="4"/>
    </row>
    <row r="284">
      <c r="A284" s="14"/>
      <c r="N284" s="4"/>
    </row>
    <row r="285">
      <c r="A285" s="14"/>
      <c r="N285" s="4"/>
    </row>
    <row r="286">
      <c r="A286" s="14"/>
      <c r="N286" s="4"/>
    </row>
    <row r="287">
      <c r="A287" s="14"/>
      <c r="N287" s="4"/>
    </row>
    <row r="288">
      <c r="A288" s="14"/>
      <c r="N288" s="4"/>
    </row>
    <row r="289">
      <c r="A289" s="14"/>
      <c r="N289" s="4"/>
    </row>
    <row r="290">
      <c r="A290" s="14"/>
      <c r="N290" s="4"/>
    </row>
    <row r="291">
      <c r="A291" s="14"/>
      <c r="N291" s="4"/>
    </row>
    <row r="292">
      <c r="A292" s="14"/>
      <c r="N292" s="4"/>
    </row>
    <row r="293">
      <c r="A293" s="14"/>
      <c r="N293" s="4"/>
    </row>
    <row r="294">
      <c r="A294" s="14"/>
      <c r="N294" s="4"/>
    </row>
    <row r="295">
      <c r="A295" s="14"/>
      <c r="N295" s="4"/>
    </row>
    <row r="296">
      <c r="A296" s="14"/>
      <c r="N296" s="4"/>
    </row>
    <row r="297">
      <c r="A297" s="14"/>
      <c r="N297" s="4"/>
    </row>
    <row r="298">
      <c r="A298" s="14"/>
      <c r="N298" s="4"/>
    </row>
    <row r="299">
      <c r="A299" s="14"/>
      <c r="N299" s="4"/>
    </row>
    <row r="300">
      <c r="A300" s="14"/>
      <c r="N300" s="4"/>
    </row>
    <row r="301">
      <c r="A301" s="14"/>
      <c r="N301" s="4"/>
    </row>
    <row r="302">
      <c r="A302" s="14"/>
      <c r="N302" s="4"/>
    </row>
    <row r="303">
      <c r="A303" s="14"/>
      <c r="N303" s="4"/>
    </row>
    <row r="304">
      <c r="A304" s="14"/>
      <c r="N304" s="4"/>
    </row>
    <row r="305">
      <c r="A305" s="14"/>
      <c r="N305" s="4"/>
    </row>
    <row r="306">
      <c r="A306" s="14"/>
      <c r="N306" s="4"/>
    </row>
    <row r="307">
      <c r="A307" s="14"/>
      <c r="N307" s="4"/>
    </row>
    <row r="308">
      <c r="A308" s="14"/>
      <c r="N308" s="4"/>
    </row>
    <row r="309">
      <c r="A309" s="14"/>
      <c r="N309" s="4"/>
    </row>
    <row r="310">
      <c r="A310" s="14"/>
      <c r="N310" s="4"/>
    </row>
    <row r="311">
      <c r="A311" s="14"/>
      <c r="N311" s="4"/>
    </row>
    <row r="312">
      <c r="A312" s="14"/>
      <c r="N312" s="4"/>
    </row>
    <row r="313">
      <c r="A313" s="14"/>
      <c r="N313" s="4"/>
    </row>
    <row r="314">
      <c r="A314" s="14"/>
      <c r="N314" s="4"/>
    </row>
    <row r="315">
      <c r="A315" s="14"/>
      <c r="N315" s="4"/>
    </row>
    <row r="316">
      <c r="A316" s="14"/>
      <c r="N316" s="4"/>
    </row>
    <row r="317">
      <c r="A317" s="14"/>
      <c r="N317" s="4"/>
    </row>
    <row r="318">
      <c r="A318" s="14"/>
      <c r="N318" s="4"/>
    </row>
    <row r="319">
      <c r="A319" s="14"/>
      <c r="N319" s="4"/>
    </row>
    <row r="320">
      <c r="A320" s="14"/>
      <c r="N320" s="4"/>
    </row>
    <row r="321">
      <c r="A321" s="14"/>
      <c r="N321" s="4"/>
    </row>
    <row r="322">
      <c r="A322" s="14"/>
      <c r="N322" s="4"/>
    </row>
    <row r="323">
      <c r="A323" s="14"/>
      <c r="N323" s="4"/>
    </row>
    <row r="324">
      <c r="A324" s="14"/>
      <c r="N324" s="4"/>
    </row>
    <row r="325">
      <c r="A325" s="14"/>
      <c r="N325" s="4"/>
    </row>
    <row r="326">
      <c r="A326" s="14"/>
      <c r="N326" s="4"/>
    </row>
    <row r="327">
      <c r="A327" s="14"/>
      <c r="N327" s="4"/>
    </row>
    <row r="328">
      <c r="A328" s="14"/>
      <c r="N328" s="4"/>
    </row>
    <row r="329">
      <c r="A329" s="14"/>
      <c r="N329" s="4"/>
    </row>
    <row r="330">
      <c r="A330" s="14"/>
      <c r="N330" s="4"/>
    </row>
    <row r="331">
      <c r="A331" s="14"/>
      <c r="N331" s="4"/>
    </row>
    <row r="332">
      <c r="A332" s="14"/>
      <c r="N332" s="4"/>
    </row>
    <row r="333">
      <c r="A333" s="14"/>
      <c r="N333" s="4"/>
    </row>
    <row r="334">
      <c r="A334" s="14"/>
      <c r="N334" s="4"/>
    </row>
    <row r="335">
      <c r="A335" s="14"/>
      <c r="N335" s="4"/>
    </row>
    <row r="336">
      <c r="A336" s="14"/>
      <c r="N336" s="4"/>
    </row>
    <row r="337">
      <c r="A337" s="14"/>
      <c r="N337" s="4"/>
    </row>
    <row r="338">
      <c r="A338" s="14"/>
      <c r="N338" s="4"/>
    </row>
    <row r="339">
      <c r="A339" s="14"/>
      <c r="N339" s="4"/>
    </row>
    <row r="340">
      <c r="A340" s="14"/>
      <c r="N340" s="4"/>
    </row>
    <row r="341">
      <c r="A341" s="14"/>
      <c r="N341" s="4"/>
    </row>
    <row r="342">
      <c r="A342" s="14"/>
      <c r="N342" s="4"/>
    </row>
    <row r="343">
      <c r="A343" s="14"/>
      <c r="N343" s="4"/>
    </row>
    <row r="344">
      <c r="A344" s="14"/>
      <c r="N344" s="4"/>
    </row>
    <row r="345">
      <c r="A345" s="14"/>
      <c r="N345" s="4"/>
    </row>
    <row r="346">
      <c r="A346" s="14"/>
      <c r="N346" s="4"/>
    </row>
    <row r="347">
      <c r="A347" s="14"/>
      <c r="N347" s="4"/>
    </row>
    <row r="348">
      <c r="A348" s="14"/>
      <c r="N348" s="4"/>
    </row>
    <row r="349">
      <c r="A349" s="14"/>
      <c r="N349" s="4"/>
    </row>
    <row r="350">
      <c r="A350" s="14"/>
      <c r="N350" s="4"/>
    </row>
    <row r="351">
      <c r="A351" s="14"/>
      <c r="N351" s="4"/>
    </row>
    <row r="352">
      <c r="A352" s="14"/>
      <c r="N352" s="4"/>
    </row>
    <row r="353">
      <c r="A353" s="14"/>
      <c r="N353" s="4"/>
    </row>
    <row r="354">
      <c r="A354" s="14"/>
      <c r="N354" s="4"/>
    </row>
    <row r="355">
      <c r="A355" s="14"/>
      <c r="N355" s="4"/>
    </row>
    <row r="356">
      <c r="A356" s="14"/>
      <c r="N356" s="4"/>
    </row>
    <row r="357">
      <c r="A357" s="14"/>
      <c r="N357" s="4"/>
    </row>
    <row r="358">
      <c r="A358" s="14"/>
      <c r="N358" s="4"/>
    </row>
    <row r="359">
      <c r="A359" s="14"/>
      <c r="N359" s="4"/>
    </row>
    <row r="360">
      <c r="A360" s="14"/>
      <c r="N360" s="4"/>
    </row>
    <row r="361">
      <c r="A361" s="14"/>
      <c r="N361" s="4"/>
    </row>
    <row r="362">
      <c r="A362" s="14"/>
      <c r="N362" s="4"/>
    </row>
    <row r="363">
      <c r="A363" s="14"/>
      <c r="N363" s="4"/>
    </row>
    <row r="364">
      <c r="A364" s="14"/>
      <c r="N364" s="4"/>
    </row>
    <row r="365">
      <c r="A365" s="14"/>
      <c r="N365" s="4"/>
    </row>
    <row r="366">
      <c r="A366" s="14"/>
      <c r="N366" s="4"/>
    </row>
    <row r="367">
      <c r="A367" s="14"/>
      <c r="N367" s="4"/>
    </row>
    <row r="368">
      <c r="A368" s="14"/>
      <c r="N368" s="4"/>
    </row>
    <row r="369">
      <c r="A369" s="14"/>
      <c r="N369" s="4"/>
    </row>
    <row r="370">
      <c r="A370" s="14"/>
      <c r="N370" s="4"/>
    </row>
    <row r="371">
      <c r="A371" s="14"/>
      <c r="N371" s="4"/>
    </row>
    <row r="372">
      <c r="A372" s="14"/>
      <c r="N372" s="4"/>
    </row>
    <row r="373">
      <c r="A373" s="14"/>
      <c r="N373" s="4"/>
    </row>
    <row r="374">
      <c r="A374" s="14"/>
      <c r="N374" s="4"/>
    </row>
    <row r="375">
      <c r="A375" s="14"/>
      <c r="N375" s="4"/>
    </row>
    <row r="376">
      <c r="A376" s="14"/>
      <c r="N376" s="4"/>
    </row>
    <row r="377">
      <c r="A377" s="14"/>
      <c r="N377" s="4"/>
    </row>
    <row r="378">
      <c r="A378" s="14"/>
      <c r="N378" s="4"/>
    </row>
    <row r="379">
      <c r="A379" s="14"/>
      <c r="N379" s="4"/>
    </row>
    <row r="380">
      <c r="A380" s="14"/>
      <c r="N380" s="4"/>
    </row>
    <row r="381">
      <c r="A381" s="14"/>
      <c r="N381" s="4"/>
    </row>
    <row r="382">
      <c r="A382" s="14"/>
      <c r="N382" s="4"/>
    </row>
    <row r="383">
      <c r="A383" s="14"/>
      <c r="N383" s="4"/>
    </row>
    <row r="384">
      <c r="A384" s="14"/>
      <c r="N384" s="4"/>
    </row>
    <row r="385">
      <c r="A385" s="14"/>
      <c r="N385" s="4"/>
    </row>
    <row r="386">
      <c r="A386" s="14"/>
      <c r="N386" s="4"/>
    </row>
    <row r="387">
      <c r="A387" s="14"/>
      <c r="N387" s="4"/>
    </row>
    <row r="388">
      <c r="A388" s="14"/>
      <c r="N388" s="4"/>
    </row>
    <row r="389">
      <c r="A389" s="14"/>
      <c r="N389" s="4"/>
    </row>
    <row r="390">
      <c r="A390" s="14"/>
      <c r="N390" s="4"/>
    </row>
    <row r="391">
      <c r="A391" s="14"/>
      <c r="N391" s="4"/>
    </row>
    <row r="392">
      <c r="A392" s="14"/>
      <c r="N392" s="4"/>
    </row>
    <row r="393">
      <c r="A393" s="14"/>
      <c r="N393" s="4"/>
    </row>
    <row r="394">
      <c r="A394" s="14"/>
      <c r="N394" s="4"/>
    </row>
    <row r="395">
      <c r="A395" s="14"/>
      <c r="N395" s="4"/>
    </row>
    <row r="396">
      <c r="A396" s="14"/>
      <c r="N396" s="4"/>
    </row>
    <row r="397">
      <c r="A397" s="14"/>
      <c r="N397" s="4"/>
    </row>
    <row r="398">
      <c r="A398" s="14"/>
      <c r="N398" s="4"/>
    </row>
    <row r="399">
      <c r="A399" s="14"/>
      <c r="N399" s="4"/>
    </row>
    <row r="400">
      <c r="A400" s="14"/>
      <c r="N400" s="4"/>
    </row>
    <row r="401">
      <c r="A401" s="14"/>
      <c r="N401" s="4"/>
    </row>
    <row r="402">
      <c r="A402" s="14"/>
      <c r="N402" s="4"/>
    </row>
    <row r="403">
      <c r="A403" s="14"/>
      <c r="N403" s="4"/>
    </row>
    <row r="404">
      <c r="A404" s="14"/>
      <c r="N404" s="4"/>
    </row>
    <row r="405">
      <c r="A405" s="14"/>
      <c r="N405" s="4"/>
    </row>
    <row r="406">
      <c r="A406" s="14"/>
      <c r="N406" s="4"/>
    </row>
    <row r="407">
      <c r="A407" s="14"/>
      <c r="N407" s="4"/>
    </row>
    <row r="408">
      <c r="A408" s="14"/>
      <c r="N408" s="4"/>
    </row>
    <row r="409">
      <c r="A409" s="14"/>
      <c r="N409" s="4"/>
    </row>
    <row r="410">
      <c r="A410" s="14"/>
      <c r="N410" s="4"/>
    </row>
    <row r="411">
      <c r="A411" s="14"/>
      <c r="N411" s="4"/>
    </row>
    <row r="412">
      <c r="A412" s="14"/>
      <c r="N412" s="4"/>
    </row>
    <row r="413">
      <c r="A413" s="14"/>
      <c r="N413" s="4"/>
    </row>
    <row r="414">
      <c r="A414" s="14"/>
      <c r="N414" s="4"/>
    </row>
    <row r="415">
      <c r="A415" s="14"/>
      <c r="N415" s="4"/>
    </row>
    <row r="416">
      <c r="A416" s="14"/>
      <c r="N416" s="4"/>
    </row>
    <row r="417">
      <c r="A417" s="14"/>
      <c r="N417" s="4"/>
    </row>
    <row r="418">
      <c r="A418" s="14"/>
      <c r="N418" s="4"/>
    </row>
    <row r="419">
      <c r="A419" s="14"/>
      <c r="N419" s="4"/>
    </row>
    <row r="420">
      <c r="A420" s="14"/>
      <c r="N420" s="4"/>
    </row>
    <row r="421">
      <c r="A421" s="14"/>
      <c r="N421" s="4"/>
    </row>
    <row r="422">
      <c r="A422" s="14"/>
      <c r="N422" s="4"/>
    </row>
    <row r="423">
      <c r="A423" s="14"/>
      <c r="N423" s="4"/>
    </row>
    <row r="424">
      <c r="A424" s="14"/>
      <c r="N424" s="4"/>
    </row>
    <row r="425">
      <c r="A425" s="14"/>
      <c r="N425" s="4"/>
    </row>
    <row r="426">
      <c r="A426" s="14"/>
      <c r="N426" s="4"/>
    </row>
    <row r="427">
      <c r="A427" s="14"/>
      <c r="N427" s="4"/>
    </row>
    <row r="428">
      <c r="A428" s="14"/>
      <c r="N428" s="4"/>
    </row>
    <row r="429">
      <c r="A429" s="14"/>
      <c r="N429" s="4"/>
    </row>
    <row r="430">
      <c r="A430" s="14"/>
      <c r="N430" s="4"/>
    </row>
    <row r="431">
      <c r="A431" s="14"/>
      <c r="N431" s="4"/>
    </row>
    <row r="432">
      <c r="A432" s="14"/>
      <c r="N432" s="4"/>
    </row>
    <row r="433">
      <c r="A433" s="14"/>
      <c r="N433" s="4"/>
    </row>
    <row r="434">
      <c r="A434" s="14"/>
      <c r="N434" s="4"/>
    </row>
    <row r="435">
      <c r="A435" s="14"/>
      <c r="N435" s="4"/>
    </row>
    <row r="436">
      <c r="A436" s="14"/>
      <c r="N436" s="4"/>
    </row>
    <row r="437">
      <c r="A437" s="14"/>
      <c r="N437" s="4"/>
    </row>
    <row r="438">
      <c r="A438" s="14"/>
      <c r="N438" s="4"/>
    </row>
    <row r="439">
      <c r="A439" s="14"/>
      <c r="N439" s="4"/>
    </row>
    <row r="440">
      <c r="A440" s="14"/>
      <c r="N440" s="4"/>
    </row>
    <row r="441">
      <c r="A441" s="14"/>
      <c r="N441" s="4"/>
    </row>
    <row r="442">
      <c r="A442" s="14"/>
      <c r="N442" s="4"/>
    </row>
    <row r="443">
      <c r="A443" s="14"/>
      <c r="N443" s="4"/>
    </row>
    <row r="444">
      <c r="A444" s="14"/>
      <c r="N444" s="4"/>
    </row>
    <row r="445">
      <c r="A445" s="14"/>
      <c r="N445" s="4"/>
    </row>
    <row r="446">
      <c r="A446" s="14"/>
      <c r="N446" s="4"/>
    </row>
    <row r="447">
      <c r="A447" s="14"/>
      <c r="N447" s="4"/>
    </row>
    <row r="448">
      <c r="A448" s="14"/>
      <c r="N448" s="4"/>
    </row>
    <row r="449">
      <c r="A449" s="14"/>
      <c r="N449" s="4"/>
    </row>
    <row r="450">
      <c r="A450" s="14"/>
      <c r="N450" s="4"/>
    </row>
    <row r="451">
      <c r="A451" s="14"/>
      <c r="N451" s="4"/>
    </row>
    <row r="452">
      <c r="A452" s="14"/>
      <c r="N452" s="4"/>
    </row>
    <row r="453">
      <c r="A453" s="14"/>
      <c r="N453" s="4"/>
    </row>
    <row r="454">
      <c r="A454" s="14"/>
      <c r="N454" s="4"/>
    </row>
    <row r="455">
      <c r="A455" s="14"/>
      <c r="N455" s="4"/>
    </row>
    <row r="456">
      <c r="A456" s="14"/>
      <c r="N456" s="4"/>
    </row>
    <row r="457">
      <c r="A457" s="14"/>
      <c r="N457" s="4"/>
    </row>
    <row r="458">
      <c r="A458" s="14"/>
      <c r="N458" s="4"/>
    </row>
    <row r="459">
      <c r="A459" s="14"/>
      <c r="N459" s="4"/>
    </row>
    <row r="460">
      <c r="A460" s="14"/>
      <c r="N460" s="4"/>
    </row>
    <row r="461">
      <c r="A461" s="14"/>
      <c r="N461" s="4"/>
    </row>
    <row r="462">
      <c r="A462" s="14"/>
      <c r="N462" s="4"/>
    </row>
    <row r="463">
      <c r="A463" s="14"/>
      <c r="N463" s="4"/>
    </row>
    <row r="464">
      <c r="A464" s="14"/>
      <c r="N464" s="4"/>
    </row>
    <row r="465">
      <c r="A465" s="14"/>
      <c r="N465" s="4"/>
    </row>
    <row r="466">
      <c r="A466" s="14"/>
      <c r="N466" s="4"/>
    </row>
    <row r="467">
      <c r="A467" s="14"/>
      <c r="N467" s="4"/>
    </row>
    <row r="468">
      <c r="A468" s="14"/>
      <c r="N468" s="4"/>
    </row>
    <row r="469">
      <c r="A469" s="14"/>
      <c r="N469" s="4"/>
    </row>
    <row r="470">
      <c r="A470" s="14"/>
      <c r="N470" s="4"/>
    </row>
    <row r="471">
      <c r="A471" s="14"/>
      <c r="N471" s="4"/>
    </row>
    <row r="472">
      <c r="A472" s="14"/>
      <c r="N472" s="4"/>
    </row>
    <row r="473">
      <c r="A473" s="14"/>
      <c r="N473" s="4"/>
    </row>
    <row r="474">
      <c r="A474" s="14"/>
      <c r="N474" s="4"/>
    </row>
    <row r="475">
      <c r="A475" s="14"/>
      <c r="N475" s="4"/>
    </row>
    <row r="476">
      <c r="A476" s="14"/>
      <c r="N476" s="4"/>
    </row>
    <row r="477">
      <c r="A477" s="14"/>
      <c r="N477" s="4"/>
    </row>
    <row r="478">
      <c r="A478" s="14"/>
      <c r="N478" s="4"/>
    </row>
    <row r="479">
      <c r="A479" s="14"/>
      <c r="N479" s="4"/>
    </row>
    <row r="480">
      <c r="A480" s="14"/>
      <c r="N480" s="4"/>
    </row>
    <row r="481">
      <c r="A481" s="14"/>
      <c r="N481" s="4"/>
    </row>
    <row r="482">
      <c r="A482" s="14"/>
      <c r="N482" s="4"/>
    </row>
    <row r="483">
      <c r="A483" s="14"/>
      <c r="N483" s="4"/>
    </row>
    <row r="484">
      <c r="A484" s="14"/>
      <c r="N484" s="4"/>
    </row>
    <row r="485">
      <c r="A485" s="14"/>
      <c r="N485" s="4"/>
    </row>
    <row r="486">
      <c r="A486" s="14"/>
      <c r="N486" s="4"/>
    </row>
    <row r="487">
      <c r="A487" s="14"/>
      <c r="N487" s="4"/>
    </row>
    <row r="488">
      <c r="A488" s="14"/>
      <c r="N488" s="4"/>
    </row>
    <row r="489">
      <c r="A489" s="14"/>
      <c r="N489" s="4"/>
    </row>
    <row r="490">
      <c r="A490" s="14"/>
      <c r="N490" s="4"/>
    </row>
    <row r="491">
      <c r="A491" s="14"/>
      <c r="N491" s="4"/>
    </row>
    <row r="492">
      <c r="A492" s="14"/>
      <c r="N492" s="4"/>
    </row>
    <row r="493">
      <c r="A493" s="14"/>
      <c r="N493" s="4"/>
    </row>
    <row r="494">
      <c r="A494" s="14"/>
      <c r="N494" s="4"/>
    </row>
    <row r="495">
      <c r="A495" s="14"/>
      <c r="N495" s="4"/>
    </row>
    <row r="496">
      <c r="A496" s="14"/>
      <c r="N496" s="4"/>
    </row>
    <row r="497">
      <c r="A497" s="14"/>
      <c r="N497" s="4"/>
    </row>
    <row r="498">
      <c r="A498" s="14"/>
      <c r="N498" s="4"/>
    </row>
    <row r="499">
      <c r="A499" s="14"/>
      <c r="N499" s="4"/>
    </row>
    <row r="500">
      <c r="A500" s="14"/>
      <c r="N500" s="4"/>
    </row>
    <row r="501">
      <c r="A501" s="14"/>
      <c r="N501" s="4"/>
    </row>
    <row r="502">
      <c r="A502" s="14"/>
      <c r="N502" s="4"/>
    </row>
    <row r="503">
      <c r="A503" s="14"/>
      <c r="N503" s="4"/>
    </row>
    <row r="504">
      <c r="A504" s="14"/>
      <c r="N504" s="4"/>
    </row>
    <row r="505">
      <c r="A505" s="14"/>
      <c r="N505" s="4"/>
    </row>
    <row r="506">
      <c r="A506" s="14"/>
      <c r="N506" s="4"/>
    </row>
    <row r="507">
      <c r="A507" s="14"/>
      <c r="N507" s="4"/>
    </row>
    <row r="508">
      <c r="A508" s="14"/>
      <c r="N508" s="4"/>
    </row>
    <row r="509">
      <c r="A509" s="14"/>
      <c r="N509" s="4"/>
    </row>
    <row r="510">
      <c r="A510" s="14"/>
      <c r="N510" s="4"/>
    </row>
    <row r="511">
      <c r="A511" s="14"/>
      <c r="N511" s="4"/>
    </row>
    <row r="512">
      <c r="A512" s="14"/>
      <c r="N512" s="4"/>
    </row>
    <row r="513">
      <c r="A513" s="14"/>
      <c r="N513" s="4"/>
    </row>
    <row r="514">
      <c r="A514" s="14"/>
      <c r="N514" s="4"/>
    </row>
    <row r="515">
      <c r="A515" s="14"/>
      <c r="N515" s="4"/>
    </row>
    <row r="516">
      <c r="A516" s="14"/>
      <c r="N516" s="4"/>
    </row>
    <row r="517">
      <c r="A517" s="14"/>
      <c r="N517" s="4"/>
    </row>
    <row r="518">
      <c r="A518" s="14"/>
      <c r="N518" s="4"/>
    </row>
    <row r="519">
      <c r="A519" s="14"/>
      <c r="N519" s="4"/>
    </row>
    <row r="520">
      <c r="A520" s="14"/>
      <c r="N520" s="4"/>
    </row>
    <row r="521">
      <c r="A521" s="14"/>
      <c r="N521" s="4"/>
    </row>
    <row r="522">
      <c r="A522" s="14"/>
      <c r="N522" s="4"/>
    </row>
    <row r="523">
      <c r="A523" s="14"/>
      <c r="N523" s="4"/>
    </row>
    <row r="524">
      <c r="A524" s="14"/>
      <c r="N524" s="4"/>
    </row>
    <row r="525">
      <c r="A525" s="14"/>
      <c r="N525" s="4"/>
    </row>
    <row r="526">
      <c r="A526" s="14"/>
      <c r="N526" s="4"/>
    </row>
    <row r="527">
      <c r="A527" s="14"/>
      <c r="N527" s="4"/>
    </row>
    <row r="528">
      <c r="A528" s="14"/>
      <c r="N528" s="4"/>
    </row>
    <row r="529">
      <c r="A529" s="14"/>
      <c r="N529" s="4"/>
    </row>
    <row r="530">
      <c r="A530" s="14"/>
      <c r="N530" s="4"/>
    </row>
    <row r="531">
      <c r="A531" s="14"/>
      <c r="N531" s="4"/>
    </row>
    <row r="532">
      <c r="A532" s="14"/>
      <c r="N532" s="4"/>
    </row>
    <row r="533">
      <c r="A533" s="14"/>
      <c r="N533" s="4"/>
    </row>
    <row r="534">
      <c r="A534" s="14"/>
      <c r="N534" s="4"/>
    </row>
    <row r="535">
      <c r="A535" s="14"/>
      <c r="N535" s="4"/>
    </row>
    <row r="536">
      <c r="A536" s="14"/>
      <c r="N536" s="4"/>
    </row>
    <row r="537">
      <c r="A537" s="14"/>
      <c r="N537" s="4"/>
    </row>
    <row r="538">
      <c r="A538" s="14"/>
      <c r="N538" s="4"/>
    </row>
    <row r="539">
      <c r="A539" s="14"/>
      <c r="N539" s="4"/>
    </row>
    <row r="540">
      <c r="A540" s="14"/>
      <c r="N540" s="4"/>
    </row>
    <row r="541">
      <c r="A541" s="14"/>
      <c r="N541" s="4"/>
    </row>
    <row r="542">
      <c r="A542" s="14"/>
      <c r="N542" s="4"/>
    </row>
    <row r="543">
      <c r="A543" s="14"/>
      <c r="N543" s="4"/>
    </row>
    <row r="544">
      <c r="A544" s="14"/>
      <c r="N544" s="4"/>
    </row>
    <row r="545">
      <c r="A545" s="14"/>
      <c r="N545" s="4"/>
    </row>
    <row r="546">
      <c r="A546" s="14"/>
      <c r="N546" s="4"/>
    </row>
    <row r="547">
      <c r="A547" s="14"/>
      <c r="N547" s="4"/>
    </row>
    <row r="548">
      <c r="A548" s="14"/>
      <c r="N548" s="4"/>
    </row>
    <row r="549">
      <c r="A549" s="14"/>
      <c r="N549" s="4"/>
    </row>
    <row r="550">
      <c r="A550" s="14"/>
      <c r="N550" s="4"/>
    </row>
    <row r="551">
      <c r="A551" s="14"/>
      <c r="N551" s="4"/>
    </row>
    <row r="552">
      <c r="A552" s="14"/>
      <c r="N552" s="4"/>
    </row>
    <row r="553">
      <c r="A553" s="14"/>
      <c r="N553" s="4"/>
    </row>
    <row r="554">
      <c r="A554" s="14"/>
      <c r="N554" s="4"/>
    </row>
    <row r="555">
      <c r="A555" s="14"/>
      <c r="N555" s="4"/>
    </row>
    <row r="556">
      <c r="A556" s="14"/>
      <c r="N556" s="4"/>
    </row>
    <row r="557">
      <c r="A557" s="14"/>
      <c r="N557" s="4"/>
    </row>
    <row r="558">
      <c r="A558" s="14"/>
      <c r="N558" s="4"/>
    </row>
    <row r="559">
      <c r="A559" s="14"/>
      <c r="N559" s="4"/>
    </row>
    <row r="560">
      <c r="A560" s="14"/>
      <c r="N560" s="4"/>
    </row>
    <row r="561">
      <c r="A561" s="14"/>
      <c r="N561" s="4"/>
    </row>
    <row r="562">
      <c r="A562" s="14"/>
      <c r="N562" s="4"/>
    </row>
    <row r="563">
      <c r="A563" s="14"/>
      <c r="N563" s="4"/>
    </row>
    <row r="564">
      <c r="A564" s="14"/>
      <c r="N564" s="4"/>
    </row>
    <row r="565">
      <c r="A565" s="14"/>
      <c r="N565" s="4"/>
    </row>
    <row r="566">
      <c r="A566" s="14"/>
      <c r="N566" s="4"/>
    </row>
    <row r="567">
      <c r="A567" s="14"/>
      <c r="N567" s="4"/>
    </row>
    <row r="568">
      <c r="A568" s="14"/>
      <c r="N568" s="4"/>
    </row>
    <row r="569">
      <c r="A569" s="14"/>
      <c r="N569" s="4"/>
    </row>
    <row r="570">
      <c r="A570" s="14"/>
      <c r="N570" s="4"/>
    </row>
    <row r="571">
      <c r="A571" s="14"/>
      <c r="N571" s="4"/>
    </row>
    <row r="572">
      <c r="A572" s="14"/>
      <c r="N572" s="4"/>
    </row>
    <row r="573">
      <c r="A573" s="14"/>
      <c r="N573" s="4"/>
    </row>
    <row r="574">
      <c r="A574" s="14"/>
      <c r="N574" s="4"/>
    </row>
    <row r="575">
      <c r="A575" s="14"/>
      <c r="N575" s="4"/>
    </row>
    <row r="576">
      <c r="A576" s="14"/>
      <c r="N576" s="4"/>
    </row>
    <row r="577">
      <c r="A577" s="14"/>
      <c r="N577" s="4"/>
    </row>
    <row r="578">
      <c r="A578" s="14"/>
      <c r="N578" s="4"/>
    </row>
    <row r="579">
      <c r="A579" s="14"/>
      <c r="N579" s="4"/>
    </row>
    <row r="580">
      <c r="A580" s="14"/>
      <c r="N580" s="4"/>
    </row>
    <row r="581">
      <c r="A581" s="14"/>
      <c r="N581" s="4"/>
    </row>
    <row r="582">
      <c r="A582" s="14"/>
      <c r="N582" s="4"/>
    </row>
    <row r="583">
      <c r="A583" s="14"/>
      <c r="N583" s="4"/>
    </row>
    <row r="584">
      <c r="A584" s="14"/>
      <c r="N584" s="4"/>
    </row>
    <row r="585">
      <c r="A585" s="14"/>
      <c r="N585" s="4"/>
    </row>
    <row r="586">
      <c r="A586" s="14"/>
      <c r="N586" s="4"/>
    </row>
    <row r="587">
      <c r="A587" s="14"/>
      <c r="N587" s="4"/>
    </row>
    <row r="588">
      <c r="A588" s="14"/>
      <c r="N588" s="4"/>
    </row>
    <row r="589">
      <c r="A589" s="14"/>
      <c r="N589" s="4"/>
    </row>
    <row r="590">
      <c r="A590" s="14"/>
      <c r="N590" s="4"/>
    </row>
    <row r="591">
      <c r="A591" s="14"/>
      <c r="N591" s="4"/>
    </row>
    <row r="592">
      <c r="A592" s="14"/>
      <c r="N592" s="4"/>
    </row>
    <row r="593">
      <c r="A593" s="14"/>
      <c r="N593" s="4"/>
    </row>
    <row r="594">
      <c r="A594" s="14"/>
      <c r="N594" s="4"/>
    </row>
    <row r="595">
      <c r="A595" s="14"/>
      <c r="N595" s="4"/>
    </row>
    <row r="596">
      <c r="A596" s="14"/>
      <c r="N596" s="4"/>
    </row>
    <row r="597">
      <c r="A597" s="14"/>
      <c r="N597" s="4"/>
    </row>
    <row r="598">
      <c r="A598" s="14"/>
      <c r="N598" s="4"/>
    </row>
    <row r="599">
      <c r="A599" s="14"/>
      <c r="N599" s="4"/>
    </row>
    <row r="600">
      <c r="A600" s="14"/>
      <c r="N600" s="4"/>
    </row>
    <row r="601">
      <c r="A601" s="14"/>
      <c r="N601" s="4"/>
    </row>
    <row r="602">
      <c r="A602" s="14"/>
      <c r="N602" s="4"/>
    </row>
    <row r="603">
      <c r="A603" s="14"/>
      <c r="N603" s="4"/>
    </row>
    <row r="604">
      <c r="A604" s="14"/>
      <c r="N604" s="4"/>
    </row>
    <row r="605">
      <c r="A605" s="14"/>
      <c r="N605" s="4"/>
    </row>
    <row r="606">
      <c r="A606" s="14"/>
      <c r="N606" s="4"/>
    </row>
    <row r="607">
      <c r="A607" s="14"/>
      <c r="N607" s="4"/>
    </row>
    <row r="608">
      <c r="A608" s="14"/>
      <c r="N608" s="4"/>
    </row>
    <row r="609">
      <c r="A609" s="14"/>
      <c r="N609" s="4"/>
    </row>
    <row r="610">
      <c r="A610" s="14"/>
      <c r="N610" s="4"/>
    </row>
    <row r="611">
      <c r="A611" s="14"/>
      <c r="N611" s="4"/>
    </row>
    <row r="612">
      <c r="A612" s="14"/>
      <c r="N612" s="4"/>
    </row>
    <row r="613">
      <c r="A613" s="14"/>
      <c r="N613" s="4"/>
    </row>
    <row r="614">
      <c r="A614" s="14"/>
      <c r="N614" s="4"/>
    </row>
    <row r="615">
      <c r="A615" s="14"/>
      <c r="N615" s="4"/>
    </row>
    <row r="616">
      <c r="A616" s="14"/>
      <c r="N616" s="4"/>
    </row>
    <row r="617">
      <c r="A617" s="14"/>
      <c r="N617" s="4"/>
    </row>
    <row r="618">
      <c r="A618" s="14"/>
      <c r="N618" s="4"/>
    </row>
    <row r="619">
      <c r="A619" s="14"/>
      <c r="N619" s="4"/>
    </row>
    <row r="620">
      <c r="A620" s="14"/>
      <c r="N620" s="4"/>
    </row>
    <row r="621">
      <c r="A621" s="14"/>
      <c r="N621" s="4"/>
    </row>
    <row r="622">
      <c r="A622" s="14"/>
      <c r="N622" s="4"/>
    </row>
    <row r="623">
      <c r="A623" s="14"/>
      <c r="N623" s="4"/>
    </row>
    <row r="624">
      <c r="A624" s="14"/>
      <c r="N624" s="4"/>
    </row>
    <row r="625">
      <c r="A625" s="14"/>
      <c r="N625" s="4"/>
    </row>
    <row r="626">
      <c r="A626" s="14"/>
      <c r="N626" s="4"/>
    </row>
    <row r="627">
      <c r="A627" s="14"/>
      <c r="N627" s="4"/>
    </row>
    <row r="628">
      <c r="A628" s="14"/>
      <c r="N628" s="4"/>
    </row>
    <row r="629">
      <c r="A629" s="14"/>
      <c r="N629" s="4"/>
    </row>
    <row r="630">
      <c r="A630" s="14"/>
      <c r="N630" s="4"/>
    </row>
    <row r="631">
      <c r="A631" s="14"/>
      <c r="N631" s="4"/>
    </row>
    <row r="632">
      <c r="A632" s="14"/>
      <c r="N632" s="4"/>
    </row>
    <row r="633">
      <c r="A633" s="14"/>
      <c r="N633" s="4"/>
    </row>
    <row r="634">
      <c r="A634" s="14"/>
      <c r="N634" s="4"/>
    </row>
    <row r="635">
      <c r="A635" s="14"/>
      <c r="N635" s="4"/>
    </row>
    <row r="636">
      <c r="A636" s="14"/>
      <c r="N636" s="4"/>
    </row>
    <row r="637">
      <c r="A637" s="14"/>
      <c r="N637" s="4"/>
    </row>
    <row r="638">
      <c r="A638" s="14"/>
      <c r="N638" s="4"/>
    </row>
    <row r="639">
      <c r="A639" s="14"/>
      <c r="N639" s="4"/>
    </row>
    <row r="640">
      <c r="A640" s="14"/>
      <c r="N640" s="4"/>
    </row>
    <row r="641">
      <c r="A641" s="14"/>
      <c r="N641" s="4"/>
    </row>
    <row r="642">
      <c r="A642" s="14"/>
      <c r="N642" s="4"/>
    </row>
    <row r="643">
      <c r="A643" s="14"/>
      <c r="N643" s="4"/>
    </row>
    <row r="644">
      <c r="A644" s="14"/>
      <c r="N644" s="4"/>
    </row>
    <row r="645">
      <c r="A645" s="14"/>
      <c r="N645" s="4"/>
    </row>
    <row r="646">
      <c r="A646" s="14"/>
      <c r="N646" s="4"/>
    </row>
    <row r="647">
      <c r="A647" s="14"/>
      <c r="N647" s="4"/>
    </row>
    <row r="648">
      <c r="A648" s="14"/>
      <c r="N648" s="4"/>
    </row>
    <row r="649">
      <c r="A649" s="14"/>
      <c r="N649" s="4"/>
    </row>
    <row r="650">
      <c r="A650" s="14"/>
      <c r="N650" s="4"/>
    </row>
    <row r="651">
      <c r="A651" s="14"/>
      <c r="N651" s="4"/>
    </row>
    <row r="652">
      <c r="A652" s="14"/>
      <c r="N652" s="4"/>
    </row>
    <row r="653">
      <c r="A653" s="14"/>
      <c r="N653" s="4"/>
    </row>
    <row r="654">
      <c r="A654" s="14"/>
      <c r="N654" s="4"/>
    </row>
    <row r="655">
      <c r="A655" s="14"/>
      <c r="N655" s="4"/>
    </row>
    <row r="656">
      <c r="A656" s="14"/>
      <c r="N656" s="4"/>
    </row>
    <row r="657">
      <c r="A657" s="14"/>
      <c r="N657" s="4"/>
    </row>
    <row r="658">
      <c r="A658" s="14"/>
      <c r="N658" s="4"/>
    </row>
    <row r="659">
      <c r="A659" s="14"/>
      <c r="N659" s="4"/>
    </row>
    <row r="660">
      <c r="A660" s="14"/>
      <c r="N660" s="4"/>
    </row>
    <row r="661">
      <c r="A661" s="14"/>
      <c r="N661" s="4"/>
    </row>
    <row r="662">
      <c r="A662" s="14"/>
      <c r="N662" s="4"/>
    </row>
    <row r="663">
      <c r="A663" s="14"/>
      <c r="N663" s="4"/>
    </row>
    <row r="664">
      <c r="A664" s="14"/>
      <c r="N664" s="4"/>
    </row>
    <row r="665">
      <c r="A665" s="14"/>
      <c r="N665" s="4"/>
    </row>
    <row r="666">
      <c r="A666" s="14"/>
      <c r="N666" s="4"/>
    </row>
    <row r="667">
      <c r="A667" s="14"/>
      <c r="N667" s="4"/>
    </row>
    <row r="668">
      <c r="A668" s="14"/>
      <c r="N668" s="4"/>
    </row>
    <row r="669">
      <c r="A669" s="14"/>
      <c r="N669" s="4"/>
    </row>
    <row r="670">
      <c r="A670" s="14"/>
      <c r="N670" s="4"/>
    </row>
    <row r="671">
      <c r="A671" s="14"/>
      <c r="N671" s="4"/>
    </row>
    <row r="672">
      <c r="A672" s="14"/>
      <c r="N672" s="4"/>
    </row>
    <row r="673">
      <c r="A673" s="14"/>
      <c r="N673" s="4"/>
    </row>
    <row r="674">
      <c r="A674" s="14"/>
      <c r="N674" s="4"/>
    </row>
    <row r="675">
      <c r="A675" s="14"/>
      <c r="N675" s="4"/>
    </row>
    <row r="676">
      <c r="A676" s="14"/>
      <c r="N676" s="4"/>
    </row>
    <row r="677">
      <c r="A677" s="14"/>
      <c r="N677" s="4"/>
    </row>
    <row r="678">
      <c r="A678" s="14"/>
      <c r="N678" s="4"/>
    </row>
    <row r="679">
      <c r="A679" s="14"/>
      <c r="N679" s="4"/>
    </row>
    <row r="680">
      <c r="A680" s="14"/>
      <c r="N680" s="4"/>
    </row>
    <row r="681">
      <c r="A681" s="14"/>
      <c r="N681" s="4"/>
    </row>
    <row r="682">
      <c r="A682" s="14"/>
      <c r="N682" s="4"/>
    </row>
    <row r="683">
      <c r="A683" s="14"/>
      <c r="N683" s="4"/>
    </row>
    <row r="684">
      <c r="A684" s="14"/>
      <c r="N684" s="4"/>
    </row>
    <row r="685">
      <c r="A685" s="14"/>
      <c r="N685" s="4"/>
    </row>
    <row r="686">
      <c r="A686" s="14"/>
      <c r="N686" s="4"/>
    </row>
    <row r="687">
      <c r="A687" s="14"/>
      <c r="N687" s="4"/>
    </row>
    <row r="688">
      <c r="A688" s="14"/>
      <c r="N688" s="4"/>
    </row>
    <row r="689">
      <c r="A689" s="14"/>
      <c r="N689" s="4"/>
    </row>
    <row r="690">
      <c r="A690" s="14"/>
      <c r="N690" s="4"/>
    </row>
    <row r="691">
      <c r="A691" s="14"/>
      <c r="N691" s="4"/>
    </row>
    <row r="692">
      <c r="A692" s="14"/>
      <c r="N692" s="4"/>
    </row>
    <row r="693">
      <c r="A693" s="14"/>
      <c r="N693" s="4"/>
    </row>
    <row r="694">
      <c r="A694" s="14"/>
      <c r="N694" s="4"/>
    </row>
    <row r="695">
      <c r="A695" s="14"/>
      <c r="N695" s="4"/>
    </row>
    <row r="696">
      <c r="A696" s="14"/>
      <c r="N696" s="4"/>
    </row>
    <row r="697">
      <c r="A697" s="14"/>
      <c r="N697" s="4"/>
    </row>
    <row r="698">
      <c r="A698" s="14"/>
      <c r="N698" s="4"/>
    </row>
    <row r="699">
      <c r="A699" s="14"/>
      <c r="N699" s="4"/>
    </row>
    <row r="700">
      <c r="A700" s="14"/>
      <c r="N700" s="4"/>
    </row>
    <row r="701">
      <c r="A701" s="14"/>
      <c r="N701" s="4"/>
    </row>
    <row r="702">
      <c r="A702" s="14"/>
      <c r="N702" s="4"/>
    </row>
    <row r="703">
      <c r="A703" s="14"/>
      <c r="N703" s="4"/>
    </row>
    <row r="704">
      <c r="A704" s="14"/>
      <c r="N704" s="4"/>
    </row>
    <row r="705">
      <c r="A705" s="14"/>
      <c r="N705" s="4"/>
    </row>
    <row r="706">
      <c r="A706" s="14"/>
      <c r="N706" s="4"/>
    </row>
    <row r="707">
      <c r="A707" s="14"/>
      <c r="N707" s="4"/>
    </row>
    <row r="708">
      <c r="A708" s="14"/>
      <c r="N708" s="4"/>
    </row>
    <row r="709">
      <c r="A709" s="14"/>
      <c r="N709" s="4"/>
    </row>
    <row r="710">
      <c r="A710" s="14"/>
      <c r="N710" s="4"/>
    </row>
    <row r="711">
      <c r="A711" s="14"/>
      <c r="N711" s="4"/>
    </row>
    <row r="712">
      <c r="A712" s="14"/>
      <c r="N712" s="4"/>
    </row>
    <row r="713">
      <c r="A713" s="14"/>
      <c r="N713" s="4"/>
    </row>
    <row r="714">
      <c r="A714" s="14"/>
      <c r="N714" s="4"/>
    </row>
    <row r="715">
      <c r="A715" s="14"/>
      <c r="N715" s="4"/>
    </row>
    <row r="716">
      <c r="A716" s="14"/>
      <c r="N716" s="4"/>
    </row>
    <row r="717">
      <c r="A717" s="14"/>
      <c r="N717" s="4"/>
    </row>
    <row r="718">
      <c r="A718" s="14"/>
      <c r="N718" s="4"/>
    </row>
    <row r="719">
      <c r="A719" s="14"/>
      <c r="N719" s="4"/>
    </row>
    <row r="720">
      <c r="A720" s="14"/>
      <c r="N720" s="4"/>
    </row>
    <row r="721">
      <c r="A721" s="14"/>
      <c r="N721" s="4"/>
    </row>
    <row r="722">
      <c r="A722" s="14"/>
      <c r="N722" s="4"/>
    </row>
    <row r="723">
      <c r="A723" s="14"/>
      <c r="N723" s="4"/>
    </row>
    <row r="724">
      <c r="A724" s="14"/>
      <c r="N724" s="4"/>
    </row>
    <row r="725">
      <c r="A725" s="14"/>
      <c r="N725" s="4"/>
    </row>
    <row r="726">
      <c r="A726" s="14"/>
      <c r="N726" s="4"/>
    </row>
    <row r="727">
      <c r="A727" s="14"/>
      <c r="N727" s="4"/>
    </row>
    <row r="728">
      <c r="A728" s="14"/>
      <c r="N728" s="4"/>
    </row>
    <row r="729">
      <c r="A729" s="14"/>
      <c r="N729" s="4"/>
    </row>
    <row r="730">
      <c r="A730" s="14"/>
      <c r="N730" s="4"/>
    </row>
    <row r="731">
      <c r="A731" s="14"/>
      <c r="N731" s="4"/>
    </row>
    <row r="732">
      <c r="A732" s="14"/>
      <c r="N732" s="4"/>
    </row>
    <row r="733">
      <c r="A733" s="14"/>
      <c r="N733" s="4"/>
    </row>
    <row r="734">
      <c r="A734" s="14"/>
      <c r="N734" s="4"/>
    </row>
    <row r="735">
      <c r="A735" s="14"/>
      <c r="N735" s="4"/>
    </row>
    <row r="736">
      <c r="A736" s="14"/>
      <c r="N736" s="4"/>
    </row>
    <row r="737">
      <c r="A737" s="14"/>
      <c r="N737" s="4"/>
    </row>
    <row r="738">
      <c r="A738" s="14"/>
      <c r="N738" s="4"/>
    </row>
    <row r="739">
      <c r="A739" s="14"/>
      <c r="N739" s="4"/>
    </row>
    <row r="740">
      <c r="A740" s="14"/>
      <c r="N740" s="4"/>
    </row>
    <row r="741">
      <c r="A741" s="14"/>
      <c r="N741" s="4"/>
    </row>
    <row r="742">
      <c r="A742" s="14"/>
      <c r="N742" s="4"/>
    </row>
    <row r="743">
      <c r="A743" s="14"/>
      <c r="N743" s="4"/>
    </row>
    <row r="744">
      <c r="A744" s="14"/>
      <c r="N744" s="4"/>
    </row>
    <row r="745">
      <c r="A745" s="14"/>
      <c r="N745" s="4"/>
    </row>
    <row r="746">
      <c r="A746" s="14"/>
      <c r="N746" s="4"/>
    </row>
    <row r="747">
      <c r="A747" s="14"/>
      <c r="N747" s="4"/>
    </row>
    <row r="748">
      <c r="A748" s="14"/>
      <c r="N748" s="4"/>
    </row>
    <row r="749">
      <c r="A749" s="14"/>
      <c r="N749" s="4"/>
    </row>
    <row r="750">
      <c r="A750" s="14"/>
      <c r="N750" s="4"/>
    </row>
    <row r="751">
      <c r="A751" s="14"/>
      <c r="N751" s="4"/>
    </row>
    <row r="752">
      <c r="A752" s="14"/>
      <c r="N752" s="4"/>
    </row>
    <row r="753">
      <c r="A753" s="14"/>
      <c r="N753" s="4"/>
    </row>
    <row r="754">
      <c r="A754" s="14"/>
      <c r="N754" s="4"/>
    </row>
    <row r="755">
      <c r="A755" s="14"/>
      <c r="N755" s="4"/>
    </row>
    <row r="756">
      <c r="A756" s="14"/>
      <c r="N756" s="4"/>
    </row>
    <row r="757">
      <c r="A757" s="14"/>
      <c r="N757" s="4"/>
    </row>
    <row r="758">
      <c r="A758" s="14"/>
      <c r="N758" s="4"/>
    </row>
    <row r="759">
      <c r="A759" s="14"/>
      <c r="N759" s="4"/>
    </row>
    <row r="760">
      <c r="A760" s="14"/>
      <c r="N760" s="4"/>
    </row>
    <row r="761">
      <c r="A761" s="14"/>
      <c r="N761" s="4"/>
    </row>
    <row r="762">
      <c r="A762" s="14"/>
      <c r="N762" s="4"/>
    </row>
    <row r="763">
      <c r="A763" s="14"/>
      <c r="N763" s="4"/>
    </row>
    <row r="764">
      <c r="A764" s="14"/>
      <c r="N764" s="4"/>
    </row>
    <row r="765">
      <c r="A765" s="14"/>
      <c r="N765" s="4"/>
    </row>
    <row r="766">
      <c r="A766" s="14"/>
      <c r="N766" s="4"/>
    </row>
    <row r="767">
      <c r="A767" s="14"/>
      <c r="N767" s="4"/>
    </row>
    <row r="768">
      <c r="A768" s="14"/>
      <c r="N768" s="4"/>
    </row>
    <row r="769">
      <c r="A769" s="14"/>
      <c r="N769" s="4"/>
    </row>
    <row r="770">
      <c r="A770" s="14"/>
      <c r="N770" s="4"/>
    </row>
    <row r="771">
      <c r="A771" s="14"/>
      <c r="N771" s="4"/>
    </row>
    <row r="772">
      <c r="A772" s="14"/>
      <c r="N772" s="4"/>
    </row>
    <row r="773">
      <c r="A773" s="14"/>
      <c r="N773" s="4"/>
    </row>
    <row r="774">
      <c r="A774" s="14"/>
      <c r="N774" s="4"/>
    </row>
    <row r="775">
      <c r="A775" s="14"/>
      <c r="N775" s="4"/>
    </row>
    <row r="776">
      <c r="A776" s="14"/>
      <c r="N776" s="4"/>
    </row>
    <row r="777">
      <c r="A777" s="14"/>
      <c r="N777" s="4"/>
    </row>
    <row r="778">
      <c r="A778" s="14"/>
      <c r="N778" s="4"/>
    </row>
    <row r="779">
      <c r="A779" s="14"/>
      <c r="N779" s="4"/>
    </row>
    <row r="780">
      <c r="A780" s="14"/>
      <c r="N780" s="4"/>
    </row>
    <row r="781">
      <c r="A781" s="14"/>
      <c r="N781" s="4"/>
    </row>
    <row r="782">
      <c r="A782" s="14"/>
      <c r="N782" s="4"/>
    </row>
    <row r="783">
      <c r="A783" s="14"/>
      <c r="N783" s="4"/>
    </row>
    <row r="784">
      <c r="A784" s="14"/>
      <c r="N784" s="4"/>
    </row>
    <row r="785">
      <c r="A785" s="14"/>
      <c r="N785" s="4"/>
    </row>
    <row r="786">
      <c r="A786" s="14"/>
      <c r="N786" s="4"/>
    </row>
    <row r="787">
      <c r="A787" s="14"/>
      <c r="N787" s="4"/>
    </row>
    <row r="788">
      <c r="A788" s="14"/>
      <c r="N788" s="4"/>
    </row>
    <row r="789">
      <c r="A789" s="14"/>
      <c r="N789" s="4"/>
    </row>
    <row r="790">
      <c r="A790" s="14"/>
      <c r="N790" s="4"/>
    </row>
    <row r="791">
      <c r="A791" s="14"/>
      <c r="N791" s="4"/>
    </row>
    <row r="792">
      <c r="A792" s="14"/>
      <c r="N792" s="4"/>
    </row>
    <row r="793">
      <c r="A793" s="14"/>
      <c r="N793" s="4"/>
    </row>
    <row r="794">
      <c r="A794" s="14"/>
      <c r="N794" s="4"/>
    </row>
    <row r="795">
      <c r="A795" s="14"/>
      <c r="N795" s="4"/>
    </row>
    <row r="796">
      <c r="A796" s="14"/>
      <c r="N796" s="4"/>
    </row>
    <row r="797">
      <c r="A797" s="14"/>
      <c r="N797" s="4"/>
    </row>
    <row r="798">
      <c r="A798" s="14"/>
      <c r="N798" s="4"/>
    </row>
    <row r="799">
      <c r="A799" s="14"/>
      <c r="N799" s="4"/>
    </row>
    <row r="800">
      <c r="A800" s="14"/>
      <c r="N800" s="4"/>
    </row>
    <row r="801">
      <c r="A801" s="14"/>
      <c r="N801" s="4"/>
    </row>
    <row r="802">
      <c r="A802" s="14"/>
      <c r="N802" s="4"/>
    </row>
    <row r="803">
      <c r="A803" s="14"/>
      <c r="N803" s="4"/>
    </row>
    <row r="804">
      <c r="A804" s="14"/>
      <c r="N804" s="4"/>
    </row>
    <row r="805">
      <c r="A805" s="14"/>
      <c r="N805" s="4"/>
    </row>
    <row r="806">
      <c r="A806" s="14"/>
      <c r="N806" s="4"/>
    </row>
    <row r="807">
      <c r="A807" s="14"/>
      <c r="N807" s="4"/>
    </row>
    <row r="808">
      <c r="A808" s="14"/>
      <c r="N808" s="4"/>
    </row>
    <row r="809">
      <c r="A809" s="14"/>
      <c r="N809" s="4"/>
    </row>
    <row r="810">
      <c r="A810" s="14"/>
      <c r="N810" s="4"/>
    </row>
    <row r="811">
      <c r="A811" s="14"/>
      <c r="N811" s="4"/>
    </row>
    <row r="812">
      <c r="A812" s="14"/>
      <c r="N812" s="4"/>
    </row>
    <row r="813">
      <c r="A813" s="14"/>
      <c r="N813" s="4"/>
    </row>
    <row r="814">
      <c r="A814" s="14"/>
      <c r="N814" s="4"/>
    </row>
    <row r="815">
      <c r="A815" s="14"/>
      <c r="N815" s="4"/>
    </row>
    <row r="816">
      <c r="A816" s="14"/>
      <c r="N816" s="4"/>
    </row>
    <row r="817">
      <c r="A817" s="14"/>
      <c r="N817" s="4"/>
    </row>
    <row r="818">
      <c r="A818" s="14"/>
      <c r="N818" s="4"/>
    </row>
    <row r="819">
      <c r="A819" s="14"/>
      <c r="N819" s="4"/>
    </row>
    <row r="820">
      <c r="A820" s="14"/>
      <c r="N820" s="4"/>
    </row>
    <row r="821">
      <c r="A821" s="14"/>
      <c r="N821" s="4"/>
    </row>
    <row r="822">
      <c r="A822" s="14"/>
      <c r="N822" s="4"/>
    </row>
    <row r="823">
      <c r="A823" s="14"/>
      <c r="N823" s="4"/>
    </row>
    <row r="824">
      <c r="A824" s="14"/>
      <c r="N824" s="4"/>
    </row>
    <row r="825">
      <c r="A825" s="14"/>
      <c r="N825" s="4"/>
    </row>
    <row r="826">
      <c r="A826" s="14"/>
      <c r="N826" s="4"/>
    </row>
    <row r="827">
      <c r="A827" s="14"/>
      <c r="N827" s="4"/>
    </row>
    <row r="828">
      <c r="A828" s="14"/>
      <c r="N828" s="4"/>
    </row>
    <row r="829">
      <c r="A829" s="14"/>
      <c r="N829" s="4"/>
    </row>
    <row r="830">
      <c r="A830" s="14"/>
      <c r="N830" s="4"/>
    </row>
    <row r="831">
      <c r="A831" s="14"/>
      <c r="N831" s="4"/>
    </row>
    <row r="832">
      <c r="A832" s="14"/>
      <c r="N832" s="4"/>
    </row>
    <row r="833">
      <c r="A833" s="14"/>
      <c r="N833" s="4"/>
    </row>
    <row r="834">
      <c r="A834" s="14"/>
      <c r="N834" s="4"/>
    </row>
    <row r="835">
      <c r="A835" s="14"/>
      <c r="N835" s="4"/>
    </row>
    <row r="836">
      <c r="A836" s="14"/>
      <c r="N836" s="4"/>
    </row>
    <row r="837">
      <c r="A837" s="14"/>
      <c r="N837" s="4"/>
    </row>
    <row r="838">
      <c r="A838" s="14"/>
      <c r="N838" s="4"/>
    </row>
    <row r="839">
      <c r="A839" s="14"/>
      <c r="N839" s="4"/>
    </row>
    <row r="840">
      <c r="A840" s="14"/>
      <c r="N840" s="4"/>
    </row>
    <row r="841">
      <c r="A841" s="14"/>
      <c r="N841" s="4"/>
    </row>
    <row r="842">
      <c r="A842" s="14"/>
      <c r="N842" s="4"/>
    </row>
    <row r="843">
      <c r="A843" s="14"/>
      <c r="N843" s="4"/>
    </row>
    <row r="844">
      <c r="A844" s="14"/>
      <c r="N844" s="4"/>
    </row>
    <row r="845">
      <c r="A845" s="14"/>
      <c r="N845" s="4"/>
    </row>
    <row r="846">
      <c r="A846" s="14"/>
      <c r="N846" s="4"/>
    </row>
    <row r="847">
      <c r="A847" s="14"/>
      <c r="N847" s="4"/>
    </row>
    <row r="848">
      <c r="A848" s="14"/>
      <c r="N848" s="4"/>
    </row>
    <row r="849">
      <c r="A849" s="14"/>
      <c r="N849" s="4"/>
    </row>
    <row r="850">
      <c r="A850" s="14"/>
      <c r="N850" s="4"/>
    </row>
    <row r="851">
      <c r="A851" s="14"/>
      <c r="N851" s="4"/>
    </row>
    <row r="852">
      <c r="A852" s="14"/>
      <c r="N852" s="4"/>
    </row>
    <row r="853">
      <c r="A853" s="14"/>
      <c r="N853" s="4"/>
    </row>
    <row r="854">
      <c r="A854" s="14"/>
      <c r="N854" s="4"/>
    </row>
    <row r="855">
      <c r="A855" s="14"/>
      <c r="N855" s="4"/>
    </row>
    <row r="856">
      <c r="A856" s="14"/>
      <c r="N856" s="4"/>
    </row>
    <row r="857">
      <c r="A857" s="14"/>
      <c r="N857" s="4"/>
    </row>
    <row r="858">
      <c r="A858" s="14"/>
      <c r="N858" s="4"/>
    </row>
    <row r="859">
      <c r="A859" s="14"/>
      <c r="N859" s="4"/>
    </row>
    <row r="860">
      <c r="A860" s="14"/>
      <c r="N860" s="4"/>
    </row>
    <row r="861">
      <c r="A861" s="14"/>
      <c r="N861" s="4"/>
    </row>
    <row r="862">
      <c r="A862" s="14"/>
      <c r="N862" s="4"/>
    </row>
    <row r="863">
      <c r="A863" s="14"/>
      <c r="N863" s="4"/>
    </row>
    <row r="864">
      <c r="A864" s="14"/>
      <c r="N864" s="4"/>
    </row>
    <row r="865">
      <c r="A865" s="14"/>
      <c r="N865" s="4"/>
    </row>
    <row r="866">
      <c r="A866" s="14"/>
      <c r="N866" s="4"/>
    </row>
    <row r="867">
      <c r="A867" s="14"/>
      <c r="N867" s="4"/>
    </row>
    <row r="868">
      <c r="A868" s="14"/>
      <c r="N868" s="4"/>
    </row>
    <row r="869">
      <c r="A869" s="14"/>
      <c r="N869" s="4"/>
    </row>
    <row r="870">
      <c r="A870" s="14"/>
      <c r="N870" s="4"/>
    </row>
    <row r="871">
      <c r="A871" s="14"/>
      <c r="N871" s="4"/>
    </row>
    <row r="872">
      <c r="A872" s="14"/>
      <c r="N872" s="4"/>
    </row>
    <row r="873">
      <c r="A873" s="14"/>
      <c r="N873" s="4"/>
    </row>
    <row r="874">
      <c r="A874" s="14"/>
      <c r="N874" s="4"/>
    </row>
    <row r="875">
      <c r="A875" s="14"/>
      <c r="N875" s="4"/>
    </row>
    <row r="876">
      <c r="A876" s="14"/>
      <c r="N876" s="4"/>
    </row>
    <row r="877">
      <c r="A877" s="14"/>
      <c r="N877" s="4"/>
    </row>
    <row r="878">
      <c r="A878" s="14"/>
      <c r="N878" s="4"/>
    </row>
    <row r="879">
      <c r="A879" s="14"/>
      <c r="N879" s="4"/>
    </row>
    <row r="880">
      <c r="A880" s="14"/>
      <c r="N880" s="4"/>
    </row>
    <row r="881">
      <c r="A881" s="14"/>
      <c r="N881" s="4"/>
    </row>
    <row r="882">
      <c r="A882" s="14"/>
      <c r="N882" s="4"/>
    </row>
    <row r="883">
      <c r="A883" s="14"/>
      <c r="N883" s="4"/>
    </row>
    <row r="884">
      <c r="A884" s="14"/>
      <c r="N884" s="4"/>
    </row>
    <row r="885">
      <c r="A885" s="14"/>
      <c r="N885" s="4"/>
    </row>
    <row r="886">
      <c r="A886" s="14"/>
      <c r="N886" s="4"/>
    </row>
    <row r="887">
      <c r="A887" s="14"/>
      <c r="N887" s="4"/>
    </row>
    <row r="888">
      <c r="A888" s="14"/>
      <c r="N888" s="4"/>
    </row>
    <row r="889">
      <c r="A889" s="14"/>
      <c r="N889" s="4"/>
    </row>
    <row r="890">
      <c r="A890" s="14"/>
      <c r="N890" s="4"/>
    </row>
    <row r="891">
      <c r="A891" s="14"/>
      <c r="N891" s="4"/>
    </row>
    <row r="892">
      <c r="A892" s="14"/>
      <c r="N892" s="4"/>
    </row>
    <row r="893">
      <c r="A893" s="14"/>
      <c r="N893" s="4"/>
    </row>
    <row r="894">
      <c r="A894" s="14"/>
      <c r="N894" s="4"/>
    </row>
    <row r="895">
      <c r="A895" s="14"/>
      <c r="N895" s="4"/>
    </row>
    <row r="896">
      <c r="A896" s="14"/>
      <c r="N896" s="4"/>
    </row>
    <row r="897">
      <c r="A897" s="14"/>
      <c r="N897" s="4"/>
    </row>
    <row r="898">
      <c r="A898" s="14"/>
      <c r="N898" s="4"/>
    </row>
    <row r="899">
      <c r="A899" s="14"/>
      <c r="N899" s="4"/>
    </row>
    <row r="900">
      <c r="A900" s="14"/>
      <c r="N900" s="4"/>
    </row>
    <row r="901">
      <c r="A901" s="14"/>
      <c r="N901" s="4"/>
    </row>
    <row r="902">
      <c r="A902" s="14"/>
      <c r="N902" s="4"/>
    </row>
    <row r="903">
      <c r="A903" s="14"/>
      <c r="N903" s="4"/>
    </row>
    <row r="904">
      <c r="A904" s="14"/>
      <c r="N904" s="4"/>
    </row>
    <row r="905">
      <c r="A905" s="14"/>
      <c r="N905" s="4"/>
    </row>
    <row r="906">
      <c r="A906" s="14"/>
      <c r="N906" s="4"/>
    </row>
    <row r="907">
      <c r="A907" s="14"/>
      <c r="N907" s="4"/>
    </row>
    <row r="908">
      <c r="A908" s="14"/>
      <c r="N908" s="4"/>
    </row>
    <row r="909">
      <c r="A909" s="14"/>
      <c r="N909" s="4"/>
    </row>
    <row r="910">
      <c r="A910" s="14"/>
      <c r="N910" s="4"/>
    </row>
    <row r="911">
      <c r="A911" s="14"/>
      <c r="N911" s="4"/>
    </row>
    <row r="912">
      <c r="A912" s="14"/>
      <c r="N912" s="4"/>
    </row>
    <row r="913">
      <c r="A913" s="14"/>
      <c r="N913" s="4"/>
    </row>
    <row r="914">
      <c r="A914" s="14"/>
      <c r="N914" s="4"/>
    </row>
    <row r="915">
      <c r="A915" s="14"/>
      <c r="N915" s="4"/>
    </row>
    <row r="916">
      <c r="A916" s="14"/>
      <c r="N916" s="4"/>
    </row>
    <row r="917">
      <c r="A917" s="14"/>
      <c r="N917" s="4"/>
    </row>
    <row r="918">
      <c r="A918" s="14"/>
      <c r="N918" s="4"/>
    </row>
    <row r="919">
      <c r="A919" s="14"/>
      <c r="N919" s="4"/>
    </row>
    <row r="920">
      <c r="A920" s="14"/>
      <c r="N920" s="4"/>
    </row>
    <row r="921">
      <c r="A921" s="14"/>
      <c r="N921" s="4"/>
    </row>
    <row r="922">
      <c r="A922" s="14"/>
      <c r="N922" s="4"/>
    </row>
    <row r="923">
      <c r="A923" s="14"/>
      <c r="N923" s="4"/>
    </row>
    <row r="924">
      <c r="A924" s="14"/>
      <c r="N924" s="4"/>
    </row>
    <row r="925">
      <c r="A925" s="14"/>
      <c r="N925" s="4"/>
    </row>
    <row r="926">
      <c r="A926" s="14"/>
      <c r="N926" s="4"/>
    </row>
    <row r="927">
      <c r="A927" s="14"/>
      <c r="N927" s="4"/>
    </row>
    <row r="928">
      <c r="A928" s="14"/>
      <c r="N928" s="4"/>
    </row>
    <row r="929">
      <c r="A929" s="14"/>
      <c r="N929" s="4"/>
    </row>
    <row r="930">
      <c r="A930" s="14"/>
      <c r="N930" s="4"/>
    </row>
    <row r="931">
      <c r="A931" s="14"/>
      <c r="N931" s="4"/>
    </row>
    <row r="932">
      <c r="A932" s="14"/>
      <c r="N932" s="4"/>
    </row>
    <row r="933">
      <c r="A933" s="14"/>
      <c r="N933" s="4"/>
    </row>
    <row r="934">
      <c r="A934" s="14"/>
      <c r="N934" s="4"/>
    </row>
    <row r="935">
      <c r="A935" s="14"/>
      <c r="N935" s="4"/>
    </row>
    <row r="936">
      <c r="A936" s="14"/>
      <c r="N936" s="4"/>
    </row>
    <row r="937">
      <c r="A937" s="14"/>
      <c r="N937" s="4"/>
    </row>
    <row r="938">
      <c r="A938" s="14"/>
      <c r="N938" s="4"/>
    </row>
    <row r="939">
      <c r="A939" s="14"/>
      <c r="N939" s="4"/>
    </row>
    <row r="940">
      <c r="A940" s="14"/>
      <c r="N940" s="4"/>
    </row>
    <row r="941">
      <c r="A941" s="14"/>
      <c r="N941" s="4"/>
    </row>
    <row r="942">
      <c r="A942" s="14"/>
      <c r="N942" s="4"/>
    </row>
    <row r="943">
      <c r="A943" s="14"/>
      <c r="N943" s="4"/>
    </row>
    <row r="944">
      <c r="A944" s="14"/>
      <c r="N944" s="4"/>
    </row>
    <row r="945">
      <c r="A945" s="14"/>
      <c r="N945" s="4"/>
    </row>
    <row r="946">
      <c r="A946" s="14"/>
      <c r="N946" s="4"/>
    </row>
    <row r="947">
      <c r="A947" s="14"/>
      <c r="N947" s="4"/>
    </row>
    <row r="948">
      <c r="A948" s="14"/>
      <c r="N948" s="4"/>
    </row>
    <row r="949">
      <c r="A949" s="14"/>
      <c r="N949" s="4"/>
    </row>
    <row r="950">
      <c r="A950" s="14"/>
      <c r="N950" s="4"/>
    </row>
    <row r="951">
      <c r="A951" s="14"/>
      <c r="N951" s="4"/>
    </row>
    <row r="952">
      <c r="A952" s="14"/>
      <c r="N952" s="4"/>
    </row>
    <row r="953">
      <c r="A953" s="14"/>
      <c r="N953" s="4"/>
    </row>
    <row r="954">
      <c r="A954" s="14"/>
      <c r="N954" s="4"/>
    </row>
    <row r="955">
      <c r="A955" s="14"/>
      <c r="N955" s="4"/>
    </row>
    <row r="956">
      <c r="A956" s="14"/>
      <c r="N956" s="4"/>
    </row>
    <row r="957">
      <c r="A957" s="14"/>
      <c r="N957" s="4"/>
    </row>
    <row r="958">
      <c r="A958" s="14"/>
      <c r="N958" s="4"/>
    </row>
    <row r="959">
      <c r="A959" s="14"/>
      <c r="N959" s="4"/>
    </row>
    <row r="960">
      <c r="A960" s="14"/>
      <c r="N960" s="4"/>
    </row>
    <row r="961">
      <c r="A961" s="14"/>
      <c r="N961" s="4"/>
    </row>
    <row r="962">
      <c r="A962" s="14"/>
      <c r="N962" s="4"/>
    </row>
    <row r="963">
      <c r="A963" s="14"/>
      <c r="N963" s="4"/>
    </row>
    <row r="964">
      <c r="A964" s="14"/>
      <c r="N964" s="4"/>
    </row>
    <row r="965">
      <c r="A965" s="14"/>
      <c r="N965" s="4"/>
    </row>
    <row r="966">
      <c r="A966" s="14"/>
      <c r="N966" s="4"/>
    </row>
    <row r="967">
      <c r="A967" s="14"/>
      <c r="N967" s="4"/>
    </row>
    <row r="968">
      <c r="A968" s="14"/>
      <c r="N968" s="4"/>
    </row>
    <row r="969">
      <c r="A969" s="14"/>
      <c r="N969" s="4"/>
    </row>
    <row r="970">
      <c r="A970" s="14"/>
      <c r="N970" s="4"/>
    </row>
    <row r="971">
      <c r="A971" s="14"/>
      <c r="N971" s="4"/>
    </row>
    <row r="972">
      <c r="A972" s="14"/>
      <c r="N972" s="4"/>
    </row>
    <row r="973">
      <c r="A973" s="14"/>
      <c r="N973" s="4"/>
    </row>
    <row r="974">
      <c r="A974" s="14"/>
      <c r="N974" s="4"/>
    </row>
    <row r="975">
      <c r="A975" s="14"/>
      <c r="N975" s="4"/>
    </row>
    <row r="976">
      <c r="A976" s="14"/>
      <c r="N976" s="4"/>
    </row>
    <row r="977">
      <c r="A977" s="14"/>
      <c r="N977" s="4"/>
    </row>
    <row r="978">
      <c r="A978" s="14"/>
      <c r="N978" s="4"/>
    </row>
  </sheetData>
  <dataValidations>
    <dataValidation type="list" allowBlank="1" showErrorMessage="1" sqref="N1:N978">
      <formula1>"Pending,Approved,No Stock"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</hyperlinks>
  <drawing r:id="rId2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9.13"/>
    <col customWidth="1" min="3" max="3" width="9.38"/>
    <col customWidth="1" min="4" max="4" width="18.63"/>
    <col customWidth="1" min="5" max="5" width="15.75"/>
    <col customWidth="1" min="6" max="6" width="7.63"/>
    <col customWidth="1" min="7" max="7" width="3.63"/>
    <col customWidth="1" min="8" max="8" width="4.38"/>
    <col customWidth="1" min="9" max="9" width="27.88"/>
    <col customWidth="1" min="10" max="10" width="6.0"/>
    <col customWidth="1" min="11" max="11" width="6.75"/>
    <col customWidth="1" min="12" max="12" width="4.5"/>
    <col customWidth="1" min="13" max="13" width="11.5"/>
    <col customWidth="1" min="14" max="14" width="13.0"/>
    <col customWidth="1" min="15" max="15" width="11.13"/>
    <col customWidth="1" min="16" max="16" width="10.38"/>
    <col customWidth="1" min="17" max="17" width="68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4">
        <v>46027.420122407406</v>
      </c>
      <c r="B2" s="2" t="s">
        <v>376</v>
      </c>
      <c r="C2" s="5">
        <v>46027.0</v>
      </c>
      <c r="D2" s="2" t="s">
        <v>19</v>
      </c>
      <c r="E2" s="2" t="s">
        <v>798</v>
      </c>
      <c r="F2" s="2" t="s">
        <v>367</v>
      </c>
      <c r="G2" s="2">
        <v>1.0</v>
      </c>
      <c r="H2" s="2" t="s">
        <v>836</v>
      </c>
      <c r="I2" s="2" t="s">
        <v>723</v>
      </c>
      <c r="J2" s="2">
        <v>0.0</v>
      </c>
      <c r="K2" s="2">
        <v>0.0</v>
      </c>
      <c r="L2" s="2">
        <v>0.0</v>
      </c>
      <c r="M2" s="2" t="s">
        <v>918</v>
      </c>
      <c r="N2" s="2" t="s">
        <v>837</v>
      </c>
      <c r="Q2" s="9" t="s">
        <v>919</v>
      </c>
    </row>
    <row r="3">
      <c r="A3" s="64">
        <v>46027.420122407406</v>
      </c>
      <c r="B3" s="2" t="s">
        <v>376</v>
      </c>
      <c r="C3" s="5">
        <v>46027.0</v>
      </c>
      <c r="D3" s="2" t="s">
        <v>19</v>
      </c>
      <c r="E3" s="2" t="s">
        <v>798</v>
      </c>
      <c r="F3" s="2" t="s">
        <v>622</v>
      </c>
      <c r="G3" s="2">
        <v>3.0</v>
      </c>
      <c r="H3" s="2" t="s">
        <v>66</v>
      </c>
      <c r="I3" s="2" t="s">
        <v>623</v>
      </c>
      <c r="K3" s="2">
        <v>0.0</v>
      </c>
      <c r="L3" s="2">
        <v>0.0</v>
      </c>
      <c r="M3" s="2" t="s">
        <v>918</v>
      </c>
      <c r="N3" s="2" t="s">
        <v>24</v>
      </c>
      <c r="Q3" s="9" t="s">
        <v>919</v>
      </c>
    </row>
    <row r="4">
      <c r="A4" s="64">
        <v>46027.420122407406</v>
      </c>
      <c r="B4" s="2" t="s">
        <v>376</v>
      </c>
      <c r="C4" s="5">
        <v>46027.0</v>
      </c>
      <c r="D4" s="2" t="s">
        <v>19</v>
      </c>
      <c r="E4" s="2" t="s">
        <v>798</v>
      </c>
      <c r="F4" s="2" t="s">
        <v>606</v>
      </c>
      <c r="G4" s="2">
        <v>8.0</v>
      </c>
      <c r="H4" s="2" t="s">
        <v>66</v>
      </c>
      <c r="I4" s="2" t="s">
        <v>607</v>
      </c>
      <c r="K4" s="2">
        <v>0.0</v>
      </c>
      <c r="L4" s="2">
        <v>0.0</v>
      </c>
      <c r="M4" s="2" t="s">
        <v>918</v>
      </c>
      <c r="N4" s="2" t="s">
        <v>24</v>
      </c>
      <c r="Q4" s="9" t="s">
        <v>919</v>
      </c>
    </row>
    <row r="5">
      <c r="A5" s="63">
        <v>46027.420122407406</v>
      </c>
      <c r="B5" s="2" t="s">
        <v>376</v>
      </c>
      <c r="C5" s="5">
        <v>46027.0</v>
      </c>
      <c r="D5" s="2" t="s">
        <v>19</v>
      </c>
      <c r="E5" s="2" t="s">
        <v>798</v>
      </c>
      <c r="F5" s="2" t="s">
        <v>608</v>
      </c>
      <c r="G5" s="2">
        <v>8.0</v>
      </c>
      <c r="H5" s="2" t="s">
        <v>66</v>
      </c>
      <c r="I5" s="2" t="s">
        <v>609</v>
      </c>
      <c r="K5" s="2">
        <v>0.0</v>
      </c>
      <c r="L5" s="2">
        <v>0.0</v>
      </c>
      <c r="M5" s="2" t="s">
        <v>918</v>
      </c>
      <c r="N5" s="2" t="s">
        <v>24</v>
      </c>
      <c r="Q5" s="9" t="s">
        <v>919</v>
      </c>
    </row>
    <row r="6">
      <c r="A6" s="63">
        <v>46027.420122407406</v>
      </c>
      <c r="B6" s="2" t="s">
        <v>376</v>
      </c>
      <c r="C6" s="5">
        <v>46027.0</v>
      </c>
      <c r="D6" s="2" t="s">
        <v>19</v>
      </c>
      <c r="E6" s="2" t="s">
        <v>798</v>
      </c>
      <c r="F6" s="2" t="s">
        <v>688</v>
      </c>
      <c r="G6" s="2">
        <v>5.0</v>
      </c>
      <c r="H6" s="2" t="s">
        <v>66</v>
      </c>
      <c r="I6" s="2" t="s">
        <v>689</v>
      </c>
      <c r="K6" s="2">
        <v>0.0</v>
      </c>
      <c r="L6" s="2">
        <v>0.0</v>
      </c>
      <c r="M6" s="2" t="s">
        <v>918</v>
      </c>
      <c r="N6" s="2" t="s">
        <v>24</v>
      </c>
      <c r="Q6" s="9" t="s">
        <v>919</v>
      </c>
    </row>
    <row r="7">
      <c r="A7" s="63">
        <v>46027.420122407406</v>
      </c>
      <c r="B7" s="2" t="s">
        <v>376</v>
      </c>
      <c r="C7" s="5">
        <v>46027.0</v>
      </c>
      <c r="D7" s="2" t="s">
        <v>19</v>
      </c>
      <c r="E7" s="2" t="s">
        <v>798</v>
      </c>
      <c r="F7" s="2" t="s">
        <v>750</v>
      </c>
      <c r="G7" s="2">
        <v>1.0</v>
      </c>
      <c r="H7" s="2" t="s">
        <v>841</v>
      </c>
      <c r="I7" s="2" t="s">
        <v>751</v>
      </c>
      <c r="K7" s="2">
        <v>0.0</v>
      </c>
      <c r="L7" s="2">
        <v>0.0</v>
      </c>
      <c r="M7" s="2" t="s">
        <v>918</v>
      </c>
      <c r="N7" s="2" t="s">
        <v>24</v>
      </c>
      <c r="Q7" s="9" t="s">
        <v>919</v>
      </c>
    </row>
    <row r="8">
      <c r="A8" s="63">
        <v>46027.420122407406</v>
      </c>
      <c r="B8" s="2" t="s">
        <v>376</v>
      </c>
      <c r="C8" s="5">
        <v>46027.0</v>
      </c>
      <c r="D8" s="2" t="s">
        <v>19</v>
      </c>
      <c r="E8" s="2" t="s">
        <v>798</v>
      </c>
      <c r="F8" s="2" t="s">
        <v>580</v>
      </c>
      <c r="G8" s="2">
        <v>20.0</v>
      </c>
      <c r="H8" s="2" t="s">
        <v>66</v>
      </c>
      <c r="I8" s="2" t="s">
        <v>581</v>
      </c>
      <c r="K8" s="2">
        <v>0.0</v>
      </c>
      <c r="L8" s="2">
        <v>0.0</v>
      </c>
      <c r="M8" s="2" t="s">
        <v>918</v>
      </c>
      <c r="N8" s="2" t="s">
        <v>24</v>
      </c>
      <c r="Q8" s="9" t="s">
        <v>919</v>
      </c>
    </row>
    <row r="9">
      <c r="A9" s="63">
        <v>46027.420122407406</v>
      </c>
      <c r="B9" s="2" t="s">
        <v>376</v>
      </c>
      <c r="C9" s="5">
        <v>46027.0</v>
      </c>
      <c r="D9" s="2" t="s">
        <v>19</v>
      </c>
      <c r="E9" s="2" t="s">
        <v>798</v>
      </c>
      <c r="F9" s="2" t="s">
        <v>644</v>
      </c>
      <c r="G9" s="2">
        <v>3.0</v>
      </c>
      <c r="H9" s="2" t="s">
        <v>66</v>
      </c>
      <c r="I9" s="2" t="s">
        <v>645</v>
      </c>
      <c r="K9" s="2">
        <v>0.0</v>
      </c>
      <c r="L9" s="2">
        <v>0.0</v>
      </c>
      <c r="M9" s="2" t="s">
        <v>918</v>
      </c>
      <c r="N9" s="2" t="s">
        <v>24</v>
      </c>
      <c r="Q9" s="9" t="s">
        <v>919</v>
      </c>
    </row>
    <row r="10">
      <c r="A10" s="63">
        <v>46027.420122407406</v>
      </c>
      <c r="B10" s="2" t="s">
        <v>376</v>
      </c>
      <c r="C10" s="5">
        <v>46027.0</v>
      </c>
      <c r="D10" s="2" t="s">
        <v>19</v>
      </c>
      <c r="E10" s="2" t="s">
        <v>798</v>
      </c>
      <c r="F10" s="2" t="s">
        <v>569</v>
      </c>
      <c r="G10" s="2">
        <v>1.0</v>
      </c>
      <c r="H10" s="2" t="s">
        <v>571</v>
      </c>
      <c r="I10" s="2" t="s">
        <v>570</v>
      </c>
      <c r="K10" s="2">
        <v>0.0</v>
      </c>
      <c r="L10" s="2">
        <v>0.0</v>
      </c>
      <c r="M10" s="2" t="s">
        <v>918</v>
      </c>
      <c r="N10" s="2" t="s">
        <v>24</v>
      </c>
      <c r="Q10" s="9" t="s">
        <v>919</v>
      </c>
    </row>
    <row r="11">
      <c r="A11" s="63">
        <v>46027.420122407406</v>
      </c>
      <c r="B11" s="2" t="s">
        <v>376</v>
      </c>
      <c r="C11" s="5">
        <v>46027.0</v>
      </c>
      <c r="D11" s="2" t="s">
        <v>19</v>
      </c>
      <c r="E11" s="2" t="s">
        <v>798</v>
      </c>
      <c r="F11" s="2" t="s">
        <v>572</v>
      </c>
      <c r="G11" s="2">
        <v>1.0</v>
      </c>
      <c r="H11" s="2" t="s">
        <v>571</v>
      </c>
      <c r="I11" s="2" t="s">
        <v>573</v>
      </c>
      <c r="K11" s="2">
        <v>0.0</v>
      </c>
      <c r="L11" s="2">
        <v>0.0</v>
      </c>
      <c r="M11" s="2" t="s">
        <v>918</v>
      </c>
      <c r="N11" s="2" t="s">
        <v>24</v>
      </c>
      <c r="Q11" s="9" t="s">
        <v>919</v>
      </c>
    </row>
    <row r="12">
      <c r="A12" s="63">
        <v>46027.420122407406</v>
      </c>
      <c r="B12" s="2" t="s">
        <v>376</v>
      </c>
      <c r="C12" s="5">
        <v>46027.0</v>
      </c>
      <c r="D12" s="2" t="s">
        <v>19</v>
      </c>
      <c r="E12" s="2" t="s">
        <v>798</v>
      </c>
      <c r="F12" s="2" t="s">
        <v>592</v>
      </c>
      <c r="G12" s="2">
        <v>30.0</v>
      </c>
      <c r="H12" s="2" t="s">
        <v>66</v>
      </c>
      <c r="I12" s="2" t="s">
        <v>593</v>
      </c>
      <c r="K12" s="2">
        <v>0.0</v>
      </c>
      <c r="L12" s="2">
        <v>0.0</v>
      </c>
      <c r="M12" s="2" t="s">
        <v>918</v>
      </c>
      <c r="N12" s="2" t="s">
        <v>24</v>
      </c>
      <c r="Q12" s="9" t="s">
        <v>919</v>
      </c>
    </row>
    <row r="13">
      <c r="A13" s="63">
        <v>46036.6758200926</v>
      </c>
      <c r="B13" s="2" t="s">
        <v>376</v>
      </c>
      <c r="C13" s="5">
        <v>46036.0</v>
      </c>
      <c r="D13" s="2" t="s">
        <v>19</v>
      </c>
      <c r="E13" s="2" t="s">
        <v>798</v>
      </c>
      <c r="F13" s="2" t="s">
        <v>777</v>
      </c>
      <c r="G13" s="2">
        <v>40.0</v>
      </c>
      <c r="H13" s="2" t="s">
        <v>66</v>
      </c>
      <c r="I13" s="2" t="s">
        <v>778</v>
      </c>
      <c r="K13" s="2">
        <v>0.0</v>
      </c>
      <c r="L13" s="2">
        <v>0.0</v>
      </c>
      <c r="M13" s="2" t="s">
        <v>376</v>
      </c>
      <c r="N13" s="2" t="s">
        <v>24</v>
      </c>
      <c r="Q13" s="9" t="s">
        <v>920</v>
      </c>
    </row>
    <row r="14">
      <c r="N14" s="4"/>
    </row>
    <row r="15">
      <c r="N15" s="4"/>
    </row>
    <row r="16">
      <c r="N16" s="4"/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  <row r="972">
      <c r="N972" s="4"/>
    </row>
    <row r="973">
      <c r="N973" s="4"/>
    </row>
    <row r="974">
      <c r="N974" s="4"/>
    </row>
    <row r="975">
      <c r="N975" s="4"/>
    </row>
    <row r="976">
      <c r="N976" s="4"/>
    </row>
    <row r="977">
      <c r="N977" s="4"/>
    </row>
    <row r="978">
      <c r="N978" s="4"/>
    </row>
    <row r="979">
      <c r="N979" s="4"/>
    </row>
    <row r="980">
      <c r="N980" s="4"/>
    </row>
    <row r="981">
      <c r="N981" s="4"/>
    </row>
    <row r="982">
      <c r="N982" s="4"/>
    </row>
    <row r="983">
      <c r="N983" s="4"/>
    </row>
    <row r="984">
      <c r="N984" s="4"/>
    </row>
    <row r="985">
      <c r="N985" s="4"/>
    </row>
    <row r="986">
      <c r="N986" s="4"/>
    </row>
    <row r="987">
      <c r="N987" s="4"/>
    </row>
    <row r="988">
      <c r="N988" s="4"/>
    </row>
    <row r="989">
      <c r="N989" s="4"/>
    </row>
    <row r="990">
      <c r="N990" s="4"/>
    </row>
    <row r="991">
      <c r="N991" s="4"/>
    </row>
  </sheetData>
  <dataValidations>
    <dataValidation type="list" allowBlank="1" showErrorMessage="1" sqref="N1:N991">
      <formula1>"Approved,Pending,No Stock"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</hyperlinks>
  <drawing r:id="rId13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0.88"/>
    <col customWidth="1" min="3" max="3" width="9.5"/>
    <col customWidth="1" min="4" max="4" width="18.63"/>
    <col customWidth="1" min="5" max="5" width="15.75"/>
    <col customWidth="1" min="6" max="6" width="7.63"/>
    <col customWidth="1" min="7" max="7" width="3.63"/>
    <col customWidth="1" min="8" max="8" width="6.5"/>
    <col customWidth="1" min="9" max="9" width="25.25"/>
    <col customWidth="1" min="10" max="10" width="6.0"/>
    <col customWidth="1" min="11" max="11" width="6.75"/>
    <col customWidth="1" min="12" max="12" width="4.5"/>
    <col customWidth="1" min="13" max="13" width="23.0"/>
    <col customWidth="1" min="14" max="14" width="21.38"/>
    <col customWidth="1" min="15" max="15" width="11.13"/>
    <col customWidth="1" min="16" max="16" width="10.38"/>
    <col customWidth="1" min="17" max="17" width="70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63">
        <v>46028.426900810184</v>
      </c>
      <c r="B2" s="2" t="s">
        <v>55</v>
      </c>
      <c r="C2" s="5">
        <v>46028.0</v>
      </c>
      <c r="D2" s="2" t="s">
        <v>19</v>
      </c>
      <c r="E2" s="2" t="s">
        <v>798</v>
      </c>
      <c r="F2" s="2" t="s">
        <v>569</v>
      </c>
      <c r="G2" s="2">
        <v>1.0</v>
      </c>
      <c r="H2" s="2" t="s">
        <v>571</v>
      </c>
      <c r="I2" s="2" t="s">
        <v>570</v>
      </c>
      <c r="K2" s="2">
        <v>0.0</v>
      </c>
      <c r="L2" s="2">
        <v>0.0</v>
      </c>
      <c r="M2" s="2" t="s">
        <v>235</v>
      </c>
      <c r="N2" s="2" t="s">
        <v>24</v>
      </c>
      <c r="Q2" s="9" t="s">
        <v>921</v>
      </c>
    </row>
    <row r="3">
      <c r="A3" s="63">
        <v>46028.426900810184</v>
      </c>
      <c r="B3" s="2" t="s">
        <v>55</v>
      </c>
      <c r="C3" s="5">
        <v>46028.0</v>
      </c>
      <c r="D3" s="2" t="s">
        <v>19</v>
      </c>
      <c r="E3" s="2" t="s">
        <v>798</v>
      </c>
      <c r="F3" s="2" t="s">
        <v>572</v>
      </c>
      <c r="G3" s="2">
        <v>1.0</v>
      </c>
      <c r="H3" s="2" t="s">
        <v>571</v>
      </c>
      <c r="I3" s="2" t="s">
        <v>573</v>
      </c>
      <c r="K3" s="2">
        <v>0.0</v>
      </c>
      <c r="L3" s="2">
        <v>0.0</v>
      </c>
      <c r="M3" s="2" t="s">
        <v>235</v>
      </c>
      <c r="N3" s="2" t="s">
        <v>24</v>
      </c>
      <c r="Q3" s="9" t="s">
        <v>921</v>
      </c>
    </row>
    <row r="4">
      <c r="A4" s="63">
        <v>46028.426900810184</v>
      </c>
      <c r="B4" s="2" t="s">
        <v>55</v>
      </c>
      <c r="C4" s="5">
        <v>46028.0</v>
      </c>
      <c r="D4" s="2" t="s">
        <v>19</v>
      </c>
      <c r="E4" s="2" t="s">
        <v>798</v>
      </c>
      <c r="F4" s="2" t="s">
        <v>748</v>
      </c>
      <c r="G4" s="2">
        <v>1.0</v>
      </c>
      <c r="H4" s="2" t="s">
        <v>48</v>
      </c>
      <c r="I4" s="2" t="s">
        <v>749</v>
      </c>
      <c r="K4" s="2">
        <v>0.0</v>
      </c>
      <c r="L4" s="2">
        <v>0.0</v>
      </c>
      <c r="M4" s="2" t="s">
        <v>235</v>
      </c>
      <c r="N4" s="2" t="s">
        <v>24</v>
      </c>
      <c r="Q4" s="9" t="s">
        <v>921</v>
      </c>
    </row>
    <row r="5">
      <c r="A5" s="63">
        <v>46028.426900810184</v>
      </c>
      <c r="B5" s="2" t="s">
        <v>55</v>
      </c>
      <c r="C5" s="5">
        <v>46028.0</v>
      </c>
      <c r="D5" s="2" t="s">
        <v>19</v>
      </c>
      <c r="E5" s="2" t="s">
        <v>798</v>
      </c>
      <c r="F5" s="2" t="s">
        <v>614</v>
      </c>
      <c r="G5" s="2">
        <v>1.0</v>
      </c>
      <c r="H5" s="2" t="s">
        <v>21</v>
      </c>
      <c r="I5" s="2" t="s">
        <v>615</v>
      </c>
      <c r="K5" s="2">
        <v>0.0</v>
      </c>
      <c r="L5" s="2">
        <v>0.0</v>
      </c>
      <c r="M5" s="2" t="s">
        <v>235</v>
      </c>
      <c r="N5" s="2" t="s">
        <v>24</v>
      </c>
      <c r="Q5" s="9" t="s">
        <v>921</v>
      </c>
    </row>
    <row r="6">
      <c r="A6" s="63">
        <v>46028.426900810184</v>
      </c>
      <c r="B6" s="2" t="s">
        <v>55</v>
      </c>
      <c r="C6" s="5">
        <v>46028.0</v>
      </c>
      <c r="D6" s="2" t="s">
        <v>19</v>
      </c>
      <c r="E6" s="2" t="s">
        <v>798</v>
      </c>
      <c r="F6" s="2" t="s">
        <v>688</v>
      </c>
      <c r="G6" s="2">
        <v>3.0</v>
      </c>
      <c r="H6" s="2" t="s">
        <v>66</v>
      </c>
      <c r="I6" s="2" t="s">
        <v>689</v>
      </c>
      <c r="K6" s="2">
        <v>0.0</v>
      </c>
      <c r="L6" s="2">
        <v>0.0</v>
      </c>
      <c r="M6" s="2" t="s">
        <v>235</v>
      </c>
      <c r="N6" s="2" t="s">
        <v>24</v>
      </c>
      <c r="Q6" s="9" t="s">
        <v>921</v>
      </c>
    </row>
    <row r="7">
      <c r="A7" s="63">
        <v>46028.426900810184</v>
      </c>
      <c r="B7" s="2" t="s">
        <v>55</v>
      </c>
      <c r="C7" s="5">
        <v>46028.0</v>
      </c>
      <c r="D7" s="2" t="s">
        <v>19</v>
      </c>
      <c r="E7" s="2" t="s">
        <v>798</v>
      </c>
      <c r="F7" s="2" t="s">
        <v>644</v>
      </c>
      <c r="G7" s="2">
        <v>1.0</v>
      </c>
      <c r="H7" s="2" t="s">
        <v>66</v>
      </c>
      <c r="I7" s="2" t="s">
        <v>645</v>
      </c>
      <c r="K7" s="2">
        <v>0.0</v>
      </c>
      <c r="L7" s="2">
        <v>0.0</v>
      </c>
      <c r="M7" s="2" t="s">
        <v>235</v>
      </c>
      <c r="N7" s="2" t="s">
        <v>24</v>
      </c>
      <c r="Q7" s="9" t="s">
        <v>921</v>
      </c>
    </row>
    <row r="8">
      <c r="A8" s="63">
        <v>46028.426900810184</v>
      </c>
      <c r="B8" s="2" t="s">
        <v>55</v>
      </c>
      <c r="C8" s="5">
        <v>46028.0</v>
      </c>
      <c r="D8" s="2" t="s">
        <v>19</v>
      </c>
      <c r="E8" s="2" t="s">
        <v>798</v>
      </c>
      <c r="F8" s="2" t="s">
        <v>678</v>
      </c>
      <c r="G8" s="2">
        <v>6.0</v>
      </c>
      <c r="H8" s="2" t="s">
        <v>66</v>
      </c>
      <c r="I8" s="2" t="s">
        <v>679</v>
      </c>
      <c r="K8" s="2">
        <v>0.0</v>
      </c>
      <c r="L8" s="2">
        <v>0.0</v>
      </c>
      <c r="M8" s="2" t="s">
        <v>235</v>
      </c>
      <c r="N8" s="2" t="s">
        <v>24</v>
      </c>
      <c r="Q8" s="9" t="s">
        <v>921</v>
      </c>
    </row>
    <row r="9">
      <c r="A9" s="63">
        <v>46028.426900810184</v>
      </c>
      <c r="B9" s="2" t="s">
        <v>55</v>
      </c>
      <c r="C9" s="5">
        <v>46028.0</v>
      </c>
      <c r="D9" s="2" t="s">
        <v>19</v>
      </c>
      <c r="E9" s="2" t="s">
        <v>798</v>
      </c>
      <c r="F9" s="2" t="s">
        <v>750</v>
      </c>
      <c r="G9" s="2">
        <v>1.0</v>
      </c>
      <c r="H9" s="2" t="s">
        <v>841</v>
      </c>
      <c r="I9" s="2" t="s">
        <v>751</v>
      </c>
      <c r="K9" s="2">
        <v>0.0</v>
      </c>
      <c r="L9" s="2">
        <v>0.0</v>
      </c>
      <c r="M9" s="2" t="s">
        <v>235</v>
      </c>
      <c r="N9" s="2" t="s">
        <v>24</v>
      </c>
      <c r="Q9" s="9" t="s">
        <v>921</v>
      </c>
    </row>
    <row r="10">
      <c r="A10" s="63">
        <v>46028.426900810184</v>
      </c>
      <c r="B10" s="2" t="s">
        <v>55</v>
      </c>
      <c r="C10" s="5">
        <v>46028.0</v>
      </c>
      <c r="D10" s="2" t="s">
        <v>19</v>
      </c>
      <c r="E10" s="2" t="s">
        <v>798</v>
      </c>
      <c r="F10" s="2" t="s">
        <v>640</v>
      </c>
      <c r="G10" s="2">
        <v>2.0</v>
      </c>
      <c r="H10" s="2" t="s">
        <v>66</v>
      </c>
      <c r="I10" s="2" t="s">
        <v>641</v>
      </c>
      <c r="K10" s="2">
        <v>0.0</v>
      </c>
      <c r="L10" s="2">
        <v>0.0</v>
      </c>
      <c r="M10" s="2" t="s">
        <v>235</v>
      </c>
      <c r="N10" s="2" t="s">
        <v>875</v>
      </c>
      <c r="Q10" s="9" t="s">
        <v>921</v>
      </c>
    </row>
    <row r="11">
      <c r="A11" s="63">
        <v>46028.426900810184</v>
      </c>
      <c r="B11" s="2" t="s">
        <v>55</v>
      </c>
      <c r="C11" s="5">
        <v>46028.0</v>
      </c>
      <c r="D11" s="2" t="s">
        <v>19</v>
      </c>
      <c r="E11" s="2" t="s">
        <v>798</v>
      </c>
      <c r="F11" s="2" t="s">
        <v>760</v>
      </c>
      <c r="G11" s="2">
        <v>1.0</v>
      </c>
      <c r="H11" s="2" t="s">
        <v>822</v>
      </c>
      <c r="I11" s="2" t="s">
        <v>761</v>
      </c>
      <c r="K11" s="2">
        <v>0.0</v>
      </c>
      <c r="L11" s="2">
        <v>0.0</v>
      </c>
      <c r="M11" s="2" t="s">
        <v>235</v>
      </c>
      <c r="N11" s="2" t="s">
        <v>24</v>
      </c>
      <c r="Q11" s="9" t="s">
        <v>921</v>
      </c>
    </row>
    <row r="12">
      <c r="A12" s="63">
        <v>46028.426900810184</v>
      </c>
      <c r="B12" s="2" t="s">
        <v>55</v>
      </c>
      <c r="C12" s="5">
        <v>46028.0</v>
      </c>
      <c r="D12" s="2" t="s">
        <v>19</v>
      </c>
      <c r="E12" s="2" t="s">
        <v>798</v>
      </c>
      <c r="F12" s="2" t="s">
        <v>586</v>
      </c>
      <c r="G12" s="2">
        <v>10.0</v>
      </c>
      <c r="H12" s="2" t="s">
        <v>66</v>
      </c>
      <c r="I12" s="2" t="s">
        <v>587</v>
      </c>
      <c r="K12" s="2">
        <v>0.0</v>
      </c>
      <c r="L12" s="2">
        <v>0.0</v>
      </c>
      <c r="M12" s="2" t="s">
        <v>235</v>
      </c>
      <c r="N12" s="2" t="s">
        <v>24</v>
      </c>
      <c r="Q12" s="9" t="s">
        <v>921</v>
      </c>
    </row>
    <row r="13">
      <c r="A13" s="63">
        <v>46028.426900810184</v>
      </c>
      <c r="B13" s="2" t="s">
        <v>55</v>
      </c>
      <c r="C13" s="5">
        <v>46028.0</v>
      </c>
      <c r="D13" s="2" t="s">
        <v>19</v>
      </c>
      <c r="E13" s="2" t="s">
        <v>798</v>
      </c>
      <c r="F13" s="2" t="s">
        <v>592</v>
      </c>
      <c r="G13" s="2">
        <v>20.0</v>
      </c>
      <c r="H13" s="2" t="s">
        <v>66</v>
      </c>
      <c r="I13" s="2" t="s">
        <v>593</v>
      </c>
      <c r="K13" s="2">
        <v>0.0</v>
      </c>
      <c r="L13" s="2">
        <v>0.0</v>
      </c>
      <c r="M13" s="2" t="s">
        <v>235</v>
      </c>
      <c r="N13" s="2" t="s">
        <v>24</v>
      </c>
      <c r="Q13" s="9" t="s">
        <v>921</v>
      </c>
    </row>
    <row r="14">
      <c r="N14" s="4"/>
    </row>
    <row r="15">
      <c r="N15" s="4"/>
    </row>
    <row r="16">
      <c r="N16" s="4"/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  <row r="972">
      <c r="N972" s="4"/>
    </row>
    <row r="973">
      <c r="N973" s="4"/>
    </row>
  </sheetData>
  <dataValidations>
    <dataValidation type="list" allowBlank="1" showErrorMessage="1" sqref="N1:N973">
      <formula1>"Approved,Pending,No Stocks"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</hyperlinks>
  <drawing r:id="rId1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N2" s="4"/>
    </row>
    <row r="3">
      <c r="N3" s="4"/>
    </row>
    <row r="4">
      <c r="N4" s="4"/>
    </row>
    <row r="5">
      <c r="N5" s="4"/>
    </row>
    <row r="6">
      <c r="N6" s="4"/>
    </row>
    <row r="7">
      <c r="N7" s="4"/>
    </row>
    <row r="8">
      <c r="N8" s="4"/>
    </row>
    <row r="9">
      <c r="N9" s="4"/>
    </row>
    <row r="10">
      <c r="N10" s="4"/>
    </row>
    <row r="11">
      <c r="N11" s="4"/>
    </row>
    <row r="12">
      <c r="N12" s="4"/>
    </row>
    <row r="13">
      <c r="N13" s="4"/>
    </row>
    <row r="14">
      <c r="N14" s="4"/>
    </row>
    <row r="15">
      <c r="N15" s="4"/>
    </row>
    <row r="16">
      <c r="N16" s="4"/>
    </row>
    <row r="17">
      <c r="N17" s="4"/>
    </row>
    <row r="18">
      <c r="N18" s="4"/>
    </row>
    <row r="19">
      <c r="N19" s="4"/>
    </row>
    <row r="20">
      <c r="N20" s="4"/>
    </row>
    <row r="21">
      <c r="N21" s="4"/>
    </row>
    <row r="22">
      <c r="N22" s="4"/>
    </row>
    <row r="23">
      <c r="N23" s="4"/>
    </row>
    <row r="24">
      <c r="N24" s="4"/>
    </row>
    <row r="25">
      <c r="N25" s="4"/>
    </row>
    <row r="26">
      <c r="N26" s="4"/>
    </row>
    <row r="27">
      <c r="N27" s="4"/>
    </row>
    <row r="28">
      <c r="N28" s="4"/>
    </row>
    <row r="29">
      <c r="N29" s="4"/>
    </row>
    <row r="30">
      <c r="N30" s="4"/>
    </row>
    <row r="31">
      <c r="N31" s="4"/>
    </row>
    <row r="32">
      <c r="N32" s="4"/>
    </row>
    <row r="33">
      <c r="N33" s="4"/>
    </row>
    <row r="34">
      <c r="N34" s="4"/>
    </row>
    <row r="35">
      <c r="N35" s="4"/>
    </row>
    <row r="36">
      <c r="N36" s="4"/>
    </row>
    <row r="37">
      <c r="N37" s="4"/>
    </row>
    <row r="38">
      <c r="N38" s="4"/>
    </row>
    <row r="39">
      <c r="N39" s="4"/>
    </row>
    <row r="40">
      <c r="N40" s="4"/>
    </row>
    <row r="41">
      <c r="N41" s="4"/>
    </row>
    <row r="42">
      <c r="N42" s="4"/>
    </row>
    <row r="43">
      <c r="N43" s="4"/>
    </row>
    <row r="44">
      <c r="N44" s="4"/>
    </row>
    <row r="45">
      <c r="N45" s="4"/>
    </row>
    <row r="46">
      <c r="N46" s="4"/>
    </row>
    <row r="47">
      <c r="N47" s="4"/>
    </row>
    <row r="48">
      <c r="N48" s="4"/>
    </row>
    <row r="49">
      <c r="N49" s="4"/>
    </row>
    <row r="50">
      <c r="N50" s="4"/>
    </row>
    <row r="51">
      <c r="N51" s="4"/>
    </row>
    <row r="52">
      <c r="N52" s="4"/>
    </row>
    <row r="53">
      <c r="N53" s="4"/>
    </row>
    <row r="54">
      <c r="N54" s="4"/>
    </row>
    <row r="55">
      <c r="N55" s="4"/>
    </row>
    <row r="56">
      <c r="N56" s="4"/>
    </row>
    <row r="57">
      <c r="N57" s="4"/>
    </row>
    <row r="58">
      <c r="N58" s="4"/>
    </row>
    <row r="59">
      <c r="N59" s="4"/>
    </row>
    <row r="60">
      <c r="N60" s="4"/>
    </row>
    <row r="61">
      <c r="N61" s="4"/>
    </row>
    <row r="62">
      <c r="N62" s="4"/>
    </row>
    <row r="63">
      <c r="N63" s="4"/>
    </row>
    <row r="64">
      <c r="N64" s="4"/>
    </row>
    <row r="65">
      <c r="N65" s="4"/>
    </row>
    <row r="66">
      <c r="N66" s="4"/>
    </row>
    <row r="67">
      <c r="N67" s="4"/>
    </row>
    <row r="68">
      <c r="N68" s="4"/>
    </row>
    <row r="69">
      <c r="N69" s="4"/>
    </row>
    <row r="70">
      <c r="N70" s="4"/>
    </row>
    <row r="71">
      <c r="N71" s="4"/>
    </row>
    <row r="72">
      <c r="N72" s="4"/>
    </row>
    <row r="73">
      <c r="N73" s="4"/>
    </row>
    <row r="74">
      <c r="N74" s="4"/>
    </row>
    <row r="75">
      <c r="N75" s="4"/>
    </row>
    <row r="76">
      <c r="N76" s="4"/>
    </row>
    <row r="77">
      <c r="N77" s="4"/>
    </row>
    <row r="78">
      <c r="N78" s="4"/>
    </row>
    <row r="79">
      <c r="N79" s="4"/>
    </row>
    <row r="80">
      <c r="N80" s="4"/>
    </row>
    <row r="81">
      <c r="N81" s="4"/>
    </row>
    <row r="82">
      <c r="N82" s="4"/>
    </row>
    <row r="83">
      <c r="N83" s="4"/>
    </row>
    <row r="84">
      <c r="N84" s="4"/>
    </row>
    <row r="85">
      <c r="N85" s="4"/>
    </row>
    <row r="86">
      <c r="N86" s="4"/>
    </row>
    <row r="87">
      <c r="N87" s="4"/>
    </row>
    <row r="88">
      <c r="N88" s="4"/>
    </row>
    <row r="89">
      <c r="N89" s="4"/>
    </row>
    <row r="90">
      <c r="N90" s="4"/>
    </row>
    <row r="91">
      <c r="N91" s="4"/>
    </row>
    <row r="92">
      <c r="N92" s="4"/>
    </row>
    <row r="93">
      <c r="N93" s="4"/>
    </row>
    <row r="94">
      <c r="N94" s="4"/>
    </row>
    <row r="95">
      <c r="N95" s="4"/>
    </row>
    <row r="96">
      <c r="N96" s="4"/>
    </row>
    <row r="97">
      <c r="N97" s="4"/>
    </row>
    <row r="98">
      <c r="N98" s="4"/>
    </row>
    <row r="99">
      <c r="N99" s="4"/>
    </row>
    <row r="100">
      <c r="N100" s="4"/>
    </row>
    <row r="101">
      <c r="N101" s="4"/>
    </row>
    <row r="102">
      <c r="N102" s="4"/>
    </row>
    <row r="103">
      <c r="N103" s="4"/>
    </row>
    <row r="104">
      <c r="N104" s="4"/>
    </row>
    <row r="105">
      <c r="N105" s="4"/>
    </row>
    <row r="106">
      <c r="N106" s="4"/>
    </row>
    <row r="107">
      <c r="N107" s="4"/>
    </row>
    <row r="108">
      <c r="N108" s="4"/>
    </row>
    <row r="109">
      <c r="N109" s="4"/>
    </row>
    <row r="110">
      <c r="N110" s="4"/>
    </row>
    <row r="111">
      <c r="N111" s="4"/>
    </row>
    <row r="112">
      <c r="N112" s="4"/>
    </row>
    <row r="113">
      <c r="N113" s="4"/>
    </row>
    <row r="114">
      <c r="N114" s="4"/>
    </row>
    <row r="115">
      <c r="N115" s="4"/>
    </row>
    <row r="116">
      <c r="N116" s="4"/>
    </row>
    <row r="117">
      <c r="N117" s="4"/>
    </row>
    <row r="118">
      <c r="N118" s="4"/>
    </row>
    <row r="119">
      <c r="N119" s="4"/>
    </row>
    <row r="120">
      <c r="N120" s="4"/>
    </row>
    <row r="121">
      <c r="N121" s="4"/>
    </row>
    <row r="122">
      <c r="N122" s="4"/>
    </row>
    <row r="123">
      <c r="N123" s="4"/>
    </row>
    <row r="124">
      <c r="N124" s="4"/>
    </row>
    <row r="125">
      <c r="N125" s="4"/>
    </row>
    <row r="126">
      <c r="N126" s="4"/>
    </row>
    <row r="127">
      <c r="N127" s="4"/>
    </row>
    <row r="128">
      <c r="N128" s="4"/>
    </row>
    <row r="129">
      <c r="N129" s="4"/>
    </row>
    <row r="130">
      <c r="N130" s="4"/>
    </row>
    <row r="131">
      <c r="N131" s="4"/>
    </row>
    <row r="132">
      <c r="N132" s="4"/>
    </row>
    <row r="133">
      <c r="N133" s="4"/>
    </row>
    <row r="134">
      <c r="N134" s="4"/>
    </row>
    <row r="135">
      <c r="N135" s="4"/>
    </row>
    <row r="136">
      <c r="N136" s="4"/>
    </row>
    <row r="137">
      <c r="N137" s="4"/>
    </row>
    <row r="138">
      <c r="N138" s="4"/>
    </row>
    <row r="139">
      <c r="N139" s="4"/>
    </row>
    <row r="140">
      <c r="N140" s="4"/>
    </row>
    <row r="141">
      <c r="N141" s="4"/>
    </row>
    <row r="142">
      <c r="N142" s="4"/>
    </row>
    <row r="143">
      <c r="N143" s="4"/>
    </row>
    <row r="144">
      <c r="N144" s="4"/>
    </row>
    <row r="145">
      <c r="N145" s="4"/>
    </row>
    <row r="146">
      <c r="N146" s="4"/>
    </row>
    <row r="147">
      <c r="N147" s="4"/>
    </row>
    <row r="148">
      <c r="N148" s="4"/>
    </row>
    <row r="149">
      <c r="N149" s="4"/>
    </row>
    <row r="150">
      <c r="N150" s="4"/>
    </row>
    <row r="151">
      <c r="N151" s="4"/>
    </row>
    <row r="152">
      <c r="N152" s="4"/>
    </row>
    <row r="153">
      <c r="N153" s="4"/>
    </row>
    <row r="154">
      <c r="N154" s="4"/>
    </row>
    <row r="155">
      <c r="N155" s="4"/>
    </row>
    <row r="156">
      <c r="N156" s="4"/>
    </row>
    <row r="157">
      <c r="N157" s="4"/>
    </row>
    <row r="158">
      <c r="N158" s="4"/>
    </row>
    <row r="159">
      <c r="N159" s="4"/>
    </row>
    <row r="160">
      <c r="N160" s="4"/>
    </row>
    <row r="161">
      <c r="N161" s="4"/>
    </row>
    <row r="162">
      <c r="N162" s="4"/>
    </row>
    <row r="163">
      <c r="N163" s="4"/>
    </row>
    <row r="164">
      <c r="N164" s="4"/>
    </row>
    <row r="165">
      <c r="N165" s="4"/>
    </row>
    <row r="166">
      <c r="N166" s="4"/>
    </row>
    <row r="167">
      <c r="N167" s="4"/>
    </row>
    <row r="168">
      <c r="N168" s="4"/>
    </row>
    <row r="169">
      <c r="N169" s="4"/>
    </row>
    <row r="170">
      <c r="N170" s="4"/>
    </row>
    <row r="171">
      <c r="N171" s="4"/>
    </row>
    <row r="172">
      <c r="N172" s="4"/>
    </row>
    <row r="173">
      <c r="N173" s="4"/>
    </row>
    <row r="174">
      <c r="N174" s="4"/>
    </row>
    <row r="175">
      <c r="N175" s="4"/>
    </row>
    <row r="176">
      <c r="N176" s="4"/>
    </row>
    <row r="177">
      <c r="N177" s="4"/>
    </row>
    <row r="178">
      <c r="N178" s="4"/>
    </row>
    <row r="179">
      <c r="N179" s="4"/>
    </row>
    <row r="180">
      <c r="N180" s="4"/>
    </row>
    <row r="181">
      <c r="N181" s="4"/>
    </row>
    <row r="182">
      <c r="N182" s="4"/>
    </row>
    <row r="183">
      <c r="N183" s="4"/>
    </row>
    <row r="184">
      <c r="N184" s="4"/>
    </row>
    <row r="185">
      <c r="N185" s="4"/>
    </row>
    <row r="186">
      <c r="N186" s="4"/>
    </row>
    <row r="187">
      <c r="N187" s="4"/>
    </row>
    <row r="188">
      <c r="N188" s="4"/>
    </row>
    <row r="189">
      <c r="N189" s="4"/>
    </row>
    <row r="190">
      <c r="N190" s="4"/>
    </row>
    <row r="191">
      <c r="N191" s="4"/>
    </row>
    <row r="192">
      <c r="N192" s="4"/>
    </row>
    <row r="193">
      <c r="N193" s="4"/>
    </row>
    <row r="194">
      <c r="N194" s="4"/>
    </row>
    <row r="195">
      <c r="N195" s="4"/>
    </row>
    <row r="196">
      <c r="N196" s="4"/>
    </row>
    <row r="197">
      <c r="N197" s="4"/>
    </row>
    <row r="198">
      <c r="N198" s="4"/>
    </row>
    <row r="199">
      <c r="N199" s="4"/>
    </row>
    <row r="200">
      <c r="N200" s="4"/>
    </row>
    <row r="201">
      <c r="N201" s="4"/>
    </row>
    <row r="202">
      <c r="N202" s="4"/>
    </row>
    <row r="203">
      <c r="N203" s="4"/>
    </row>
    <row r="204">
      <c r="N204" s="4"/>
    </row>
    <row r="205">
      <c r="N205" s="4"/>
    </row>
    <row r="206">
      <c r="N206" s="4"/>
    </row>
    <row r="207">
      <c r="N207" s="4"/>
    </row>
    <row r="208">
      <c r="N208" s="4"/>
    </row>
    <row r="209">
      <c r="N209" s="4"/>
    </row>
    <row r="210">
      <c r="N210" s="4"/>
    </row>
    <row r="211">
      <c r="N211" s="4"/>
    </row>
    <row r="212">
      <c r="N212" s="4"/>
    </row>
    <row r="213">
      <c r="N213" s="4"/>
    </row>
    <row r="214">
      <c r="N214" s="4"/>
    </row>
    <row r="215">
      <c r="N215" s="4"/>
    </row>
    <row r="216">
      <c r="N216" s="4"/>
    </row>
    <row r="217">
      <c r="N217" s="4"/>
    </row>
    <row r="218">
      <c r="N218" s="4"/>
    </row>
    <row r="219">
      <c r="N219" s="4"/>
    </row>
    <row r="220">
      <c r="N220" s="4"/>
    </row>
    <row r="221">
      <c r="N221" s="4"/>
    </row>
    <row r="222">
      <c r="N222" s="4"/>
    </row>
    <row r="223">
      <c r="N223" s="4"/>
    </row>
    <row r="224">
      <c r="N224" s="4"/>
    </row>
    <row r="225">
      <c r="N225" s="4"/>
    </row>
    <row r="226">
      <c r="N226" s="4"/>
    </row>
    <row r="227">
      <c r="N227" s="4"/>
    </row>
    <row r="228">
      <c r="N228" s="4"/>
    </row>
    <row r="229">
      <c r="N229" s="4"/>
    </row>
    <row r="230">
      <c r="N230" s="4"/>
    </row>
    <row r="231">
      <c r="N231" s="4"/>
    </row>
    <row r="232">
      <c r="N232" s="4"/>
    </row>
    <row r="233">
      <c r="N233" s="4"/>
    </row>
    <row r="234">
      <c r="N234" s="4"/>
    </row>
    <row r="235">
      <c r="N235" s="4"/>
    </row>
    <row r="236">
      <c r="N236" s="4"/>
    </row>
    <row r="237">
      <c r="N237" s="4"/>
    </row>
    <row r="238">
      <c r="N238" s="4"/>
    </row>
    <row r="239">
      <c r="N239" s="4"/>
    </row>
    <row r="240">
      <c r="N240" s="4"/>
    </row>
    <row r="241">
      <c r="N241" s="4"/>
    </row>
    <row r="242">
      <c r="N242" s="4"/>
    </row>
    <row r="243">
      <c r="N243" s="4"/>
    </row>
    <row r="244">
      <c r="N244" s="4"/>
    </row>
    <row r="245">
      <c r="N245" s="4"/>
    </row>
    <row r="246">
      <c r="N246" s="4"/>
    </row>
    <row r="247">
      <c r="N247" s="4"/>
    </row>
    <row r="248">
      <c r="N248" s="4"/>
    </row>
    <row r="249">
      <c r="N249" s="4"/>
    </row>
    <row r="250">
      <c r="N250" s="4"/>
    </row>
    <row r="251">
      <c r="N251" s="4"/>
    </row>
    <row r="252">
      <c r="N252" s="4"/>
    </row>
    <row r="253">
      <c r="N253" s="4"/>
    </row>
    <row r="254">
      <c r="N254" s="4"/>
    </row>
    <row r="255">
      <c r="N255" s="4"/>
    </row>
    <row r="256">
      <c r="N256" s="4"/>
    </row>
    <row r="257">
      <c r="N257" s="4"/>
    </row>
    <row r="258">
      <c r="N258" s="4"/>
    </row>
    <row r="259">
      <c r="N259" s="4"/>
    </row>
    <row r="260">
      <c r="N260" s="4"/>
    </row>
    <row r="261">
      <c r="N261" s="4"/>
    </row>
    <row r="262">
      <c r="N262" s="4"/>
    </row>
    <row r="263">
      <c r="N263" s="4"/>
    </row>
    <row r="264">
      <c r="N264" s="4"/>
    </row>
    <row r="265">
      <c r="N265" s="4"/>
    </row>
    <row r="266">
      <c r="N266" s="4"/>
    </row>
    <row r="267">
      <c r="N267" s="4"/>
    </row>
    <row r="268">
      <c r="N268" s="4"/>
    </row>
    <row r="269">
      <c r="N269" s="4"/>
    </row>
    <row r="270">
      <c r="N270" s="4"/>
    </row>
    <row r="271">
      <c r="N271" s="4"/>
    </row>
    <row r="272">
      <c r="N272" s="4"/>
    </row>
    <row r="273">
      <c r="N273" s="4"/>
    </row>
    <row r="274">
      <c r="N274" s="4"/>
    </row>
    <row r="275">
      <c r="N275" s="4"/>
    </row>
    <row r="276">
      <c r="N276" s="4"/>
    </row>
    <row r="277">
      <c r="N277" s="4"/>
    </row>
    <row r="278">
      <c r="N278" s="4"/>
    </row>
    <row r="279">
      <c r="N279" s="4"/>
    </row>
    <row r="280">
      <c r="N280" s="4"/>
    </row>
    <row r="281">
      <c r="N281" s="4"/>
    </row>
    <row r="282">
      <c r="N282" s="4"/>
    </row>
    <row r="283">
      <c r="N283" s="4"/>
    </row>
    <row r="284">
      <c r="N284" s="4"/>
    </row>
    <row r="285">
      <c r="N285" s="4"/>
    </row>
    <row r="286">
      <c r="N286" s="4"/>
    </row>
    <row r="287">
      <c r="N287" s="4"/>
    </row>
    <row r="288">
      <c r="N288" s="4"/>
    </row>
    <row r="289">
      <c r="N289" s="4"/>
    </row>
    <row r="290">
      <c r="N290" s="4"/>
    </row>
    <row r="291">
      <c r="N291" s="4"/>
    </row>
    <row r="292">
      <c r="N292" s="4"/>
    </row>
    <row r="293">
      <c r="N293" s="4"/>
    </row>
    <row r="294">
      <c r="N294" s="4"/>
    </row>
    <row r="295">
      <c r="N295" s="4"/>
    </row>
    <row r="296">
      <c r="N296" s="4"/>
    </row>
    <row r="297">
      <c r="N297" s="4"/>
    </row>
    <row r="298">
      <c r="N298" s="4"/>
    </row>
    <row r="299">
      <c r="N299" s="4"/>
    </row>
    <row r="300">
      <c r="N300" s="4"/>
    </row>
    <row r="301">
      <c r="N301" s="4"/>
    </row>
    <row r="302">
      <c r="N302" s="4"/>
    </row>
    <row r="303">
      <c r="N303" s="4"/>
    </row>
    <row r="304">
      <c r="N304" s="4"/>
    </row>
    <row r="305">
      <c r="N305" s="4"/>
    </row>
    <row r="306">
      <c r="N306" s="4"/>
    </row>
    <row r="307">
      <c r="N307" s="4"/>
    </row>
    <row r="308">
      <c r="N308" s="4"/>
    </row>
    <row r="309">
      <c r="N309" s="4"/>
    </row>
    <row r="310">
      <c r="N310" s="4"/>
    </row>
    <row r="311">
      <c r="N311" s="4"/>
    </row>
    <row r="312">
      <c r="N312" s="4"/>
    </row>
    <row r="313">
      <c r="N313" s="4"/>
    </row>
    <row r="314">
      <c r="N314" s="4"/>
    </row>
    <row r="315">
      <c r="N315" s="4"/>
    </row>
    <row r="316">
      <c r="N316" s="4"/>
    </row>
    <row r="317">
      <c r="N317" s="4"/>
    </row>
    <row r="318">
      <c r="N318" s="4"/>
    </row>
    <row r="319">
      <c r="N319" s="4"/>
    </row>
    <row r="320">
      <c r="N320" s="4"/>
    </row>
    <row r="321">
      <c r="N321" s="4"/>
    </row>
    <row r="322">
      <c r="N322" s="4"/>
    </row>
    <row r="323">
      <c r="N323" s="4"/>
    </row>
    <row r="324">
      <c r="N324" s="4"/>
    </row>
    <row r="325">
      <c r="N325" s="4"/>
    </row>
    <row r="326">
      <c r="N326" s="4"/>
    </row>
    <row r="327">
      <c r="N327" s="4"/>
    </row>
    <row r="328">
      <c r="N328" s="4"/>
    </row>
    <row r="329">
      <c r="N329" s="4"/>
    </row>
    <row r="330">
      <c r="N330" s="4"/>
    </row>
    <row r="331">
      <c r="N331" s="4"/>
    </row>
    <row r="332">
      <c r="N332" s="4"/>
    </row>
    <row r="333">
      <c r="N333" s="4"/>
    </row>
    <row r="334">
      <c r="N334" s="4"/>
    </row>
    <row r="335">
      <c r="N335" s="4"/>
    </row>
    <row r="336">
      <c r="N336" s="4"/>
    </row>
    <row r="337">
      <c r="N337" s="4"/>
    </row>
    <row r="338">
      <c r="N338" s="4"/>
    </row>
    <row r="339">
      <c r="N339" s="4"/>
    </row>
    <row r="340">
      <c r="N340" s="4"/>
    </row>
    <row r="341">
      <c r="N341" s="4"/>
    </row>
    <row r="342">
      <c r="N342" s="4"/>
    </row>
    <row r="343">
      <c r="N343" s="4"/>
    </row>
    <row r="344">
      <c r="N344" s="4"/>
    </row>
    <row r="345">
      <c r="N345" s="4"/>
    </row>
    <row r="346">
      <c r="N346" s="4"/>
    </row>
    <row r="347">
      <c r="N347" s="4"/>
    </row>
    <row r="348">
      <c r="N348" s="4"/>
    </row>
    <row r="349">
      <c r="N349" s="4"/>
    </row>
    <row r="350">
      <c r="N350" s="4"/>
    </row>
    <row r="351">
      <c r="N351" s="4"/>
    </row>
    <row r="352">
      <c r="N352" s="4"/>
    </row>
    <row r="353">
      <c r="N353" s="4"/>
    </row>
    <row r="354">
      <c r="N354" s="4"/>
    </row>
    <row r="355">
      <c r="N355" s="4"/>
    </row>
    <row r="356">
      <c r="N356" s="4"/>
    </row>
    <row r="357">
      <c r="N357" s="4"/>
    </row>
    <row r="358">
      <c r="N358" s="4"/>
    </row>
    <row r="359">
      <c r="N359" s="4"/>
    </row>
    <row r="360">
      <c r="N360" s="4"/>
    </row>
    <row r="361">
      <c r="N361" s="4"/>
    </row>
    <row r="362">
      <c r="N362" s="4"/>
    </row>
    <row r="363">
      <c r="N363" s="4"/>
    </row>
    <row r="364">
      <c r="N364" s="4"/>
    </row>
    <row r="365">
      <c r="N365" s="4"/>
    </row>
    <row r="366">
      <c r="N366" s="4"/>
    </row>
    <row r="367">
      <c r="N367" s="4"/>
    </row>
    <row r="368">
      <c r="N368" s="4"/>
    </row>
    <row r="369">
      <c r="N369" s="4"/>
    </row>
    <row r="370">
      <c r="N370" s="4"/>
    </row>
    <row r="371">
      <c r="N371" s="4"/>
    </row>
    <row r="372">
      <c r="N372" s="4"/>
    </row>
    <row r="373">
      <c r="N373" s="4"/>
    </row>
    <row r="374">
      <c r="N374" s="4"/>
    </row>
    <row r="375">
      <c r="N375" s="4"/>
    </row>
    <row r="376">
      <c r="N376" s="4"/>
    </row>
    <row r="377">
      <c r="N377" s="4"/>
    </row>
    <row r="378">
      <c r="N378" s="4"/>
    </row>
    <row r="379">
      <c r="N379" s="4"/>
    </row>
    <row r="380">
      <c r="N380" s="4"/>
    </row>
    <row r="381">
      <c r="N381" s="4"/>
    </row>
    <row r="382">
      <c r="N382" s="4"/>
    </row>
    <row r="383">
      <c r="N383" s="4"/>
    </row>
    <row r="384">
      <c r="N384" s="4"/>
    </row>
    <row r="385">
      <c r="N385" s="4"/>
    </row>
    <row r="386">
      <c r="N386" s="4"/>
    </row>
    <row r="387">
      <c r="N387" s="4"/>
    </row>
    <row r="388">
      <c r="N388" s="4"/>
    </row>
    <row r="389">
      <c r="N389" s="4"/>
    </row>
    <row r="390">
      <c r="N390" s="4"/>
    </row>
    <row r="391">
      <c r="N391" s="4"/>
    </row>
    <row r="392">
      <c r="N392" s="4"/>
    </row>
    <row r="393">
      <c r="N393" s="4"/>
    </row>
    <row r="394">
      <c r="N394" s="4"/>
    </row>
    <row r="395">
      <c r="N395" s="4"/>
    </row>
    <row r="396">
      <c r="N396" s="4"/>
    </row>
    <row r="397">
      <c r="N397" s="4"/>
    </row>
    <row r="398">
      <c r="N398" s="4"/>
    </row>
    <row r="399">
      <c r="N399" s="4"/>
    </row>
    <row r="400">
      <c r="N400" s="4"/>
    </row>
    <row r="401">
      <c r="N401" s="4"/>
    </row>
    <row r="402">
      <c r="N402" s="4"/>
    </row>
    <row r="403">
      <c r="N403" s="4"/>
    </row>
    <row r="404">
      <c r="N404" s="4"/>
    </row>
    <row r="405">
      <c r="N405" s="4"/>
    </row>
    <row r="406">
      <c r="N406" s="4"/>
    </row>
    <row r="407">
      <c r="N407" s="4"/>
    </row>
    <row r="408">
      <c r="N408" s="4"/>
    </row>
    <row r="409">
      <c r="N409" s="4"/>
    </row>
    <row r="410">
      <c r="N410" s="4"/>
    </row>
    <row r="411">
      <c r="N411" s="4"/>
    </row>
    <row r="412">
      <c r="N412" s="4"/>
    </row>
    <row r="413">
      <c r="N413" s="4"/>
    </row>
    <row r="414">
      <c r="N414" s="4"/>
    </row>
    <row r="415">
      <c r="N415" s="4"/>
    </row>
    <row r="416">
      <c r="N416" s="4"/>
    </row>
    <row r="417">
      <c r="N417" s="4"/>
    </row>
    <row r="418">
      <c r="N418" s="4"/>
    </row>
    <row r="419">
      <c r="N419" s="4"/>
    </row>
    <row r="420">
      <c r="N420" s="4"/>
    </row>
    <row r="421">
      <c r="N421" s="4"/>
    </row>
    <row r="422">
      <c r="N422" s="4"/>
    </row>
    <row r="423">
      <c r="N423" s="4"/>
    </row>
    <row r="424">
      <c r="N424" s="4"/>
    </row>
    <row r="425">
      <c r="N425" s="4"/>
    </row>
    <row r="426">
      <c r="N426" s="4"/>
    </row>
    <row r="427">
      <c r="N427" s="4"/>
    </row>
    <row r="428">
      <c r="N428" s="4"/>
    </row>
    <row r="429">
      <c r="N429" s="4"/>
    </row>
    <row r="430">
      <c r="N430" s="4"/>
    </row>
    <row r="431">
      <c r="N431" s="4"/>
    </row>
    <row r="432">
      <c r="N432" s="4"/>
    </row>
    <row r="433">
      <c r="N433" s="4"/>
    </row>
    <row r="434">
      <c r="N434" s="4"/>
    </row>
    <row r="435">
      <c r="N435" s="4"/>
    </row>
    <row r="436">
      <c r="N436" s="4"/>
    </row>
    <row r="437">
      <c r="N437" s="4"/>
    </row>
    <row r="438">
      <c r="N438" s="4"/>
    </row>
    <row r="439">
      <c r="N439" s="4"/>
    </row>
    <row r="440">
      <c r="N440" s="4"/>
    </row>
    <row r="441">
      <c r="N441" s="4"/>
    </row>
    <row r="442">
      <c r="N442" s="4"/>
    </row>
    <row r="443">
      <c r="N443" s="4"/>
    </row>
    <row r="444">
      <c r="N444" s="4"/>
    </row>
    <row r="445">
      <c r="N445" s="4"/>
    </row>
    <row r="446">
      <c r="N446" s="4"/>
    </row>
    <row r="447">
      <c r="N447" s="4"/>
    </row>
    <row r="448">
      <c r="N448" s="4"/>
    </row>
    <row r="449">
      <c r="N449" s="4"/>
    </row>
    <row r="450">
      <c r="N450" s="4"/>
    </row>
    <row r="451">
      <c r="N451" s="4"/>
    </row>
    <row r="452">
      <c r="N452" s="4"/>
    </row>
    <row r="453">
      <c r="N453" s="4"/>
    </row>
    <row r="454">
      <c r="N454" s="4"/>
    </row>
    <row r="455">
      <c r="N455" s="4"/>
    </row>
    <row r="456">
      <c r="N456" s="4"/>
    </row>
    <row r="457">
      <c r="N457" s="4"/>
    </row>
    <row r="458">
      <c r="N458" s="4"/>
    </row>
    <row r="459">
      <c r="N459" s="4"/>
    </row>
    <row r="460">
      <c r="N460" s="4"/>
    </row>
    <row r="461">
      <c r="N461" s="4"/>
    </row>
    <row r="462">
      <c r="N462" s="4"/>
    </row>
    <row r="463">
      <c r="N463" s="4"/>
    </row>
    <row r="464">
      <c r="N464" s="4"/>
    </row>
    <row r="465">
      <c r="N465" s="4"/>
    </row>
    <row r="466">
      <c r="N466" s="4"/>
    </row>
    <row r="467">
      <c r="N467" s="4"/>
    </row>
    <row r="468">
      <c r="N468" s="4"/>
    </row>
    <row r="469">
      <c r="N469" s="4"/>
    </row>
    <row r="470">
      <c r="N470" s="4"/>
    </row>
    <row r="471">
      <c r="N471" s="4"/>
    </row>
    <row r="472">
      <c r="N472" s="4"/>
    </row>
    <row r="473">
      <c r="N473" s="4"/>
    </row>
    <row r="474">
      <c r="N474" s="4"/>
    </row>
    <row r="475">
      <c r="N475" s="4"/>
    </row>
    <row r="476">
      <c r="N476" s="4"/>
    </row>
    <row r="477">
      <c r="N477" s="4"/>
    </row>
    <row r="478">
      <c r="N478" s="4"/>
    </row>
    <row r="479">
      <c r="N479" s="4"/>
    </row>
    <row r="480">
      <c r="N480" s="4"/>
    </row>
    <row r="481">
      <c r="N481" s="4"/>
    </row>
    <row r="482">
      <c r="N482" s="4"/>
    </row>
    <row r="483">
      <c r="N483" s="4"/>
    </row>
    <row r="484">
      <c r="N484" s="4"/>
    </row>
    <row r="485">
      <c r="N485" s="4"/>
    </row>
    <row r="486">
      <c r="N486" s="4"/>
    </row>
    <row r="487">
      <c r="N487" s="4"/>
    </row>
    <row r="488">
      <c r="N488" s="4"/>
    </row>
    <row r="489">
      <c r="N489" s="4"/>
    </row>
    <row r="490">
      <c r="N490" s="4"/>
    </row>
    <row r="491">
      <c r="N491" s="4"/>
    </row>
    <row r="492">
      <c r="N492" s="4"/>
    </row>
    <row r="493">
      <c r="N493" s="4"/>
    </row>
    <row r="494">
      <c r="N494" s="4"/>
    </row>
    <row r="495">
      <c r="N495" s="4"/>
    </row>
    <row r="496">
      <c r="N496" s="4"/>
    </row>
    <row r="497">
      <c r="N497" s="4"/>
    </row>
    <row r="498">
      <c r="N498" s="4"/>
    </row>
    <row r="499">
      <c r="N499" s="4"/>
    </row>
    <row r="500">
      <c r="N500" s="4"/>
    </row>
    <row r="501">
      <c r="N501" s="4"/>
    </row>
    <row r="502">
      <c r="N502" s="4"/>
    </row>
    <row r="503">
      <c r="N503" s="4"/>
    </row>
    <row r="504">
      <c r="N504" s="4"/>
    </row>
    <row r="505">
      <c r="N505" s="4"/>
    </row>
    <row r="506">
      <c r="N506" s="4"/>
    </row>
    <row r="507">
      <c r="N507" s="4"/>
    </row>
    <row r="508">
      <c r="N508" s="4"/>
    </row>
    <row r="509">
      <c r="N509" s="4"/>
    </row>
    <row r="510">
      <c r="N510" s="4"/>
    </row>
    <row r="511">
      <c r="N511" s="4"/>
    </row>
    <row r="512">
      <c r="N512" s="4"/>
    </row>
    <row r="513">
      <c r="N513" s="4"/>
    </row>
    <row r="514">
      <c r="N514" s="4"/>
    </row>
    <row r="515">
      <c r="N515" s="4"/>
    </row>
    <row r="516">
      <c r="N516" s="4"/>
    </row>
    <row r="517">
      <c r="N517" s="4"/>
    </row>
    <row r="518">
      <c r="N518" s="4"/>
    </row>
    <row r="519">
      <c r="N519" s="4"/>
    </row>
    <row r="520">
      <c r="N520" s="4"/>
    </row>
    <row r="521">
      <c r="N521" s="4"/>
    </row>
    <row r="522">
      <c r="N522" s="4"/>
    </row>
    <row r="523">
      <c r="N523" s="4"/>
    </row>
    <row r="524">
      <c r="N524" s="4"/>
    </row>
    <row r="525">
      <c r="N525" s="4"/>
    </row>
    <row r="526">
      <c r="N526" s="4"/>
    </row>
    <row r="527">
      <c r="N527" s="4"/>
    </row>
    <row r="528">
      <c r="N528" s="4"/>
    </row>
    <row r="529">
      <c r="N529" s="4"/>
    </row>
    <row r="530">
      <c r="N530" s="4"/>
    </row>
    <row r="531">
      <c r="N531" s="4"/>
    </row>
    <row r="532">
      <c r="N532" s="4"/>
    </row>
    <row r="533">
      <c r="N533" s="4"/>
    </row>
    <row r="534">
      <c r="N534" s="4"/>
    </row>
    <row r="535">
      <c r="N535" s="4"/>
    </row>
    <row r="536">
      <c r="N536" s="4"/>
    </row>
    <row r="537">
      <c r="N537" s="4"/>
    </row>
    <row r="538">
      <c r="N538" s="4"/>
    </row>
    <row r="539">
      <c r="N539" s="4"/>
    </row>
    <row r="540">
      <c r="N540" s="4"/>
    </row>
    <row r="541">
      <c r="N541" s="4"/>
    </row>
    <row r="542">
      <c r="N542" s="4"/>
    </row>
    <row r="543">
      <c r="N543" s="4"/>
    </row>
    <row r="544">
      <c r="N544" s="4"/>
    </row>
    <row r="545">
      <c r="N545" s="4"/>
    </row>
    <row r="546">
      <c r="N546" s="4"/>
    </row>
    <row r="547">
      <c r="N547" s="4"/>
    </row>
    <row r="548">
      <c r="N548" s="4"/>
    </row>
    <row r="549">
      <c r="N549" s="4"/>
    </row>
    <row r="550">
      <c r="N550" s="4"/>
    </row>
    <row r="551">
      <c r="N551" s="4"/>
    </row>
    <row r="552">
      <c r="N552" s="4"/>
    </row>
    <row r="553">
      <c r="N553" s="4"/>
    </row>
    <row r="554">
      <c r="N554" s="4"/>
    </row>
    <row r="555">
      <c r="N555" s="4"/>
    </row>
    <row r="556">
      <c r="N556" s="4"/>
    </row>
    <row r="557">
      <c r="N557" s="4"/>
    </row>
    <row r="558">
      <c r="N558" s="4"/>
    </row>
    <row r="559">
      <c r="N559" s="4"/>
    </row>
    <row r="560">
      <c r="N560" s="4"/>
    </row>
    <row r="561">
      <c r="N561" s="4"/>
    </row>
    <row r="562">
      <c r="N562" s="4"/>
    </row>
    <row r="563">
      <c r="N563" s="4"/>
    </row>
    <row r="564">
      <c r="N564" s="4"/>
    </row>
    <row r="565">
      <c r="N565" s="4"/>
    </row>
    <row r="566">
      <c r="N566" s="4"/>
    </row>
    <row r="567">
      <c r="N567" s="4"/>
    </row>
    <row r="568">
      <c r="N568" s="4"/>
    </row>
    <row r="569">
      <c r="N569" s="4"/>
    </row>
    <row r="570">
      <c r="N570" s="4"/>
    </row>
    <row r="571">
      <c r="N571" s="4"/>
    </row>
    <row r="572">
      <c r="N572" s="4"/>
    </row>
    <row r="573">
      <c r="N573" s="4"/>
    </row>
    <row r="574">
      <c r="N574" s="4"/>
    </row>
    <row r="575">
      <c r="N575" s="4"/>
    </row>
    <row r="576">
      <c r="N576" s="4"/>
    </row>
    <row r="577">
      <c r="N577" s="4"/>
    </row>
    <row r="578">
      <c r="N578" s="4"/>
    </row>
    <row r="579">
      <c r="N579" s="4"/>
    </row>
    <row r="580">
      <c r="N580" s="4"/>
    </row>
    <row r="581">
      <c r="N581" s="4"/>
    </row>
    <row r="582">
      <c r="N582" s="4"/>
    </row>
    <row r="583">
      <c r="N583" s="4"/>
    </row>
    <row r="584">
      <c r="N584" s="4"/>
    </row>
    <row r="585">
      <c r="N585" s="4"/>
    </row>
    <row r="586">
      <c r="N586" s="4"/>
    </row>
    <row r="587">
      <c r="N587" s="4"/>
    </row>
    <row r="588">
      <c r="N588" s="4"/>
    </row>
    <row r="589">
      <c r="N589" s="4"/>
    </row>
    <row r="590">
      <c r="N590" s="4"/>
    </row>
    <row r="591">
      <c r="N591" s="4"/>
    </row>
    <row r="592">
      <c r="N592" s="4"/>
    </row>
    <row r="593">
      <c r="N593" s="4"/>
    </row>
    <row r="594">
      <c r="N594" s="4"/>
    </row>
    <row r="595">
      <c r="N595" s="4"/>
    </row>
    <row r="596">
      <c r="N596" s="4"/>
    </row>
    <row r="597">
      <c r="N597" s="4"/>
    </row>
    <row r="598">
      <c r="N598" s="4"/>
    </row>
    <row r="599">
      <c r="N599" s="4"/>
    </row>
    <row r="600">
      <c r="N600" s="4"/>
    </row>
    <row r="601">
      <c r="N601" s="4"/>
    </row>
    <row r="602">
      <c r="N602" s="4"/>
    </row>
    <row r="603">
      <c r="N603" s="4"/>
    </row>
    <row r="604">
      <c r="N604" s="4"/>
    </row>
    <row r="605">
      <c r="N605" s="4"/>
    </row>
    <row r="606">
      <c r="N606" s="4"/>
    </row>
    <row r="607">
      <c r="N607" s="4"/>
    </row>
    <row r="608">
      <c r="N608" s="4"/>
    </row>
    <row r="609">
      <c r="N609" s="4"/>
    </row>
    <row r="610">
      <c r="N610" s="4"/>
    </row>
    <row r="611">
      <c r="N611" s="4"/>
    </row>
    <row r="612">
      <c r="N612" s="4"/>
    </row>
    <row r="613">
      <c r="N613" s="4"/>
    </row>
    <row r="614">
      <c r="N614" s="4"/>
    </row>
    <row r="615">
      <c r="N615" s="4"/>
    </row>
    <row r="616">
      <c r="N616" s="4"/>
    </row>
    <row r="617">
      <c r="N617" s="4"/>
    </row>
    <row r="618">
      <c r="N618" s="4"/>
    </row>
    <row r="619">
      <c r="N619" s="4"/>
    </row>
    <row r="620">
      <c r="N620" s="4"/>
    </row>
    <row r="621">
      <c r="N621" s="4"/>
    </row>
    <row r="622">
      <c r="N622" s="4"/>
    </row>
    <row r="623">
      <c r="N623" s="4"/>
    </row>
    <row r="624">
      <c r="N624" s="4"/>
    </row>
    <row r="625">
      <c r="N625" s="4"/>
    </row>
    <row r="626">
      <c r="N626" s="4"/>
    </row>
    <row r="627">
      <c r="N627" s="4"/>
    </row>
    <row r="628">
      <c r="N628" s="4"/>
    </row>
    <row r="629">
      <c r="N629" s="4"/>
    </row>
    <row r="630">
      <c r="N630" s="4"/>
    </row>
    <row r="631">
      <c r="N631" s="4"/>
    </row>
    <row r="632">
      <c r="N632" s="4"/>
    </row>
    <row r="633">
      <c r="N633" s="4"/>
    </row>
    <row r="634">
      <c r="N634" s="4"/>
    </row>
    <row r="635">
      <c r="N635" s="4"/>
    </row>
    <row r="636">
      <c r="N636" s="4"/>
    </row>
    <row r="637">
      <c r="N637" s="4"/>
    </row>
    <row r="638">
      <c r="N638" s="4"/>
    </row>
    <row r="639">
      <c r="N639" s="4"/>
    </row>
    <row r="640">
      <c r="N640" s="4"/>
    </row>
    <row r="641">
      <c r="N641" s="4"/>
    </row>
    <row r="642">
      <c r="N642" s="4"/>
    </row>
    <row r="643">
      <c r="N643" s="4"/>
    </row>
    <row r="644">
      <c r="N644" s="4"/>
    </row>
    <row r="645">
      <c r="N645" s="4"/>
    </row>
    <row r="646">
      <c r="N646" s="4"/>
    </row>
    <row r="647">
      <c r="N647" s="4"/>
    </row>
    <row r="648">
      <c r="N648" s="4"/>
    </row>
    <row r="649">
      <c r="N649" s="4"/>
    </row>
    <row r="650">
      <c r="N650" s="4"/>
    </row>
    <row r="651">
      <c r="N651" s="4"/>
    </row>
    <row r="652">
      <c r="N652" s="4"/>
    </row>
    <row r="653">
      <c r="N653" s="4"/>
    </row>
    <row r="654">
      <c r="N654" s="4"/>
    </row>
    <row r="655">
      <c r="N655" s="4"/>
    </row>
    <row r="656">
      <c r="N656" s="4"/>
    </row>
    <row r="657">
      <c r="N657" s="4"/>
    </row>
    <row r="658">
      <c r="N658" s="4"/>
    </row>
    <row r="659">
      <c r="N659" s="4"/>
    </row>
    <row r="660">
      <c r="N660" s="4"/>
    </row>
    <row r="661">
      <c r="N661" s="4"/>
    </row>
    <row r="662">
      <c r="N662" s="4"/>
    </row>
    <row r="663">
      <c r="N663" s="4"/>
    </row>
    <row r="664">
      <c r="N664" s="4"/>
    </row>
    <row r="665">
      <c r="N665" s="4"/>
    </row>
    <row r="666">
      <c r="N666" s="4"/>
    </row>
    <row r="667">
      <c r="N667" s="4"/>
    </row>
    <row r="668">
      <c r="N668" s="4"/>
    </row>
    <row r="669">
      <c r="N669" s="4"/>
    </row>
    <row r="670">
      <c r="N670" s="4"/>
    </row>
    <row r="671">
      <c r="N671" s="4"/>
    </row>
    <row r="672">
      <c r="N672" s="4"/>
    </row>
    <row r="673">
      <c r="N673" s="4"/>
    </row>
    <row r="674">
      <c r="N674" s="4"/>
    </row>
    <row r="675">
      <c r="N675" s="4"/>
    </row>
    <row r="676">
      <c r="N676" s="4"/>
    </row>
    <row r="677">
      <c r="N677" s="4"/>
    </row>
    <row r="678">
      <c r="N678" s="4"/>
    </row>
    <row r="679">
      <c r="N679" s="4"/>
    </row>
    <row r="680">
      <c r="N680" s="4"/>
    </row>
    <row r="681">
      <c r="N681" s="4"/>
    </row>
    <row r="682">
      <c r="N682" s="4"/>
    </row>
    <row r="683">
      <c r="N683" s="4"/>
    </row>
    <row r="684">
      <c r="N684" s="4"/>
    </row>
    <row r="685">
      <c r="N685" s="4"/>
    </row>
    <row r="686">
      <c r="N686" s="4"/>
    </row>
    <row r="687">
      <c r="N687" s="4"/>
    </row>
    <row r="688">
      <c r="N688" s="4"/>
    </row>
    <row r="689">
      <c r="N689" s="4"/>
    </row>
    <row r="690">
      <c r="N690" s="4"/>
    </row>
    <row r="691">
      <c r="N691" s="4"/>
    </row>
    <row r="692">
      <c r="N692" s="4"/>
    </row>
    <row r="693">
      <c r="N693" s="4"/>
    </row>
    <row r="694">
      <c r="N694" s="4"/>
    </row>
    <row r="695">
      <c r="N695" s="4"/>
    </row>
    <row r="696">
      <c r="N696" s="4"/>
    </row>
    <row r="697">
      <c r="N697" s="4"/>
    </row>
    <row r="698">
      <c r="N698" s="4"/>
    </row>
    <row r="699">
      <c r="N699" s="4"/>
    </row>
    <row r="700">
      <c r="N700" s="4"/>
    </row>
    <row r="701">
      <c r="N701" s="4"/>
    </row>
    <row r="702">
      <c r="N702" s="4"/>
    </row>
    <row r="703">
      <c r="N703" s="4"/>
    </row>
    <row r="704">
      <c r="N704" s="4"/>
    </row>
    <row r="705">
      <c r="N705" s="4"/>
    </row>
    <row r="706">
      <c r="N706" s="4"/>
    </row>
    <row r="707">
      <c r="N707" s="4"/>
    </row>
    <row r="708">
      <c r="N708" s="4"/>
    </row>
    <row r="709">
      <c r="N709" s="4"/>
    </row>
    <row r="710">
      <c r="N710" s="4"/>
    </row>
    <row r="711">
      <c r="N711" s="4"/>
    </row>
    <row r="712">
      <c r="N712" s="4"/>
    </row>
    <row r="713">
      <c r="N713" s="4"/>
    </row>
    <row r="714">
      <c r="N714" s="4"/>
    </row>
    <row r="715">
      <c r="N715" s="4"/>
    </row>
    <row r="716">
      <c r="N716" s="4"/>
    </row>
    <row r="717">
      <c r="N717" s="4"/>
    </row>
    <row r="718">
      <c r="N718" s="4"/>
    </row>
    <row r="719">
      <c r="N719" s="4"/>
    </row>
    <row r="720">
      <c r="N720" s="4"/>
    </row>
    <row r="721">
      <c r="N721" s="4"/>
    </row>
    <row r="722">
      <c r="N722" s="4"/>
    </row>
    <row r="723">
      <c r="N723" s="4"/>
    </row>
    <row r="724">
      <c r="N724" s="4"/>
    </row>
    <row r="725">
      <c r="N725" s="4"/>
    </row>
    <row r="726">
      <c r="N726" s="4"/>
    </row>
    <row r="727">
      <c r="N727" s="4"/>
    </row>
    <row r="728">
      <c r="N728" s="4"/>
    </row>
    <row r="729">
      <c r="N729" s="4"/>
    </row>
    <row r="730">
      <c r="N730" s="4"/>
    </row>
    <row r="731">
      <c r="N731" s="4"/>
    </row>
    <row r="732">
      <c r="N732" s="4"/>
    </row>
    <row r="733">
      <c r="N733" s="4"/>
    </row>
    <row r="734">
      <c r="N734" s="4"/>
    </row>
    <row r="735">
      <c r="N735" s="4"/>
    </row>
    <row r="736">
      <c r="N736" s="4"/>
    </row>
    <row r="737">
      <c r="N737" s="4"/>
    </row>
    <row r="738">
      <c r="N738" s="4"/>
    </row>
    <row r="739">
      <c r="N739" s="4"/>
    </row>
    <row r="740">
      <c r="N740" s="4"/>
    </row>
    <row r="741">
      <c r="N741" s="4"/>
    </row>
    <row r="742">
      <c r="N742" s="4"/>
    </row>
    <row r="743">
      <c r="N743" s="4"/>
    </row>
    <row r="744">
      <c r="N744" s="4"/>
    </row>
    <row r="745">
      <c r="N745" s="4"/>
    </row>
    <row r="746">
      <c r="N746" s="4"/>
    </row>
    <row r="747">
      <c r="N747" s="4"/>
    </row>
    <row r="748">
      <c r="N748" s="4"/>
    </row>
    <row r="749">
      <c r="N749" s="4"/>
    </row>
    <row r="750">
      <c r="N750" s="4"/>
    </row>
    <row r="751">
      <c r="N751" s="4"/>
    </row>
    <row r="752">
      <c r="N752" s="4"/>
    </row>
    <row r="753">
      <c r="N753" s="4"/>
    </row>
    <row r="754">
      <c r="N754" s="4"/>
    </row>
    <row r="755">
      <c r="N755" s="4"/>
    </row>
    <row r="756">
      <c r="N756" s="4"/>
    </row>
    <row r="757">
      <c r="N757" s="4"/>
    </row>
    <row r="758">
      <c r="N758" s="4"/>
    </row>
    <row r="759">
      <c r="N759" s="4"/>
    </row>
    <row r="760">
      <c r="N760" s="4"/>
    </row>
    <row r="761">
      <c r="N761" s="4"/>
    </row>
    <row r="762">
      <c r="N762" s="4"/>
    </row>
    <row r="763">
      <c r="N763" s="4"/>
    </row>
    <row r="764">
      <c r="N764" s="4"/>
    </row>
    <row r="765">
      <c r="N765" s="4"/>
    </row>
    <row r="766">
      <c r="N766" s="4"/>
    </row>
    <row r="767">
      <c r="N767" s="4"/>
    </row>
    <row r="768">
      <c r="N768" s="4"/>
    </row>
    <row r="769">
      <c r="N769" s="4"/>
    </row>
    <row r="770">
      <c r="N770" s="4"/>
    </row>
    <row r="771">
      <c r="N771" s="4"/>
    </row>
    <row r="772">
      <c r="N772" s="4"/>
    </row>
    <row r="773">
      <c r="N773" s="4"/>
    </row>
    <row r="774">
      <c r="N774" s="4"/>
    </row>
    <row r="775">
      <c r="N775" s="4"/>
    </row>
    <row r="776">
      <c r="N776" s="4"/>
    </row>
    <row r="777">
      <c r="N777" s="4"/>
    </row>
    <row r="778">
      <c r="N778" s="4"/>
    </row>
    <row r="779">
      <c r="N779" s="4"/>
    </row>
    <row r="780">
      <c r="N780" s="4"/>
    </row>
    <row r="781">
      <c r="N781" s="4"/>
    </row>
    <row r="782">
      <c r="N782" s="4"/>
    </row>
    <row r="783">
      <c r="N783" s="4"/>
    </row>
    <row r="784">
      <c r="N784" s="4"/>
    </row>
    <row r="785">
      <c r="N785" s="4"/>
    </row>
    <row r="786">
      <c r="N786" s="4"/>
    </row>
    <row r="787">
      <c r="N787" s="4"/>
    </row>
    <row r="788">
      <c r="N788" s="4"/>
    </row>
    <row r="789">
      <c r="N789" s="4"/>
    </row>
    <row r="790">
      <c r="N790" s="4"/>
    </row>
    <row r="791">
      <c r="N791" s="4"/>
    </row>
    <row r="792">
      <c r="N792" s="4"/>
    </row>
    <row r="793">
      <c r="N793" s="4"/>
    </row>
    <row r="794">
      <c r="N794" s="4"/>
    </row>
    <row r="795">
      <c r="N795" s="4"/>
    </row>
    <row r="796">
      <c r="N796" s="4"/>
    </row>
    <row r="797">
      <c r="N797" s="4"/>
    </row>
    <row r="798">
      <c r="N798" s="4"/>
    </row>
    <row r="799">
      <c r="N799" s="4"/>
    </row>
    <row r="800">
      <c r="N800" s="4"/>
    </row>
    <row r="801">
      <c r="N801" s="4"/>
    </row>
    <row r="802">
      <c r="N802" s="4"/>
    </row>
    <row r="803">
      <c r="N803" s="4"/>
    </row>
    <row r="804">
      <c r="N804" s="4"/>
    </row>
    <row r="805">
      <c r="N805" s="4"/>
    </row>
    <row r="806">
      <c r="N806" s="4"/>
    </row>
    <row r="807">
      <c r="N807" s="4"/>
    </row>
    <row r="808">
      <c r="N808" s="4"/>
    </row>
    <row r="809">
      <c r="N809" s="4"/>
    </row>
    <row r="810">
      <c r="N810" s="4"/>
    </row>
    <row r="811">
      <c r="N811" s="4"/>
    </row>
    <row r="812">
      <c r="N812" s="4"/>
    </row>
    <row r="813">
      <c r="N813" s="4"/>
    </row>
    <row r="814">
      <c r="N814" s="4"/>
    </row>
    <row r="815">
      <c r="N815" s="4"/>
    </row>
    <row r="816">
      <c r="N816" s="4"/>
    </row>
    <row r="817">
      <c r="N817" s="4"/>
    </row>
    <row r="818">
      <c r="N818" s="4"/>
    </row>
    <row r="819">
      <c r="N819" s="4"/>
    </row>
    <row r="820">
      <c r="N820" s="4"/>
    </row>
    <row r="821">
      <c r="N821" s="4"/>
    </row>
    <row r="822">
      <c r="N822" s="4"/>
    </row>
    <row r="823">
      <c r="N823" s="4"/>
    </row>
    <row r="824">
      <c r="N824" s="4"/>
    </row>
    <row r="825">
      <c r="N825" s="4"/>
    </row>
    <row r="826">
      <c r="N826" s="4"/>
    </row>
    <row r="827">
      <c r="N827" s="4"/>
    </row>
    <row r="828">
      <c r="N828" s="4"/>
    </row>
    <row r="829">
      <c r="N829" s="4"/>
    </row>
    <row r="830">
      <c r="N830" s="4"/>
    </row>
    <row r="831">
      <c r="N831" s="4"/>
    </row>
    <row r="832">
      <c r="N832" s="4"/>
    </row>
    <row r="833">
      <c r="N833" s="4"/>
    </row>
    <row r="834">
      <c r="N834" s="4"/>
    </row>
    <row r="835">
      <c r="N835" s="4"/>
    </row>
    <row r="836">
      <c r="N836" s="4"/>
    </row>
    <row r="837">
      <c r="N837" s="4"/>
    </row>
    <row r="838">
      <c r="N838" s="4"/>
    </row>
    <row r="839">
      <c r="N839" s="4"/>
    </row>
    <row r="840">
      <c r="N840" s="4"/>
    </row>
    <row r="841">
      <c r="N841" s="4"/>
    </row>
    <row r="842">
      <c r="N842" s="4"/>
    </row>
    <row r="843">
      <c r="N843" s="4"/>
    </row>
    <row r="844">
      <c r="N844" s="4"/>
    </row>
    <row r="845">
      <c r="N845" s="4"/>
    </row>
    <row r="846">
      <c r="N846" s="4"/>
    </row>
    <row r="847">
      <c r="N847" s="4"/>
    </row>
    <row r="848">
      <c r="N848" s="4"/>
    </row>
    <row r="849">
      <c r="N849" s="4"/>
    </row>
    <row r="850">
      <c r="N850" s="4"/>
    </row>
    <row r="851">
      <c r="N851" s="4"/>
    </row>
    <row r="852">
      <c r="N852" s="4"/>
    </row>
    <row r="853">
      <c r="N853" s="4"/>
    </row>
    <row r="854">
      <c r="N854" s="4"/>
    </row>
    <row r="855">
      <c r="N855" s="4"/>
    </row>
    <row r="856">
      <c r="N856" s="4"/>
    </row>
    <row r="857">
      <c r="N857" s="4"/>
    </row>
    <row r="858">
      <c r="N858" s="4"/>
    </row>
    <row r="859">
      <c r="N859" s="4"/>
    </row>
    <row r="860">
      <c r="N860" s="4"/>
    </row>
    <row r="861">
      <c r="N861" s="4"/>
    </row>
    <row r="862">
      <c r="N862" s="4"/>
    </row>
    <row r="863">
      <c r="N863" s="4"/>
    </row>
    <row r="864">
      <c r="N864" s="4"/>
    </row>
    <row r="865">
      <c r="N865" s="4"/>
    </row>
    <row r="866">
      <c r="N866" s="4"/>
    </row>
    <row r="867">
      <c r="N867" s="4"/>
    </row>
    <row r="868">
      <c r="N868" s="4"/>
    </row>
    <row r="869">
      <c r="N869" s="4"/>
    </row>
    <row r="870">
      <c r="N870" s="4"/>
    </row>
    <row r="871">
      <c r="N871" s="4"/>
    </row>
    <row r="872">
      <c r="N872" s="4"/>
    </row>
    <row r="873">
      <c r="N873" s="4"/>
    </row>
    <row r="874">
      <c r="N874" s="4"/>
    </row>
    <row r="875">
      <c r="N875" s="4"/>
    </row>
    <row r="876">
      <c r="N876" s="4"/>
    </row>
    <row r="877">
      <c r="N877" s="4"/>
    </row>
    <row r="878">
      <c r="N878" s="4"/>
    </row>
    <row r="879">
      <c r="N879" s="4"/>
    </row>
    <row r="880">
      <c r="N880" s="4"/>
    </row>
    <row r="881">
      <c r="N881" s="4"/>
    </row>
    <row r="882">
      <c r="N882" s="4"/>
    </row>
    <row r="883">
      <c r="N883" s="4"/>
    </row>
    <row r="884">
      <c r="N884" s="4"/>
    </row>
    <row r="885">
      <c r="N885" s="4"/>
    </row>
    <row r="886">
      <c r="N886" s="4"/>
    </row>
    <row r="887">
      <c r="N887" s="4"/>
    </row>
    <row r="888">
      <c r="N888" s="4"/>
    </row>
    <row r="889">
      <c r="N889" s="4"/>
    </row>
    <row r="890">
      <c r="N890" s="4"/>
    </row>
    <row r="891">
      <c r="N891" s="4"/>
    </row>
    <row r="892">
      <c r="N892" s="4"/>
    </row>
    <row r="893">
      <c r="N893" s="4"/>
    </row>
    <row r="894">
      <c r="N894" s="4"/>
    </row>
    <row r="895">
      <c r="N895" s="4"/>
    </row>
    <row r="896">
      <c r="N896" s="4"/>
    </row>
    <row r="897">
      <c r="N897" s="4"/>
    </row>
    <row r="898">
      <c r="N898" s="4"/>
    </row>
    <row r="899">
      <c r="N899" s="4"/>
    </row>
    <row r="900">
      <c r="N900" s="4"/>
    </row>
    <row r="901">
      <c r="N901" s="4"/>
    </row>
    <row r="902">
      <c r="N902" s="4"/>
    </row>
    <row r="903">
      <c r="N903" s="4"/>
    </row>
    <row r="904">
      <c r="N904" s="4"/>
    </row>
    <row r="905">
      <c r="N905" s="4"/>
    </row>
    <row r="906">
      <c r="N906" s="4"/>
    </row>
    <row r="907">
      <c r="N907" s="4"/>
    </row>
    <row r="908">
      <c r="N908" s="4"/>
    </row>
    <row r="909">
      <c r="N909" s="4"/>
    </row>
    <row r="910">
      <c r="N910" s="4"/>
    </row>
    <row r="911">
      <c r="N911" s="4"/>
    </row>
    <row r="912">
      <c r="N912" s="4"/>
    </row>
    <row r="913">
      <c r="N913" s="4"/>
    </row>
    <row r="914">
      <c r="N914" s="4"/>
    </row>
    <row r="915">
      <c r="N915" s="4"/>
    </row>
    <row r="916">
      <c r="N916" s="4"/>
    </row>
    <row r="917">
      <c r="N917" s="4"/>
    </row>
    <row r="918">
      <c r="N918" s="4"/>
    </row>
    <row r="919">
      <c r="N919" s="4"/>
    </row>
    <row r="920">
      <c r="N920" s="4"/>
    </row>
    <row r="921">
      <c r="N921" s="4"/>
    </row>
    <row r="922">
      <c r="N922" s="4"/>
    </row>
    <row r="923">
      <c r="N923" s="4"/>
    </row>
    <row r="924">
      <c r="N924" s="4"/>
    </row>
    <row r="925">
      <c r="N925" s="4"/>
    </row>
    <row r="926">
      <c r="N926" s="4"/>
    </row>
    <row r="927">
      <c r="N927" s="4"/>
    </row>
    <row r="928">
      <c r="N928" s="4"/>
    </row>
    <row r="929">
      <c r="N929" s="4"/>
    </row>
    <row r="930">
      <c r="N930" s="4"/>
    </row>
    <row r="931">
      <c r="N931" s="4"/>
    </row>
    <row r="932">
      <c r="N932" s="4"/>
    </row>
    <row r="933">
      <c r="N933" s="4"/>
    </row>
    <row r="934">
      <c r="N934" s="4"/>
    </row>
    <row r="935">
      <c r="N935" s="4"/>
    </row>
    <row r="936">
      <c r="N936" s="4"/>
    </row>
    <row r="937">
      <c r="N937" s="4"/>
    </row>
    <row r="938">
      <c r="N938" s="4"/>
    </row>
    <row r="939">
      <c r="N939" s="4"/>
    </row>
    <row r="940">
      <c r="N940" s="4"/>
    </row>
    <row r="941">
      <c r="N941" s="4"/>
    </row>
    <row r="942">
      <c r="N942" s="4"/>
    </row>
    <row r="943">
      <c r="N943" s="4"/>
    </row>
    <row r="944">
      <c r="N944" s="4"/>
    </row>
    <row r="945">
      <c r="N945" s="4"/>
    </row>
    <row r="946">
      <c r="N946" s="4"/>
    </row>
    <row r="947">
      <c r="N947" s="4"/>
    </row>
    <row r="948">
      <c r="N948" s="4"/>
    </row>
    <row r="949">
      <c r="N949" s="4"/>
    </row>
    <row r="950">
      <c r="N950" s="4"/>
    </row>
    <row r="951">
      <c r="N951" s="4"/>
    </row>
    <row r="952">
      <c r="N952" s="4"/>
    </row>
    <row r="953">
      <c r="N953" s="4"/>
    </row>
    <row r="954">
      <c r="N954" s="4"/>
    </row>
    <row r="955">
      <c r="N955" s="4"/>
    </row>
    <row r="956">
      <c r="N956" s="4"/>
    </row>
    <row r="957">
      <c r="N957" s="4"/>
    </row>
    <row r="958">
      <c r="N958" s="4"/>
    </row>
    <row r="959">
      <c r="N959" s="4"/>
    </row>
    <row r="960">
      <c r="N960" s="4"/>
    </row>
    <row r="961">
      <c r="N961" s="4"/>
    </row>
    <row r="962">
      <c r="N962" s="4"/>
    </row>
    <row r="963">
      <c r="N963" s="4"/>
    </row>
    <row r="964">
      <c r="N964" s="4"/>
    </row>
    <row r="965">
      <c r="N965" s="4"/>
    </row>
    <row r="966">
      <c r="N966" s="4"/>
    </row>
    <row r="967">
      <c r="N967" s="4"/>
    </row>
    <row r="968">
      <c r="N968" s="4"/>
    </row>
    <row r="969">
      <c r="N969" s="4"/>
    </row>
    <row r="970">
      <c r="N970" s="4"/>
    </row>
    <row r="971">
      <c r="N971" s="4"/>
    </row>
    <row r="972">
      <c r="N972" s="4"/>
    </row>
    <row r="973">
      <c r="N973" s="4"/>
    </row>
    <row r="974">
      <c r="N974" s="4"/>
    </row>
    <row r="975">
      <c r="N975" s="4"/>
    </row>
    <row r="976">
      <c r="N976" s="4"/>
    </row>
    <row r="977">
      <c r="N977" s="4"/>
    </row>
    <row r="978">
      <c r="N978" s="4"/>
    </row>
    <row r="979">
      <c r="N979" s="4"/>
    </row>
    <row r="980">
      <c r="N980" s="4"/>
    </row>
    <row r="981">
      <c r="N981" s="4"/>
    </row>
    <row r="982">
      <c r="N982" s="4"/>
    </row>
    <row r="983">
      <c r="N983" s="4"/>
    </row>
    <row r="984">
      <c r="N984" s="4"/>
    </row>
    <row r="985">
      <c r="N985" s="4"/>
    </row>
    <row r="986">
      <c r="N986" s="4"/>
    </row>
    <row r="987">
      <c r="N987" s="4"/>
    </row>
    <row r="988">
      <c r="N988" s="4"/>
    </row>
    <row r="989">
      <c r="N989" s="4"/>
    </row>
    <row r="990">
      <c r="N990" s="4"/>
    </row>
    <row r="991">
      <c r="N991" s="4"/>
    </row>
    <row r="992">
      <c r="N992" s="4"/>
    </row>
    <row r="993">
      <c r="N993" s="4"/>
    </row>
    <row r="994">
      <c r="N994" s="4"/>
    </row>
    <row r="995">
      <c r="N995" s="4"/>
    </row>
    <row r="996">
      <c r="N996" s="4"/>
    </row>
    <row r="997">
      <c r="N997" s="4"/>
    </row>
    <row r="998">
      <c r="N998" s="4"/>
    </row>
    <row r="999">
      <c r="N999" s="4"/>
    </row>
  </sheetData>
  <dataValidations>
    <dataValidation type="list" allowBlank="1" showErrorMessage="1" sqref="N1:N999">
      <formula1>"Approved,Status,Pending"</formula1>
    </dataValidation>
  </dataValidations>
  <drawing r:id="rId1"/>
</worksheet>
</file>